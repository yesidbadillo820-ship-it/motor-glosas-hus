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USUARIO CARTERA\Documents\"/>
    </mc:Choice>
  </mc:AlternateContent>
  <xr:revisionPtr revIDLastSave="0" documentId="13_ncr:1_{C1426F0C-A308-4B46-AC80-E0BA444AB42E}" xr6:coauthVersionLast="47" xr6:coauthVersionMax="47" xr10:uidLastSave="{00000000-0000-0000-0000-000000000000}"/>
  <bookViews>
    <workbookView xWindow="-120" yWindow="-120" windowWidth="29040" windowHeight="15720" xr2:uid="{3F3DC15D-2A5B-4204-A085-95E827385B07}"/>
  </bookViews>
  <sheets>
    <sheet name="ACTA" sheetId="1" r:id="rId1"/>
    <sheet name="Hoja1" sheetId="8" r:id="rId2"/>
    <sheet name="Hoja2" sheetId="9" r:id="rId3"/>
    <sheet name="Hoja3" sheetId="10" r:id="rId4"/>
    <sheet name="GLOSAS" sheetId="2" state="hidden" r:id="rId5"/>
    <sheet name="TRAMITES" sheetId="4" state="hidden" r:id="rId6"/>
    <sheet name="NOTAS" sheetId="7" state="hidden" r:id="rId7"/>
  </sheets>
  <externalReferences>
    <externalReference r:id="rId8"/>
  </externalReferences>
  <definedNames>
    <definedName name="_xlnm._FilterDatabase" localSheetId="0" hidden="1">ACTA!$C$11:$W$276</definedName>
    <definedName name="_xlnm._FilterDatabase" localSheetId="4" hidden="1">GLOSAS!$A$3:$AH$188</definedName>
    <definedName name="_xlnm._FilterDatabase" localSheetId="3" hidden="1">Hoja3!$A$1:$Y$30</definedName>
    <definedName name="_xlnm._FilterDatabase" localSheetId="5" hidden="1">TRAMITES!$A$3:$AK$191</definedName>
    <definedName name="_xlnm.Print_Area" localSheetId="0">ACTA!$B$2:$X$279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05" i="8" l="1"/>
  <c r="G1638" i="8"/>
  <c r="G1639" i="8"/>
  <c r="G1640" i="8"/>
  <c r="G1642" i="8"/>
  <c r="G1643" i="8"/>
  <c r="G1644" i="8"/>
  <c r="G1645" i="8"/>
  <c r="G1646" i="8"/>
  <c r="G1647" i="8"/>
  <c r="G1648" i="8"/>
  <c r="G1649" i="8"/>
  <c r="G1650" i="8"/>
  <c r="G1651" i="8"/>
  <c r="G1652" i="8"/>
  <c r="G1654" i="8"/>
  <c r="G1655" i="8"/>
  <c r="G1656" i="8"/>
  <c r="G1657" i="8"/>
  <c r="G1658" i="8"/>
  <c r="G1659" i="8"/>
  <c r="G1660" i="8"/>
  <c r="G1661" i="8"/>
  <c r="G1662" i="8"/>
  <c r="G1663" i="8"/>
  <c r="G1664" i="8"/>
  <c r="G1665" i="8"/>
  <c r="G1666" i="8"/>
  <c r="G1669" i="8"/>
  <c r="G1671" i="8"/>
  <c r="G1672" i="8"/>
  <c r="G1673" i="8"/>
  <c r="G1675" i="8"/>
  <c r="G1676" i="8"/>
  <c r="G1677" i="8"/>
  <c r="G1678" i="8"/>
  <c r="G1679" i="8"/>
  <c r="G1680" i="8"/>
  <c r="G1681" i="8"/>
  <c r="G1682" i="8"/>
  <c r="G1683" i="8"/>
  <c r="G1684" i="8"/>
  <c r="G1685" i="8"/>
  <c r="G1686" i="8"/>
  <c r="G1687" i="8"/>
  <c r="G1690" i="8"/>
  <c r="G1691" i="8"/>
  <c r="G1693" i="8"/>
  <c r="G1695" i="8"/>
  <c r="N260" i="9"/>
  <c r="I260" i="9"/>
  <c r="N259" i="9"/>
  <c r="I259" i="9"/>
  <c r="N258" i="9"/>
  <c r="I258" i="9"/>
  <c r="N257" i="9"/>
  <c r="I257" i="9"/>
  <c r="N256" i="9"/>
  <c r="I256" i="9"/>
  <c r="N255" i="9"/>
  <c r="I255" i="9"/>
  <c r="N254" i="9"/>
  <c r="I254" i="9"/>
  <c r="N253" i="9"/>
  <c r="I253" i="9"/>
  <c r="N252" i="9"/>
  <c r="I252" i="9"/>
  <c r="N251" i="9"/>
  <c r="I251" i="9"/>
  <c r="N250" i="9"/>
  <c r="I250" i="9"/>
  <c r="N249" i="9"/>
  <c r="I249" i="9"/>
  <c r="N248" i="9"/>
  <c r="I248" i="9"/>
  <c r="N247" i="9"/>
  <c r="I247" i="9"/>
  <c r="N246" i="9"/>
  <c r="I246" i="9"/>
  <c r="N245" i="9"/>
  <c r="I245" i="9"/>
  <c r="N244" i="9"/>
  <c r="I244" i="9"/>
  <c r="N243" i="9"/>
  <c r="I243" i="9"/>
  <c r="N242" i="9"/>
  <c r="I242" i="9"/>
  <c r="N241" i="9"/>
  <c r="I241" i="9"/>
  <c r="N240" i="9"/>
  <c r="I240" i="9"/>
  <c r="N239" i="9"/>
  <c r="I239" i="9"/>
  <c r="N238" i="9"/>
  <c r="I238" i="9"/>
  <c r="N237" i="9"/>
  <c r="I237" i="9"/>
  <c r="N236" i="9"/>
  <c r="I236" i="9"/>
  <c r="N235" i="9"/>
  <c r="I235" i="9"/>
  <c r="N234" i="9"/>
  <c r="I234" i="9"/>
  <c r="N233" i="9"/>
  <c r="I233" i="9"/>
  <c r="N232" i="9"/>
  <c r="I232" i="9"/>
  <c r="N231" i="9"/>
  <c r="I231" i="9"/>
  <c r="N230" i="9"/>
  <c r="I230" i="9"/>
  <c r="N229" i="9"/>
  <c r="I229" i="9"/>
  <c r="N228" i="9"/>
  <c r="I228" i="9"/>
  <c r="N227" i="9"/>
  <c r="I227" i="9"/>
  <c r="N226" i="9"/>
  <c r="I226" i="9"/>
  <c r="N225" i="9"/>
  <c r="I225" i="9"/>
  <c r="N224" i="9"/>
  <c r="I224" i="9"/>
  <c r="N223" i="9"/>
  <c r="I223" i="9"/>
  <c r="N222" i="9"/>
  <c r="I222" i="9"/>
  <c r="N221" i="9"/>
  <c r="I221" i="9"/>
  <c r="N220" i="9"/>
  <c r="I220" i="9"/>
  <c r="N219" i="9"/>
  <c r="I219" i="9"/>
  <c r="N218" i="9"/>
  <c r="I218" i="9"/>
  <c r="N217" i="9"/>
  <c r="I217" i="9"/>
  <c r="N216" i="9"/>
  <c r="I216" i="9"/>
  <c r="N215" i="9"/>
  <c r="I215" i="9"/>
  <c r="N214" i="9"/>
  <c r="I214" i="9"/>
  <c r="N213" i="9"/>
  <c r="I213" i="9"/>
  <c r="N212" i="9"/>
  <c r="I212" i="9"/>
  <c r="N211" i="9"/>
  <c r="I211" i="9"/>
  <c r="N210" i="9"/>
  <c r="I210" i="9"/>
  <c r="N209" i="9"/>
  <c r="I209" i="9"/>
  <c r="N208" i="9"/>
  <c r="I208" i="9"/>
  <c r="N207" i="9"/>
  <c r="I207" i="9"/>
  <c r="N206" i="9"/>
  <c r="I206" i="9"/>
  <c r="N205" i="9"/>
  <c r="I205" i="9"/>
  <c r="N204" i="9"/>
  <c r="I204" i="9"/>
  <c r="N203" i="9"/>
  <c r="I203" i="9"/>
  <c r="N202" i="9"/>
  <c r="I202" i="9"/>
  <c r="N201" i="9"/>
  <c r="I201" i="9"/>
  <c r="N200" i="9"/>
  <c r="I200" i="9"/>
  <c r="N199" i="9"/>
  <c r="I199" i="9"/>
  <c r="N198" i="9"/>
  <c r="I198" i="9"/>
  <c r="N197" i="9"/>
  <c r="I197" i="9"/>
  <c r="N196" i="9"/>
  <c r="I196" i="9"/>
  <c r="N195" i="9"/>
  <c r="I195" i="9"/>
  <c r="N194" i="9"/>
  <c r="I194" i="9"/>
  <c r="N193" i="9"/>
  <c r="I193" i="9"/>
  <c r="N192" i="9"/>
  <c r="I192" i="9"/>
  <c r="N191" i="9"/>
  <c r="I191" i="9"/>
  <c r="N190" i="9"/>
  <c r="I190" i="9"/>
  <c r="N189" i="9"/>
  <c r="I189" i="9"/>
  <c r="N188" i="9"/>
  <c r="I188" i="9"/>
  <c r="N187" i="9"/>
  <c r="I187" i="9"/>
  <c r="N186" i="9"/>
  <c r="I186" i="9"/>
  <c r="N185" i="9"/>
  <c r="I185" i="9"/>
  <c r="N184" i="9"/>
  <c r="I184" i="9"/>
  <c r="N183" i="9"/>
  <c r="I183" i="9"/>
  <c r="N182" i="9"/>
  <c r="I182" i="9"/>
  <c r="N181" i="9"/>
  <c r="I181" i="9"/>
  <c r="N180" i="9"/>
  <c r="I180" i="9"/>
  <c r="N179" i="9"/>
  <c r="I179" i="9"/>
  <c r="N178" i="9"/>
  <c r="I178" i="9"/>
  <c r="N177" i="9"/>
  <c r="I177" i="9"/>
  <c r="N176" i="9"/>
  <c r="I176" i="9"/>
  <c r="N175" i="9"/>
  <c r="I175" i="9"/>
  <c r="N174" i="9"/>
  <c r="I174" i="9"/>
  <c r="N173" i="9"/>
  <c r="I173" i="9"/>
  <c r="N172" i="9"/>
  <c r="I172" i="9"/>
  <c r="N171" i="9"/>
  <c r="I171" i="9"/>
  <c r="N170" i="9"/>
  <c r="I170" i="9"/>
  <c r="N169" i="9"/>
  <c r="I169" i="9"/>
  <c r="N168" i="9"/>
  <c r="I168" i="9"/>
  <c r="N167" i="9"/>
  <c r="I167" i="9"/>
  <c r="N166" i="9"/>
  <c r="I166" i="9"/>
  <c r="N165" i="9"/>
  <c r="I165" i="9"/>
  <c r="N164" i="9"/>
  <c r="I164" i="9"/>
  <c r="N163" i="9"/>
  <c r="I163" i="9"/>
  <c r="N162" i="9"/>
  <c r="I162" i="9"/>
  <c r="N161" i="9"/>
  <c r="I161" i="9"/>
  <c r="N160" i="9"/>
  <c r="I160" i="9"/>
  <c r="N159" i="9"/>
  <c r="I159" i="9"/>
  <c r="N158" i="9"/>
  <c r="I158" i="9"/>
  <c r="N157" i="9"/>
  <c r="I157" i="9"/>
  <c r="N156" i="9"/>
  <c r="I156" i="9"/>
  <c r="N155" i="9"/>
  <c r="I155" i="9"/>
  <c r="N154" i="9"/>
  <c r="I154" i="9"/>
  <c r="N153" i="9"/>
  <c r="I153" i="9"/>
  <c r="N152" i="9"/>
  <c r="I152" i="9"/>
  <c r="N151" i="9"/>
  <c r="I151" i="9"/>
  <c r="N150" i="9"/>
  <c r="I150" i="9"/>
  <c r="N149" i="9"/>
  <c r="I149" i="9"/>
  <c r="N148" i="9"/>
  <c r="I148" i="9"/>
  <c r="N147" i="9"/>
  <c r="I147" i="9"/>
  <c r="N146" i="9"/>
  <c r="I146" i="9"/>
  <c r="N145" i="9"/>
  <c r="I145" i="9"/>
  <c r="N144" i="9"/>
  <c r="I144" i="9"/>
  <c r="N143" i="9"/>
  <c r="I143" i="9"/>
  <c r="N142" i="9"/>
  <c r="I142" i="9"/>
  <c r="N141" i="9"/>
  <c r="I141" i="9"/>
  <c r="N140" i="9"/>
  <c r="I140" i="9"/>
  <c r="N139" i="9"/>
  <c r="I139" i="9"/>
  <c r="N138" i="9"/>
  <c r="I138" i="9"/>
  <c r="N137" i="9"/>
  <c r="I137" i="9"/>
  <c r="N136" i="9"/>
  <c r="I136" i="9"/>
  <c r="N135" i="9"/>
  <c r="I135" i="9"/>
  <c r="N134" i="9"/>
  <c r="I134" i="9"/>
  <c r="N133" i="9"/>
  <c r="I133" i="9"/>
  <c r="N132" i="9"/>
  <c r="I132" i="9"/>
  <c r="N131" i="9"/>
  <c r="I131" i="9"/>
  <c r="N130" i="9"/>
  <c r="I130" i="9"/>
  <c r="N129" i="9"/>
  <c r="I129" i="9"/>
  <c r="N128" i="9"/>
  <c r="I128" i="9"/>
  <c r="N127" i="9"/>
  <c r="I127" i="9"/>
  <c r="N126" i="9"/>
  <c r="I126" i="9"/>
  <c r="N125" i="9"/>
  <c r="I125" i="9"/>
  <c r="N124" i="9"/>
  <c r="I124" i="9"/>
  <c r="N123" i="9"/>
  <c r="I123" i="9"/>
  <c r="N122" i="9"/>
  <c r="I122" i="9"/>
  <c r="N121" i="9"/>
  <c r="I121" i="9"/>
  <c r="N120" i="9"/>
  <c r="I120" i="9"/>
  <c r="N119" i="9"/>
  <c r="I119" i="9"/>
  <c r="N118" i="9"/>
  <c r="I118" i="9"/>
  <c r="N117" i="9"/>
  <c r="I117" i="9"/>
  <c r="N116" i="9"/>
  <c r="I116" i="9"/>
  <c r="N115" i="9"/>
  <c r="I115" i="9"/>
  <c r="N114" i="9"/>
  <c r="I114" i="9"/>
  <c r="N113" i="9"/>
  <c r="I113" i="9"/>
  <c r="N112" i="9"/>
  <c r="I112" i="9"/>
  <c r="N111" i="9"/>
  <c r="I111" i="9"/>
  <c r="N110" i="9"/>
  <c r="I110" i="9"/>
  <c r="N109" i="9"/>
  <c r="I109" i="9"/>
  <c r="N108" i="9"/>
  <c r="I108" i="9"/>
  <c r="N107" i="9"/>
  <c r="I107" i="9"/>
  <c r="N106" i="9"/>
  <c r="I106" i="9"/>
  <c r="N105" i="9"/>
  <c r="I105" i="9"/>
  <c r="N104" i="9"/>
  <c r="I104" i="9"/>
  <c r="N103" i="9"/>
  <c r="I103" i="9"/>
  <c r="N102" i="9"/>
  <c r="I102" i="9"/>
  <c r="N101" i="9"/>
  <c r="I101" i="9"/>
  <c r="N100" i="9"/>
  <c r="I100" i="9"/>
  <c r="N99" i="9"/>
  <c r="I99" i="9"/>
  <c r="N98" i="9"/>
  <c r="I98" i="9"/>
  <c r="N97" i="9"/>
  <c r="I97" i="9"/>
  <c r="N96" i="9"/>
  <c r="I96" i="9"/>
  <c r="N95" i="9"/>
  <c r="I95" i="9"/>
  <c r="N94" i="9"/>
  <c r="I94" i="9"/>
  <c r="N93" i="9"/>
  <c r="I93" i="9"/>
  <c r="N92" i="9"/>
  <c r="I92" i="9"/>
  <c r="N91" i="9"/>
  <c r="I91" i="9"/>
  <c r="N90" i="9"/>
  <c r="I90" i="9"/>
  <c r="N89" i="9"/>
  <c r="I89" i="9"/>
  <c r="N88" i="9"/>
  <c r="I88" i="9"/>
  <c r="N87" i="9"/>
  <c r="I87" i="9"/>
  <c r="N86" i="9"/>
  <c r="I86" i="9"/>
  <c r="N85" i="9"/>
  <c r="I85" i="9"/>
  <c r="N84" i="9"/>
  <c r="I84" i="9"/>
  <c r="N83" i="9"/>
  <c r="I83" i="9"/>
  <c r="N82" i="9"/>
  <c r="I82" i="9"/>
  <c r="N81" i="9"/>
  <c r="I81" i="9"/>
  <c r="N80" i="9"/>
  <c r="I80" i="9"/>
  <c r="N79" i="9"/>
  <c r="I79" i="9"/>
  <c r="N78" i="9"/>
  <c r="I78" i="9"/>
  <c r="N77" i="9"/>
  <c r="I77" i="9"/>
  <c r="N76" i="9"/>
  <c r="I76" i="9"/>
  <c r="N75" i="9"/>
  <c r="I75" i="9"/>
  <c r="N74" i="9"/>
  <c r="I74" i="9"/>
  <c r="N73" i="9"/>
  <c r="I73" i="9"/>
  <c r="N72" i="9"/>
  <c r="I72" i="9"/>
  <c r="N71" i="9"/>
  <c r="I71" i="9"/>
  <c r="N70" i="9"/>
  <c r="I70" i="9"/>
  <c r="N69" i="9"/>
  <c r="I69" i="9"/>
  <c r="N68" i="9"/>
  <c r="I68" i="9"/>
  <c r="N67" i="9"/>
  <c r="I67" i="9"/>
  <c r="N66" i="9"/>
  <c r="I66" i="9"/>
  <c r="N65" i="9"/>
  <c r="I65" i="9"/>
  <c r="N64" i="9"/>
  <c r="I64" i="9"/>
  <c r="N63" i="9"/>
  <c r="I63" i="9"/>
  <c r="N62" i="9"/>
  <c r="I62" i="9"/>
  <c r="N61" i="9"/>
  <c r="I61" i="9"/>
  <c r="N60" i="9"/>
  <c r="I60" i="9"/>
  <c r="N59" i="9"/>
  <c r="I59" i="9"/>
  <c r="N58" i="9"/>
  <c r="I58" i="9"/>
  <c r="N57" i="9"/>
  <c r="I57" i="9"/>
  <c r="N56" i="9"/>
  <c r="I56" i="9"/>
  <c r="N55" i="9"/>
  <c r="I55" i="9"/>
  <c r="N54" i="9"/>
  <c r="I54" i="9"/>
  <c r="N53" i="9"/>
  <c r="I53" i="9"/>
  <c r="N52" i="9"/>
  <c r="I52" i="9"/>
  <c r="N51" i="9"/>
  <c r="I51" i="9"/>
  <c r="N50" i="9"/>
  <c r="I50" i="9"/>
  <c r="N49" i="9"/>
  <c r="I49" i="9"/>
  <c r="N48" i="9"/>
  <c r="I48" i="9"/>
  <c r="N47" i="9"/>
  <c r="I47" i="9"/>
  <c r="N46" i="9"/>
  <c r="I46" i="9"/>
  <c r="N45" i="9"/>
  <c r="I45" i="9"/>
  <c r="N44" i="9"/>
  <c r="I44" i="9"/>
  <c r="N43" i="9"/>
  <c r="I43" i="9"/>
  <c r="N42" i="9"/>
  <c r="I42" i="9"/>
  <c r="N41" i="9"/>
  <c r="I41" i="9"/>
  <c r="N40" i="9"/>
  <c r="I40" i="9"/>
  <c r="N39" i="9"/>
  <c r="I39" i="9"/>
  <c r="N38" i="9"/>
  <c r="I38" i="9"/>
  <c r="N37" i="9"/>
  <c r="I37" i="9"/>
  <c r="N36" i="9"/>
  <c r="I36" i="9"/>
  <c r="N35" i="9"/>
  <c r="I35" i="9"/>
  <c r="N34" i="9"/>
  <c r="I34" i="9"/>
  <c r="N33" i="9"/>
  <c r="I33" i="9"/>
  <c r="N32" i="9"/>
  <c r="I32" i="9"/>
  <c r="N31" i="9"/>
  <c r="I31" i="9"/>
  <c r="N30" i="9"/>
  <c r="I30" i="9"/>
  <c r="N29" i="9"/>
  <c r="I29" i="9"/>
  <c r="N28" i="9"/>
  <c r="I28" i="9"/>
  <c r="N27" i="9"/>
  <c r="I27" i="9"/>
  <c r="N26" i="9"/>
  <c r="I26" i="9"/>
  <c r="N25" i="9"/>
  <c r="I25" i="9"/>
  <c r="N24" i="9"/>
  <c r="I24" i="9"/>
  <c r="N23" i="9"/>
  <c r="I23" i="9"/>
  <c r="N22" i="9"/>
  <c r="I22" i="9"/>
  <c r="N21" i="9"/>
  <c r="I21" i="9"/>
  <c r="N20" i="9"/>
  <c r="I20" i="9"/>
  <c r="N19" i="9"/>
  <c r="I19" i="9"/>
  <c r="N18" i="9"/>
  <c r="I18" i="9"/>
  <c r="N17" i="9"/>
  <c r="I17" i="9"/>
  <c r="N16" i="9"/>
  <c r="I16" i="9"/>
  <c r="N15" i="9"/>
  <c r="I15" i="9"/>
  <c r="N14" i="9"/>
  <c r="I14" i="9"/>
  <c r="N13" i="9"/>
  <c r="I13" i="9"/>
  <c r="N12" i="9"/>
  <c r="I12" i="9"/>
  <c r="N11" i="9"/>
  <c r="I11" i="9"/>
  <c r="N10" i="9"/>
  <c r="I10" i="9"/>
  <c r="N9" i="9"/>
  <c r="I9" i="9"/>
  <c r="N8" i="9"/>
  <c r="I8" i="9"/>
  <c r="N7" i="9"/>
  <c r="I7" i="9"/>
  <c r="N6" i="9"/>
  <c r="I6" i="9"/>
  <c r="N5" i="9"/>
  <c r="I5" i="9"/>
  <c r="N4" i="9"/>
  <c r="I4" i="9"/>
  <c r="N3" i="9"/>
  <c r="I3" i="9"/>
  <c r="N2" i="9"/>
  <c r="I2" i="9"/>
  <c r="N1" i="9"/>
  <c r="I1" i="9"/>
  <c r="Z12" i="1" l="1"/>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4" i="4"/>
  <c r="AC129" i="4"/>
  <c r="AC123" i="4"/>
  <c r="AC53" i="4"/>
  <c r="W9" i="1" l="1"/>
  <c r="T9" i="1" l="1"/>
</calcChain>
</file>

<file path=xl/sharedStrings.xml><?xml version="1.0" encoding="utf-8"?>
<sst xmlns="http://schemas.openxmlformats.org/spreadsheetml/2006/main" count="17691" uniqueCount="3007">
  <si>
    <t>FORMATO DE ACTA DE CONCILIACION DE CUENTAS MÉDICAS SINAC S.C - ESE HOSPITAL UNIVERSITARIO DE SANTANDER</t>
  </si>
  <si>
    <t>NIT:</t>
  </si>
  <si>
    <t>Razon Social :</t>
  </si>
  <si>
    <t>FECHA CONCILIACION</t>
  </si>
  <si>
    <t>NUMERO ACTA</t>
  </si>
  <si>
    <t>PERIODO  DE CONCILIACION</t>
  </si>
  <si>
    <t>CANTIDAD FACTURAS</t>
  </si>
  <si>
    <t>VALOR A CONCILIAR</t>
  </si>
  <si>
    <t>VALOR ACEPTA IPS</t>
  </si>
  <si>
    <t>VALOR LEVANTA EPS</t>
  </si>
  <si>
    <t>VALOR A REFACTURAR</t>
  </si>
  <si>
    <t>VALOR REFACTURAR</t>
  </si>
  <si>
    <t>ITEM</t>
  </si>
  <si>
    <t>RADICADO / ACTA ENTIDAD</t>
  </si>
  <si>
    <t>NUMERO FACTURA</t>
  </si>
  <si>
    <t>FECHA FACTURA</t>
  </si>
  <si>
    <t>TIPO DE GLOSA 
ADM - MIX - MED</t>
  </si>
  <si>
    <t>TIPIFICACION</t>
  </si>
  <si>
    <t>COD GLOSA</t>
  </si>
  <si>
    <t>DESCRIPCION GLOSA</t>
  </si>
  <si>
    <t>VALOR FACTURA</t>
  </si>
  <si>
    <t>VALOR GLOSA INICIAL</t>
  </si>
  <si>
    <t>VALOR PENDIENTE POR CONCILIAR</t>
  </si>
  <si>
    <t>VALOR LEVANTA  ENTIDAD</t>
  </si>
  <si>
    <t>VALOR RATIFICADO</t>
  </si>
  <si>
    <t>DESCRIPCION DE CONCILIACION</t>
  </si>
  <si>
    <t xml:space="preserve">OBSERVACION NOTA CREDITO </t>
  </si>
  <si>
    <t>ABOGADO ASIGNADO</t>
  </si>
  <si>
    <t>CENTRO DE COSTO</t>
  </si>
  <si>
    <t>CUENTA CONTABLE</t>
  </si>
  <si>
    <t>Observaciones:</t>
  </si>
  <si>
    <t>Esta acta presta merito ejecutivo para todos los efectos civiles, en el sentido de garantizar el cumplimiento de las obligaciones aquí contenidas.</t>
  </si>
  <si>
    <t>FECHA  RADICACION FACTURA A ENTIDAD</t>
  </si>
  <si>
    <t>FECHA OBJECION</t>
  </si>
  <si>
    <t>FECHA OBJECION RATIFICACION</t>
  </si>
  <si>
    <t>COD GLOSA RATIFICADA</t>
  </si>
  <si>
    <t>CONCEPTO GLOSA RATIFICADA</t>
  </si>
  <si>
    <t>MOTIVO GLOSA RATIFICADA</t>
  </si>
  <si>
    <t>VALRO GLOSA RATIFICADA</t>
  </si>
  <si>
    <t xml:space="preserve">CONCEPTO NOTA CREDTIO </t>
  </si>
  <si>
    <t xml:space="preserve">CONCEPTO NOTA DEBITO </t>
  </si>
  <si>
    <t>VALOR ND</t>
  </si>
  <si>
    <t xml:space="preserve"> </t>
  </si>
  <si>
    <t>DIFERENCIA ETRE LA GLOSA INICIAL Y LA ACEPTACION EN CONCILIACION</t>
  </si>
  <si>
    <t>HUS0000414638</t>
  </si>
  <si>
    <t>HUS0000415591</t>
  </si>
  <si>
    <t>HUS0000415435</t>
  </si>
  <si>
    <t>HUS0000415322</t>
  </si>
  <si>
    <t>HUS0000415683</t>
  </si>
  <si>
    <t>HUS0000415897</t>
  </si>
  <si>
    <t>HUS0000416671</t>
  </si>
  <si>
    <t>HUS0000416746</t>
  </si>
  <si>
    <t>HUS0000417269</t>
  </si>
  <si>
    <t>HUS0000412903</t>
  </si>
  <si>
    <t>HUS0000412697</t>
  </si>
  <si>
    <t>HUS0000414642</t>
  </si>
  <si>
    <t>HUS0000412682</t>
  </si>
  <si>
    <t>HUS0000417459</t>
  </si>
  <si>
    <t>HUS0000412324</t>
  </si>
  <si>
    <t>HUS0000417807</t>
  </si>
  <si>
    <t>HUS0000418147</t>
  </si>
  <si>
    <t>HUS0000419699</t>
  </si>
  <si>
    <t>HUS0000420690</t>
  </si>
  <si>
    <t>HUS0000420727</t>
  </si>
  <si>
    <t>HUS0000420752</t>
  </si>
  <si>
    <t>HUS0000419545</t>
  </si>
  <si>
    <t>HUS0000420024</t>
  </si>
  <si>
    <t>HUS0000420099</t>
  </si>
  <si>
    <t>HUS0000421295</t>
  </si>
  <si>
    <t>HUS0000421733</t>
  </si>
  <si>
    <t>HUS0000421956</t>
  </si>
  <si>
    <t>HUS0000418576</t>
  </si>
  <si>
    <t>HUS0000420160</t>
  </si>
  <si>
    <t>HUS0000420107</t>
  </si>
  <si>
    <t>HUS0000421741</t>
  </si>
  <si>
    <t>HUS0000422238</t>
  </si>
  <si>
    <t>HUS0000423050</t>
  </si>
  <si>
    <t>HUS0000426076</t>
  </si>
  <si>
    <t>HUS0000426037</t>
  </si>
  <si>
    <t>HUS0000425903</t>
  </si>
  <si>
    <t>HUS0000426045</t>
  </si>
  <si>
    <t>HUS0000426013</t>
  </si>
  <si>
    <t>HUS0000423680</t>
  </si>
  <si>
    <t>HUS0000421920</t>
  </si>
  <si>
    <t>HUS0000423686</t>
  </si>
  <si>
    <t>HUS0000426969</t>
  </si>
  <si>
    <t>HUS0000429174</t>
  </si>
  <si>
    <t>HUS0000429257</t>
  </si>
  <si>
    <t>HUS0000431849</t>
  </si>
  <si>
    <t>HUS0000432182</t>
  </si>
  <si>
    <t>HUS0000432192</t>
  </si>
  <si>
    <t>HUS0000428425</t>
  </si>
  <si>
    <t>HUS0000428523</t>
  </si>
  <si>
    <t>HUS0000429158</t>
  </si>
  <si>
    <t>HUS0000432724</t>
  </si>
  <si>
    <t>HUS0000432444</t>
  </si>
  <si>
    <t>HUS0000432332</t>
  </si>
  <si>
    <t>HUS0000428860</t>
  </si>
  <si>
    <t>HUS0000429474</t>
  </si>
  <si>
    <t>HUS0000432263</t>
  </si>
  <si>
    <t>HUS0000431771</t>
  </si>
  <si>
    <t>HUS0000433664</t>
  </si>
  <si>
    <t>HUS0000431722</t>
  </si>
  <si>
    <t>HUS0000434167</t>
  </si>
  <si>
    <t>HUS0000435634</t>
  </si>
  <si>
    <t>HUS0000433161</t>
  </si>
  <si>
    <t>HUS0000434018</t>
  </si>
  <si>
    <t>HUS0000434180</t>
  </si>
  <si>
    <t>HUS0000434698</t>
  </si>
  <si>
    <t>HUS0000432292</t>
  </si>
  <si>
    <t>HUS0000380363</t>
  </si>
  <si>
    <t>HUS0000402399</t>
  </si>
  <si>
    <t>HUS0000429731</t>
  </si>
  <si>
    <t>HUS0000432884</t>
  </si>
  <si>
    <t>HUS0000433763</t>
  </si>
  <si>
    <t>HUS0000434322</t>
  </si>
  <si>
    <t>HUS0000435046</t>
  </si>
  <si>
    <t>HUS0000435139</t>
  </si>
  <si>
    <t>HUS0000435485</t>
  </si>
  <si>
    <t>HUS0000435492</t>
  </si>
  <si>
    <t>HUS0000432005</t>
  </si>
  <si>
    <t>HUS0000432159</t>
  </si>
  <si>
    <t>HUS0000432871</t>
  </si>
  <si>
    <t>HUS0000435633</t>
  </si>
  <si>
    <t>HUS0000439635</t>
  </si>
  <si>
    <t>HUS0000435811</t>
  </si>
  <si>
    <t>HUS0000437357</t>
  </si>
  <si>
    <t>HUS0000439341</t>
  </si>
  <si>
    <t>HUS0000439349</t>
  </si>
  <si>
    <t>HUS0000439384</t>
  </si>
  <si>
    <t>HUS0000439423</t>
  </si>
  <si>
    <t>HUS0000433131</t>
  </si>
  <si>
    <t>HUS0000437218</t>
  </si>
  <si>
    <t>HUS0000437559</t>
  </si>
  <si>
    <t>HUS0000437582</t>
  </si>
  <si>
    <t>HUS0000439787</t>
  </si>
  <si>
    <t>HUS0000442730</t>
  </si>
  <si>
    <t>HUS0000440319</t>
  </si>
  <si>
    <t>HUS0000440328</t>
  </si>
  <si>
    <t>HUS0000441292</t>
  </si>
  <si>
    <t>HUS0000442197</t>
  </si>
  <si>
    <t>HUS0000446260</t>
  </si>
  <si>
    <t>HUS0000443840</t>
  </si>
  <si>
    <t>HUS0000444618</t>
  </si>
  <si>
    <t>HUS0000444741</t>
  </si>
  <si>
    <t>HUS0000445477</t>
  </si>
  <si>
    <t>ESTADO</t>
  </si>
  <si>
    <t>FacturaCartera.Tercero.Documento</t>
  </si>
  <si>
    <t>NO GLOSA O DEV.</t>
  </si>
  <si>
    <t>FECHA  GLOSA O DEV.</t>
  </si>
  <si>
    <t>AÑO GLOSA O DEV</t>
  </si>
  <si>
    <t>MES GLOSA O DEV</t>
  </si>
  <si>
    <t>FACTURA</t>
  </si>
  <si>
    <t>DD</t>
  </si>
  <si>
    <t>Observaciones</t>
  </si>
  <si>
    <t>FechaObjecion</t>
  </si>
  <si>
    <t>FacturaCartera.PlanBeneficio.Contrato.Codigo</t>
  </si>
  <si>
    <t>FacturaCartera.PlanBeneficio.Codigo</t>
  </si>
  <si>
    <t>UsuarioConfirmacion.Nombre</t>
  </si>
  <si>
    <t>UsuarioCreacion.Nombre</t>
  </si>
  <si>
    <t>UsuarioCreacion.Descripcion</t>
  </si>
  <si>
    <t>UsuarioConfirmacion.Descripcion</t>
  </si>
  <si>
    <t>EstadoActual</t>
  </si>
  <si>
    <t>FacturaCartera.PlanBeneficio.Contrato.Entidad.NombreEntidad</t>
  </si>
  <si>
    <t>FacturaCartera.PlanBeneficio.Contrato.Entidad.CodigoEntidad</t>
  </si>
  <si>
    <t>FacturaCartera.EstadoCartera</t>
  </si>
  <si>
    <t>FacturaCartera.Saldo</t>
  </si>
  <si>
    <t>FacturaCartera.Valor</t>
  </si>
  <si>
    <t>FacturaCartera.Fecha</t>
  </si>
  <si>
    <t>FacturaCartera.PlanBeneficio.CuentaObjecion.Nombre</t>
  </si>
  <si>
    <t>FacturaCartera.PlanBeneficio.CuentaObjecion.Codigo</t>
  </si>
  <si>
    <t>ENTIDAD</t>
  </si>
  <si>
    <t>ListadoConceptos.ConceptoObjecion.Codigo</t>
  </si>
  <si>
    <t>ListadoConceptos.ConceptoObjecion.Nombre</t>
  </si>
  <si>
    <t>ListadoConceptos.ServicioProductoFactura.Codigo</t>
  </si>
  <si>
    <t>ListadoConceptos.ServicioProductoFactura.Descripcion</t>
  </si>
  <si>
    <t>VLR RADICADOS</t>
  </si>
  <si>
    <t>DDD</t>
  </si>
  <si>
    <t>ListadoConceptos.Observaciones</t>
  </si>
  <si>
    <t>Glosa_Inicial</t>
  </si>
  <si>
    <t>Administrativo</t>
  </si>
  <si>
    <t>JOHAN DANIEL FONCE PINZON</t>
  </si>
  <si>
    <t>Confirmado</t>
  </si>
  <si>
    <t>U220311 - DIRECCION DE SANIDAD EJERCITO - DISPENSARIO MEDICO BUCARAMANG</t>
  </si>
  <si>
    <t xml:space="preserve">DISPENSARIO MEDICO BUCARAMANGA </t>
  </si>
  <si>
    <t>TA0201</t>
  </si>
  <si>
    <t>El cargo por consulta, interconsulta o atención (visita) domiciliaria que viene relacionado o justificado en los soportes de cobro, presenta diferencias con los valores pactados o establecidos por la norma</t>
  </si>
  <si>
    <t xml:space="preserve">SE GLOSA MAYOR VALOR COBRADO  IPS SIN ACUERDO DE VOLUNTADES VIGENTE SE RECONOCE SOAT UVB SEGUN DECRETO 1760 DE 2022. SE AJUSTA LA DIFERENCIA_x000D_
</t>
  </si>
  <si>
    <t>KAREN LORENA ORTIZ AMAYA</t>
  </si>
  <si>
    <t>C250041 - DISPENSARIO MEDICO BUCARAMANGA MEBUG</t>
  </si>
  <si>
    <t>FA0101</t>
  </si>
  <si>
    <t>El cargo por estancia u observación de urgencias, que viene relacionado o justificado en los soportes de cobro, presenta diferencia con las cantidades facturadas</t>
  </si>
  <si>
    <t xml:space="preserve">SE OBJETA 1 DIA DE ESTANCIA ACTURADA EN CUIDADO INTERMEDIO PACIENE INGRESA EL DIA 18 AGOSTO EGRESA 20 AGOSTO 18 HORAS  SE RECONOCE LOS 2 DIAS DE ESTANCIA QUE PERMANECIO EL PACIENTE._x000D_
</t>
  </si>
  <si>
    <t>Medico</t>
  </si>
  <si>
    <t>CL0101</t>
  </si>
  <si>
    <t>El cargo por estancia sea en observación de urgencias o habitación, que viene relacionado en los soportes de la factura de venta en salud no es pertinente</t>
  </si>
  <si>
    <t>SE GLOSA LA ESTANCIA HOSPITALARIA COMPRENDIDA ENTRE EL 2 Y EL 14 DE AGOSTO DE 2025  POR NO PERTINENCIA MÉDICA  DADO QUE EL PACIENTE SE ENCONTRABA CLÍNICAMENTE ESTABLE  CON TRATAMIENTO ANTIBIÓTICO FINALIZADO Y SIN REQUERIMIENTOS DE MANEJO INTRAHOSPITALARIO ACTIVO. LA PERMANENCIA DURANTE DICHO PERIODO OBEDECIÓ ÚNICAMENTE A TRÁMITES ADMINISTRATIVOS RELACIONADOS CON AUTORIZACIONES DE INSUMOS  LOS CUALES PUEDEN GESTIONARSE EN EL ÁMBITO AMBULATORIO  SIN JUSTIFICAR LA OCUPACIÓN DE CAMA HOSPITALARIA.</t>
  </si>
  <si>
    <t>Mixta</t>
  </si>
  <si>
    <t>CL0201</t>
  </si>
  <si>
    <t>El cargo por consulta, interconsulta o atención (visita) domiciliaria que viene relacionado en los soportes de cobro no es pertinente</t>
  </si>
  <si>
    <t xml:space="preserve">SE GLOSA CUIDADO O MANEJO POR MEDICINA ESPECIALIZADAPACIENTE QUIRURGICO NO AMERITA SU COBRO_x000D_
</t>
  </si>
  <si>
    <t>TA5801</t>
  </si>
  <si>
    <t>Los cargos por procedimientos quirúrgicos o intervencionistas que vienen relacionados o justificados en los soportes de cobro presentan diferencias con los valores pactados o establecidos por la norma</t>
  </si>
  <si>
    <t xml:space="preserve">SE GLOSA MAYOR VALOR FACTURADO EN COLANGIODUODENO PANCREATOGRAFIA ENDOSCOPICA CPRE ENTIDAD SIN CONTRATO NO SE EVIDENCIA COTIZACION NI AUTORIZACION DEL PROCEDIMIENTO SE RECONOCE A SOAT VIGENTE EN TARIFAS UVB $2917 900 SE RELIQUIDA Y SE GLOSA LA DIFERENCIA_x000D_
</t>
  </si>
  <si>
    <t>FA0203</t>
  </si>
  <si>
    <t>Se cobran consultas o atenciones (visitas) domiciliarias que ya se encuentran incluidas en una atención agrupada, de acuerdo con lo pactado por las partes</t>
  </si>
  <si>
    <t xml:space="preserve">SE GLOSA CONSULTA DE URGENCIAS POR MEDICINA GENERAL PACIENTE INGRESA REMITIDO DE OTRO CEENTRO ASISTENCIAL_x000D_
</t>
  </si>
  <si>
    <t xml:space="preserve">TA5801  SE GLOSA BLOQUEO SIMPATICO REGIONAL (CERVICAL  TORACICO O LUMBAR)    MAYOR VALOR SE ACEPTA VALOR UVB SEGUN NORMATIVIDAD VIGENTE ._x000D_
</t>
  </si>
  <si>
    <t>TA0101</t>
  </si>
  <si>
    <t>El cargo por estancias u observación de urgencias, que viene relacionado o justificado en los soportes de cobro, presenta diferencia con los valores pactados o establecidos por la norma</t>
  </si>
  <si>
    <t xml:space="preserve">MAYOR VALOR COBRADO EN HABITACION COMP EJIDAD ALTA MULTIPLE. EN CONTRATO 312 ENTRE IPS Y DISAN EL VALOR ESTA ESTIPULADO EN $331.660. SE OBJETA LA DIFERENCIA.$66.920_x000D_
</t>
  </si>
  <si>
    <t xml:space="preserve">MAYOR VALOR COBRADO EN CONSULTA DE URGENCIAS. EN CONTRATO 312 ENTRE IPS Y DISAN EL VALOR ESTA ESTIPULADO EN $ 79.304. SE OBJETA LA DIFERENCIA_x000D_
 ||||| MAYOR VALOR COBRADO EN CUIDADO MANEJO INTRAHOSPITALARIO POR ESPECIALISTA. EN CONTRATO 312 ENTRE IPS Y DISAN EL VALOR ESTA ESTIPULADO EN $ 80.592. SE OBJETA LA DIFERENCIA_x000D_
</t>
  </si>
  <si>
    <t>TA0801</t>
  </si>
  <si>
    <t>Los cargos por apoyo diagnóstico que vienen relacionados o justificados en los soportes de cobro presentan diferencias con los valores pactados o establecidos por la norma</t>
  </si>
  <si>
    <t xml:space="preserve">MAYOR VALOR COBRADO EN ACIDO FOLICO EN CONTRATO 312 ENTRE IPS Y DISAN EL VALOR ESTA ESTIPULADO EN $ 85.652. SE OBJETA LA DIFERENCIA.$203_x000D_
 ||||| MAYOR VALOR COBRADO EN BUN. EN CONTRATO 312 ENTRE IPS Y DISAN EL VALOR ESTA ESTIPULADO EN $ 16.100. SE OBJETA LA DIFERENCIA_x000D_
 ||||| MAYOR VALOR COBRADO EN CREATININA EN CONTRATO 312 ENTRE IPS Y DISAN EL VALOR ESTA ESTIPULADO EN $ 19.320. SE OBJETA LA DIFERENCIA.$28_x000D_
 ||||| MAYOR VALOR COBRADO EN ECO VIAS URINARIAS EN CONTRATO 312 ENTRE IPS Y DISAN EL VALOR ESTA ESTIPULADO EN $ 189.244. SE OBJETA LA DIFERENCIA.$605_x000D_
 ||||| MAYOR VALOR COBRADO EN PCR EN CONTRATO 312 ENTRE IPS Y DISAN EL VALOR ESTA ESTIPULADO EN $ 67.804. SE OBJETA LA DIFERENCIA.$316_x000D_
 ||||| MAYOR VALOR COBRADO EN POTASIO. EN CONTRATO 312 ENTRE IPS Y DISAN EL VALOR ESTA ESTIPULADO EN $ 47.656. SE OBJETA LA DIFERENCIA_x000D_
 ||||| MAYOR VALOR COBRADO EN RX DE TORAX EN CONTRATO 312 ENTRE IPS Y DISAN EL VALOR ESTA ESTIPULADO EN $ 96.692. SE OBJETA LA DIFERENCIA.$46_x000D_
 ||||| MAYOR VALOR COBRADO EN SODIO. EN CONTRATO 312 ENTRE IPS Y DISAN EL VALOR ESTA ESTIPULADO EN $ 15272. SE OBJETA LA DIFERENCIA  $45_x000D_
 ||||| MAYOR VALOR COBRADO EN SODIO. EN CONTRATO 312 ENTRE IPS Y DISAN EL VALOR ESTA ESTIPULADO EN $ 39.376. SE OBJETA LA DIFERENCIA.$126_x000D_
 ||||| MAYOR VALOR COBRADO EN TP EN CONTRATO 312 ENTRE IPS Y DISAN EL VALOR ESTA ESTIPULADO EN $ 48.576. SE OBJETA LA DIFERENCIA.$196_x000D_
 ||||| MAYOR VALOR COBRADO EN TPT EN CONTRATO 312 ENTRE IPS Y DISAN EL VALOR ESTA ESTIPULADO EN $ 47.196. SE OBJETA LA DIFERENCIA.$633_x000D_
 ||||| MAYOR VALOR COBRADO EN UROANALISIS. EN CONTRATO 312 ENTRE IPS Y DISAN EL VALOR ESTA ESTIPULADO EN $ 21.344. SE OBJETA LA DIFERENCIA_x000D_
 ||||| MAYOR VALOR COBRADO EN UROCULTIVO. EN CONTRATO 312 ENTRE IPS Y DISAN EL VALOR ESTA ESTIPULADO EN $ 87.952. SE OBJETA LA DIFERENCIA_x000D_
 ||||| MAYOR VALOR COBRADO EN VIT B12 EN CONTRATO 312 ENTRE IPS Y DISAN EL VALOR ESTA ESTIPULADO EN $ 176.824. SE OBJETA LA DIFERENCIA.$530_x000D_
 ||||| MAYOR VALOR COBRADO EXTENDIDO DE SANGRE  PERIFERICA CONTRATO 312 ENTRE IPS Y DISAN EL VALOR ESTA ESTIPULADO EN $ 12052 SE OBJETA LA DIFERENCIA.$40_x000D_
 ||||| MAYOR VALOR COBRADO RECUENTO DE RETICULOCITOS  CONTRATO 312 ENTRE IPS Y DISAN EL VALOR ESTA ESTIPULADO EN $ 21344 SE OBJETA LA DIFERENCIA.$19_x000D_
 ||||| MAYOR VALOR COBRADO TRANSFERRINA  CONTRATO 312 ENTRE IPS Y DISAN EL VALOR ESTA ESTIPULADO EN $ 120060. SE OBJETA LA DIFERENCIA.$460_x000D_
 ||||| MAYOR VALOR COBRADO VITAMINA D EN CONTRATO 312 ENTRE IPS Y DISAN EL VALOR ESTA ESTIPULADO EN $ 176824. SE OBJETA LA DIFERENCIA.$530_x000D_
</t>
  </si>
  <si>
    <t>TA2301</t>
  </si>
  <si>
    <t>Los cargos por otros procedimientos no quirúrgicos que vienen relacionados o justificados en los soportes de cobro presentan diferencias con los valores pactados o establecidos por la norma</t>
  </si>
  <si>
    <t xml:space="preserve">MAYOR VALOR COBRADO EN TERAPIA FISICA EN CONTRATO 312 ENTRE IPS Y DISAN EL VALOR ESTA ESTIPULADO EN $ 30912. SE OBJETA LA DIFERENCIA.$125_x000D_
</t>
  </si>
  <si>
    <t xml:space="preserve">MAYOR VALOR COBRADO EN CONSULTA DE URGENCIAS. EN CONTRATO 312 ENTRE IPS Y DISAN EL VALOR ESTA ESTIPULADO EN $ 79.304. SE OBJETA LA DIFERENCIA  $103_x000D_
 ||||| MAYOR VALOR COBRADO EN CUIDADO MANEJO INTRAHOSPITALARIO POR ESPECIALISTA. EN CONTRATO 312 ENTRE IPS Y DISAN EL VALOR ESTA ESTIPULADO EN $ 80.592. SE OBJETA LA DIFERENCIA  $1704_x000D_
 ||||| MAYOR VALOR COBRADO EN INTERCONSULTA POR PSICOLOGIA.  EN CONTRATO 312 ENTRE IPS Y DISAN EL VALOR ESTA ESTIPULADO EN $ 32.936. SE OBJETA LA DIFERENCIA.$116_x000D_
</t>
  </si>
  <si>
    <t xml:space="preserve">MAYOR VALOR COBRADO AMILASA.  EN CONTRATO 312 ENTRE IPS Y DISAN EL VALOR ESTA ESTIPULADO EN $ 26.128 SE OBJETA LA DIFERENCIA.$72_x000D_
 ||||| MAYOR VALOR COBRADO ECO ABDOMEN TOTAL.  EN CONTRATO 312 ENTRE IPS Y DISAN EL VALOR ESTA ESTIPULADO EN $ 312.432. SE OBJETA LA DIFERENCIA.$759_x000D_
 ||||| MAYOR VALOR COBRADO EKG.  EN CONTRATO 312 ENTRE IPS Y DISAN EL VALOR ESTA ESTIPULADO EN $ 65.964. SE OBJETA LA DIFERENCIA.$141_x000D_
 ||||| MAYOR VALOR COBRADO EN ACIDO FOLICO EN CONTRATO 312 ENTRE IPS Y DISAN EL VALOR ESTA ESTIPULADO EN $ 85.652. SE OBJETA LA DIFERENCIA.$203_x000D_
 ||||| MAYOR VALOR COBRADO EN CREATININA EN CONTRATO 312 ENTRE IPS Y DISAN EL VALOR ESTA ESTIPULADO EN $ 19.320. SE OBJETA LA DIFERENCIA.$28_x000D_
 ||||| MAYOR VALOR COBRADO EN PCR EN CONTRATO 312 ENTRE IPS Y DISAN EL VALOR ESTA ESTIPULADO EN $ 67.804. SE OBJETA LA DIFERENCIA.$316_x000D_
 ||||| MAYOR VALOR COBRADO EN RX DE TORAX EN CONTRATO 312 ENTRE IPS Y DISAN EL VALOR ESTA ESTIPULADO EN $ 96.692. SE OBJETA LA DIFERENCIA.$46_x000D_
 ||||| MAYOR VALOR COBRADO EN TP EN CONTRATO 312 ENTRE IPS Y DISAN EL VALOR ESTA ESTIPULADO EN $ 48.576. SE OBJETA LA DIFERENCIA.$196_x000D_
 ||||| MAYOR VALOR COBRADO EN TPT EN CONTRATO 312 ENTRE IPS Y DISAN EL VALOR ESTA ESTIPULADO EN $ 47.196. SE OBJETA LA DIFERENCIA.$633_x000D_
 ||||| MAYOR VALOR COBRADO EN VIT B12 EN CONTRATO 312 ENTRE IPS Y DISAN EL VALOR ESTA ESTIPULADO EN $ 176.824. SE OBJETA LA DIFERENCIA.$530_x000D_
 ||||| MAYOR VALOR COBRADO EXTENDIDO DE SANGRE  PERIFERICA CONTRATO 312 ENTRE IPS Y DISAN EL VALOR ESTA ESTIPULADO EN $ 12052 SE OBJETA LA DIFERENCIA.$40_x000D_
 ||||| MAYOR VALOR COBRADO HEPATITIS B AGS.  EN CONTRATO 312 ENTRE IPS Y DISAN EL VALOR ESTA ESTIPULADO EN $ 145.168 SE OBJETA LA DIFERENCIA.$342_x000D_
 ||||| MAYOR VALOR COBRADO HEPATITIS C  EN CONTRATO 312 ENTRE IPS Y DISAN EL VALOR ESTA ESTIPULADO EN $ 163.116 SE OBJETA LA DIFERENCIA.$533_x000D_
 ||||| MAYOR VALOR COBRADO LIPASA.  EN CONTRATO 312 ENTRE IPS Y DISAN EL VALOR ESTA ESTIPULADO EN $ 51.336. SE OBJETA LA DIFERENCIA.$258_x000D_
 ||||| MAYOR VALOR COBRADO PRUEBA NO TREPONEMICA MANUAL  EN CONTRATO 312 ENTRE IPS Y DISAN EL VALOR ESTA ESTIPULADO EN $ 21.394 SE OBJETA LA DIFERENCIA.$3826_x000D_
 ||||| MAYOR VALOR COBRADO RECUENTO DE PLAQUETAS AUTOMATIZADO  EN CONTRATO 312 ENTRE IPS Y DISAN EL VALOR ESTA ESTIPULADO EN $ 13.616 SE OBJETA LA DIFERENCIA.$88_x000D_
 ||||| MAYOR VALOR COBRADO SGOT.  EN CONTRATO 312 ENTRE IPS Y DISAN EL VALOR ESTA ESTIPULADO EN $ 34.960. SE OBJETA LA DIFERENCIA.$108_x000D_
 ||||| MAYOR VALOR COBRADO SGPT.  EN CONTRATO 312 ENTRE IPS Y DISAN EL VALOR ESTA ESTIPULADO EN $ 34.960. SE OBJETA LA DIFERENCIA.$108_x000D_
 ||||| MAYOR VALOR COBRADO TROPONINA I.  EN CONTRATO 312 ENTRE IPS Y DISAN EL VALOR ESTA ESTIPULADO EN $ 103.040. SE OBJETA LA DIFERENCIA.$147_x000D_
</t>
  </si>
  <si>
    <t xml:space="preserve">SE OBJETA ESTANCIA EN PACIENTE EN ESPERA DE TURNO CIRUGIA SEGUN DISPONIBILIDAD DE AIRPEN_x000D_
</t>
  </si>
  <si>
    <t>SO6101</t>
  </si>
  <si>
    <t>En el caso de que uno o varios campos de RIPS presente inconsistencias con la atención prestada</t>
  </si>
  <si>
    <t xml:space="preserve">SE OBJETA MOT SIN SOPORTE DE FACTURA DE COMPRA EN ATENCION SIN CONTRATO  NO PROCEDE TARIFAS CON SOBRECOSTO  SE RECONOCE VALOR FACTURA SEGUN MANUAL TARIFARIO SOAT DE 6 TORNILLOS DE CORTICAL AUTORROSCANTE  ESTE VALOR SE AJUSTARA SEGUN SE VERIFIQUE SU COSTO DE COMPRA_x000D_
</t>
  </si>
  <si>
    <t>CL0601</t>
  </si>
  <si>
    <t>Los cargos por dispositivos médicos que vienen relacionados en los soportes de cobro no son pertinentes</t>
  </si>
  <si>
    <t xml:space="preserve">SE OBJETA INSUMO NO RELACIONADO EN NOTA OPERATORIA O DESCRIPCION QUIRURGICA SU UTILIZACION_x000D_
</t>
  </si>
  <si>
    <t>TA0601</t>
  </si>
  <si>
    <t>Los cargos por dispositivos médicos que vienen relacionados o justificados en los soportes de cobro presentan diferencias con los valores pactados o establecidos por la norma</t>
  </si>
  <si>
    <t xml:space="preserve">SE OBJETA MOT SIN SOPORTE DE FACTURA DE COMPRA EN ATENCION SIN CONTRATO  NO PROCEDE TARIFAS CON SOBRECOSTO  SE RECONOCE VALOR FACTURA SEGUN MANUAL TARIFARIO SOAT  2 SUTURAS TRENZADAS_x000D_
 ||||| SE OBJETA MOT SIN SOPORTE DE FACTURA DE COMPRA EN ATENCION SIN CONTRATO  NO PROCEDE TARIFAS CON SOBRECOSTO  SE RECONOCE VALOR FACTURA SEGUN MANUAL TARIFARIO SOAT 8 TORNILLOS BLOQUEADOS_x000D_
 ||||| SE OBJETA MOT SIN SOPORTE DE FACTURA DE COMPRA EN ATENCION SIN CONTRATO  NO PROCEDE TARIFAS CON SOBRECOSTO  SE RECONOCE VALOR FACTURA SEGUN MANUAL TARIFARIO SOAT PLACA DE HUMERO_x000D_
</t>
  </si>
  <si>
    <t>FA0602</t>
  </si>
  <si>
    <t>Se cobran dispositivos médicos que ya se encuentran incluidos en el ítem de materiales por grupo quirúrgico</t>
  </si>
  <si>
    <t xml:space="preserve">SE OBJETAN INSUMOS UTILES Y MATERIALES DE CX NO FACTURABLE EN ATENCION SIN CONTRATO SEGUN ART 55 DEL MANUAL TARIFARIO SOAT_x000D_
</t>
  </si>
  <si>
    <t xml:space="preserve">SE OBJETAN 3 DIAS DE ESTANCIA CORRESPONDIENTES A LOS DIAS 26 AL 28 DE JULIO POR INOPORTUNIDA QUIRURGICA NO JUSTIFICADA EN PACIENTE CON INGRESO EL DIA 24 DE JULIO CON VALORACION Y APTITUD PARA CX DESDE LAS SIGUIENTES 48 HORAS Y SIN SOPORTE EN EPICRISIS DE SU DILACION QUIRURGICA HASTA EL DIA 29 DEL MISMO MES  SE RECONOCEN 2 DIAS PRE Y 2 DIAS POP_x000D_
</t>
  </si>
  <si>
    <t>FA2302</t>
  </si>
  <si>
    <t>Se facturan separadamente otros procedimientos no quirúrgicos incluidos en otro.</t>
  </si>
  <si>
    <t xml:space="preserve">SE OBJETA PROCEDIMIENTO QUIRURGICO NO FACTURABLE NI RECONOCIDI POR NOTA OPERATORIA Y TECNICA QUIRURGICA  ES INHERENTE A LA RECOSNTRUCCION DEL MUSCULO AFECTADO Y CORRECION DE FRACTURA_x000D_
</t>
  </si>
  <si>
    <t>SO0801</t>
  </si>
  <si>
    <t>Existe ausencia total, parcial o inconsistencia en los soportes de cobro que evidencian la práctica del apoyo diagnóstico</t>
  </si>
  <si>
    <t xml:space="preserve">GLOSA GENEXPERT 2/2 SIN SOPORTE_x000D_
</t>
  </si>
  <si>
    <t xml:space="preserve">GLOSA ESTANCIA UCI INTERMEDIOS CON HAB SERVICIO HOSPITALIZACION DIAS 17 Y 18 PACIENTE CON ORDEN DE TRASLADO A PISO DEL 17  CANCELADA POR DOLOR ABDOMINAL  SIN EMBARGO PACIENTE SE ENCONTRABA ESTABLE HEMODINAMICAMENTE  CON ESTADO NEUROLOGICO RECUPERADO  SIN SIGNOS DE SIRS  NI CRITERIOS PARA ESTANCIA EN UNIDAD DE CUIDADOS INTERMEDIOS_x000D_
</t>
  </si>
  <si>
    <t>CL0801</t>
  </si>
  <si>
    <t>Los cargos por apoyo diagnóstico que vienen relacionados en los soportes de cobro no son pertinentes</t>
  </si>
  <si>
    <t xml:space="preserve">GLOSA TAC DE ABDOMEN 1/2 NO PERTINENTE  NO SE JUSTIFICA EN HISTORIA CLINICA SOLICITUD DE EXAMEN DE CONTROL  PACIENTE CON CONCEPTO DE CX GENERAL DE MASA PANCREATICA QUE NO REQUERIA MANEJO ADICIONAL_x000D_
</t>
  </si>
  <si>
    <t xml:space="preserve">SE GLOSA ESTUDIO DE COLORACION BASICA EN ESPECIMEN DE RECONOCIMIENTO NO SE EVIDENCIA SOPORTE O RESULTADO_x000D_
</t>
  </si>
  <si>
    <t xml:space="preserve">SE GLOSA ECOGRAFIA PELVICA TRASABDOMINAL NO PERTINENTE Y NO SOPORTADA DE ACUERDO A LO CONSIGNADO EN HISTORIA CLINICA EL CUAL LE REALIZAN TAC DE ABDOMEN TOTAL Y ECOGRAFIA PELVICA TRASVAGINAL Y DEFINIR CONDUCTA_x000D_
</t>
  </si>
  <si>
    <t xml:space="preserve">SE GLOSA AYUDA DIAGNOSTICA ANTICUERPOS ANTINUCLEARES NO SE EVIDENCIA SOPORTE O RESULTADO_x000D_
 ||||| SE GLOSA AYUDA DIAGNOSTICA DNA N ANTICUERPOS NO SE EVIDENCIA SOPORTE O RESULTADO_x000D_
 ||||| SE GLOSA AYUDA DIAGNOSTICA FACTOR REUMATOIDEO NO SE EVIDENCIA SOPORTE O RESULTADO_x000D_
 ||||| SE GLOSA AYUDA DIAGNOSTICA HLAB 27/B7 NO SE EVIDENCIA SOPORTE O RESULTADO_x000D_
</t>
  </si>
  <si>
    <t xml:space="preserve">SE GLOSA ESTANCIA HOSPITALARIA EN HABITACION MULTIPLE NO JUSTIFICADO PACIENTE SIN SUMINISTRO DE MEDICAMENTOS NI LIQUIDOS ENDOVENOSOS QUE AMIERITEN ESTE SERVICIO SE RECONOCE COMO SALA DE OBSERVACION SE RELIQUIDA Y SE GLOSA LA DIFERENCIA_x000D_
</t>
  </si>
  <si>
    <t xml:space="preserve">SE GLOSA CONSULTA DE URGENCIAS POR PEDIATRIA PACIENTE INGRESA PARA VALORACION Y MANEJO POR OFTALMOLOGIA DEBIDO A ANTECEDENTES DE PANUVEITIS DE OJO DERECHO_x000D_
</t>
  </si>
  <si>
    <t xml:space="preserve">TA0101  SE GLOSA 11 DIA DE ESTANCIA EN IINTERNACION COMPLEJIDAD ALTA CUATRO O MAS CAMAS   MAYOR VALOR SE ACEPTA   VALOR UVB SEGUN NORMATIVIDAD VIGENTE ._x000D_
 ||||| TA0101  SE GLOSA 2 DIA DE ESTANCIA EN IINTERNACION COMPLEJIDAD ALTA CUATRO O MAS CAMAS   MAYOR VALOR SE ACEPTA   VALOR UVB SEGUN NORMATIVIDAD VIGENTE ._x000D_
</t>
  </si>
  <si>
    <t xml:space="preserve">TA0801 SE GLOSA AUTOPSIA [NECROPSIA] COMPLETA  MAYOR VALOR SE ACEPTA  VALOR UVB SEGUN NORMATIVIDAD VIGENTE  ._x000D_
 ||||| TA0801 SE GLOSA HEMOCULTIVO AEROBIO AUTOMATIZADO CADA MUESTRA  MAYOR VALOR SE ACEPTA  VALOR UVB SEGUN NORMATIVIDAD VIGENTE  ._x000D_
</t>
  </si>
  <si>
    <t xml:space="preserve">CL0201  SE  GLOSA  1 TERAPIA RESPIRATORIA INTEGRAL   SOBREFACTURACION NO PERTINENTE PARA ESTE TIPO DE INTERCONSULTAS O VALORACIONES  SE ACEPTA 2 ATENCIONES POR DIA._x000D_
</t>
  </si>
  <si>
    <t>SO0201</t>
  </si>
  <si>
    <t>Existe ausencia total, parcial o inconsistencia en los soportes de cobro que evidencian la realización de la consulta interconsulta o atención (visita) domiciliaria</t>
  </si>
  <si>
    <t xml:space="preserve">SO0201   SE GLOSA ASISTENCIA INTRAHOSPITALARIA POR EQUIPO INTERDISCIPLINARIO  NO SE EVIDENCIA REGISTRO ( ANEXO) DE LOS REPORTES  LO CUAL ES IMPOSIBLE REALIZAR VERIFICACION Y AUDITORIA INTEGRAL._x000D_
</t>
  </si>
  <si>
    <t xml:space="preserve">TA0101  SE GLOSA 12 DIA DE ESTANCIA EN  INTERNACION COMPLEJIDAD ALTA CUATRO O MAS CAMAS   MAYOR VALOR SE ACEPTA   VALOR UVB SEGUN NORMATIVIDAD VIGENTE ._x000D_
</t>
  </si>
  <si>
    <t xml:space="preserve">TA0801 SE GLOSA HEMOCULTIVO AEROBIO AUTOMATIZADO CADA MUESTRA  MAYOR VALOR SE ACEPTA  VALOR UVB SEGUN NORMATIVIDAD VIGENTE  ._x000D_
</t>
  </si>
  <si>
    <t xml:space="preserve">CL0201  SE GLOSA INTERCONSULTA POR ESPECIALISTA EN MEDICINA INTERNA  LA VALORACION O INTERCONSULTA TIENE COMO FINALIDAD  DEFINIR UNA CONDUCTA  PARA EL MANEJO DEL PACIENTE SE RECONOCE EL CUIDADO DIARIO INTRAHOSPITALARIO POR MEDICINA ESPECIALIDADA  SI APLICA LA CONDICION ._x000D_
</t>
  </si>
  <si>
    <t xml:space="preserve">TA0101  SE GLOSA 1 DIA DE ESTANCIA EN INTERNACIÓN ADULTOS COMPLEJIDAD ALTA HABITACION MÚLTIPLE   MAYOR VALOR SE ACEPTA   VALOR UVB SEGUN NORMATIVIDAD VIGENTE ._x000D_
 ||||| TA0101  SE GLOSA 1 INTERNACIÓN ADULTOS COMPLEJIDAD ALTA HABITACION INDIVIDUAL (INCLUYE AISLAMIENTO GENERAL Y PARA TRASPLANTE DE CÉLULAS PROGENITORAS)  SOBREFACTURACION NO PERTINENTE DE ACUERDO AL TIEMPO DE ESTANCIA DETALLADA EN LA EPICRISIS ._x000D_
</t>
  </si>
  <si>
    <t xml:space="preserve">TA0801 SE GLOSA ECOCARDIOGRAMA TRANSTORACICO  MAYOR VALOR SE ACEPTA  VALOR UVB SEGUN NORMATIVIDAD VIGENTE  ._x000D_
</t>
  </si>
  <si>
    <t>FA0303</t>
  </si>
  <si>
    <t>Se cobran honorarios profesionales que ya se encuentran incluidos en una atención agrupada, de acuerdo con lo pactado por las partes</t>
  </si>
  <si>
    <t xml:space="preserve">SE OBJETA APLICACION DE HEMODERIVADO NO FACTURABLE  REALIZADO POR PERSONAL DE ENFERMERIA INCLUIDO EN LA ESTANCIA_x000D_
</t>
  </si>
  <si>
    <t xml:space="preserve">SE GLOSA MVC EN INSUMO  SE RECONOCE A PRECIO PROMEDIO DEL MERCADO A: $1.736.000_x000D_
 ||||| SE GLOSA MVC EN INSUMO  SE RECONOCE A PRECIO PROMEDIO DEL MERCADO A: $1.850.000_x000D_
</t>
  </si>
  <si>
    <t xml:space="preserve">SE GLOSA MVC EN AORTOGRAMA  SE RECONOCE CODIGO SOAT 21434  PROCEDIMIENTO QUE CUENTA CON CODIGO SOT  POR LO TANTO NO APLICAN TARIFAS PROPIAS  ARTICULO 87 DECRETO 2423_x000D_
 ||||| SE GLOSA MVC EN AORTOGRAMA  SE RECONOCE CODIGO SOAT 21434  PROCEDIMIENTO QUE CUENTA CON CODIGO SOT  POR LO TANTO NO APLICAN TARIFAS PROPIAS  ARTICULO 87 DECRETO 2423_x000D_
_x000D_
</t>
  </si>
  <si>
    <t xml:space="preserve">NO SE RECONOCE LA FACTURACIÓN DE EL INSUMO: CANULA DE ARTROSCOPIA   CANTIDAD 1  A VALOR DE FACTURA DE COMPRA MAS  O MENOS EL 43% ( $ 3739800 )  VALOR NO ACORDADO O NO CONTRATADO  POR LO QUE SE RELIQUIDA Y SE RECONOCERA SEGÚN LO ESTABLECIDO EN LA NORMA " VALOR DE ADQUISICIÓN ( $ 2617881 ) MAS EL 12% ( $ 2932026) QUE LA IPS PUEDE COBRAR  SE OBJETA LA DIFERENCIA._x000D_
 ||||| NO SE RECONOCE LA FACTURACIÓN DE EL INSUMO: CUCHILLA DE SHAVER  CANTIDAD 1  A VALOR DE FACTURA DE COMPRA MAS  O MENOS EL 43% ( $ 3106100 )  VALOR NO ACORDADO O NO CONTRATADO  POR LO QUE SE RELIQUIDA Y SE RECONOCERA SEGÚN LO ESTABLECIDO EN LA NORMA " VALOR DE ADQUISICIÓN ( $ 2174249 ) MAS EL 12% ( $ 2435158) QUE LA IPS PUEDE COBRAR  SE OBJETA LA DIFERENCIA_x000D_
 ||||| NO SE RECONOCE LA FACTURACIÓN DE EL INSUMO: CUCHILLA DE SHAVER  CANTIDAD 1  A VALOR DE FACTURA DE COMPRA MAS  O MENOS EL 43% ( $ 3106100 )  VALOR NO ACORDADO O NO CONTRATADO  POR LO QUE SE RELIQUIDA Y SE RECONOCERA SEGÚN LO ESTABLECIDO EN LA NORMA " VALOR DE ADQUISICIÓN ( $ 2174249 ) MAS EL 12% ( $ 2435158) QUE LA IPS PUEDE COBRAR  SE OBJETA LA DIFERENCIA. $670942_x000D_
_x000D_
 ||||| NO SE RECONOCE LA FACTURACIÓN DE EL INSUMO: PUNTA DE RADIOFRECUENCIA  CANTIDAD 1  A VALOR DE FACTURA DE COMPRA MAS  O MENOS EL 43% ( $ 5209000 )  VALOR NO ACORDADO O NO CONTRATADO  POR LO QUE SE RELIQUIDA Y SE RECONOCERA SEGÚN LO ESTABLECIDO EN LA NORMA " VALOR DE ADQUISICIÓN ( $ 3646279 ) MAS EL 12% ( $ 4083832) QUE LA IPS PUEDE COBRAR  SE OBJETA LA DIFERENCIA_x000D_
</t>
  </si>
  <si>
    <t>FA5803</t>
  </si>
  <si>
    <t>Se cobran procedimientos quirúrgicos o intervencionistas que ya se encuentran incluidos en una atención agrupada</t>
  </si>
  <si>
    <t xml:space="preserve">SE OBJETA LA FACTURACION DE: SUTURA DEL MANGUITO ROTADOR VIA ENDOSCOPICA  PROCEDIMIENTO NO DESCRITO  EN CASO DE SUBSANAR RECONOCER COMO SUTURA DE FASCIA  MUSCULO O TENDOS( SUBESCAPULAR)._x000D_
</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</si>
  <si>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CATETER MULTIPROPOSITO._x000D_
</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</si>
  <si>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ESTANCIA EN HABILITACION UNIPERSONAL 9 DIAS._x000D_
 ||||| 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ESTANCIA EN HABITACION MULTIPLE._x000D_
</t>
  </si>
  <si>
    <t>CL0701</t>
  </si>
  <si>
    <t>Los cargos por medicamentos o APME que vienen relacionados en los soportes de cobro, no son pertinentes</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</si>
  <si>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ESQUEMA ANTIBIOTICO CON: VANCOMICINA AMPOLLA._x000D_
</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</si>
  <si>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ECOGRAFIA COMO GUIA DE PROCEDIMIENTO._x000D_
 ||||| 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VANCOMICINA AUTOMATIZADO_x000D_
</t>
  </si>
  <si>
    <t>CL2301</t>
  </si>
  <si>
    <t>Los cargos por otros procedimientos no quirúrgicos o actividades que vienen relacionados en los soportes de cobro no son pertinentes</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</si>
  <si>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INSECION DE CATETER YUGULAR._x000D_
</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</si>
  <si>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CUIDADO ) INTRAHOSPITALARIO POR MEDICINA ESPECIALIZADA  CANTIDAD 11._x000D_
 ||||| 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INTERCONSULTA POR INFECTOLOGIA  ADEMAS ESTA MAYOR VALOR FACTURADO._x000D_
</t>
  </si>
  <si>
    <t>CL5801</t>
  </si>
  <si>
    <t>Los cargos por procedimientos quirúrgicos o intervencionistas que vienen relacionados en los soportes de cobro no son pertinentes</t>
  </si>
  <si>
    <t xml:space="preserve">PACIENTE QUIEN REINGRESA POP DE LEGRADO UTERINO Y ESTIRILACION QUIRÚRGICA  CON SECRECIÓN A TRAVEZ DE HERIDA QUIRUGICA  TOMAN CULTIVO Y AÍSLAN STAPHYLOCOCCUS OXA  PRODUCTOR DE BETALACTAMASA  RESISTENTE A METICILINA  SE CONSIDERA UN EVENTO ASOCIADO A LA SALUD   EVIDENCIÁNDOSE FALTA DE ADHERENCIA AGUAS DE MANEJO PARA LA PREVENCIÓN DE ESTAS INFECCONES. POR LO QUE SE OBJETARA: DRENAJE PERCUTANEO DE ABSCESOS O COLECCIONES GUIADO POR ECOGRAFIA_x000D_
</t>
  </si>
  <si>
    <t xml:space="preserve">INTERNACIÓN ADULTOS COMPLEJIDAD ALTA HABITACION MÚLTIPLE NO SE RECONCOE 5 DIAS DE ETSANCIA POR FALTA DE OPORTUNIDAD EN LA TOMA DE AYDUAS E IMAGENES DIAGNOSTICAS DESDE EL DIA 25 EN ESPERA DE PROCEDIMIENTO EN ESPERA DE AYDUAS EN ESPERA DE VALORACIOENS POR ESPECIALISTAS_x000D_
</t>
  </si>
  <si>
    <t>CL0301</t>
  </si>
  <si>
    <t>Los cargos por honorarios profesionales en procedimientos quirúrgicos o intervencionistas, de hemodinamia, radiología u otros procedimientos que vienen relacionados en los soportes de cobro no son pertinentes</t>
  </si>
  <si>
    <t xml:space="preserve">INTERCONSULTA POR ESPECIALISTA EN ANESTESIOLOGIA INCLUIDA DENTRO DE LOS PROCEDIMIENTOS DE ESTANCIA HOSPITALARIA_x000D_
</t>
  </si>
  <si>
    <t xml:space="preserve">NO SE RECONOCE 72 HORAS DE INTERNACION YA QUE ESTA EN ESPERA DE TOMA DE AYDUAS DIAGNOSTICAS PARA DEFINIR CONDUCTA SEGUN LOS REGISTROS DEL MEDICO EN LA EVOLUCION DEL DIA 30 DE AGOSTO_x000D_
</t>
  </si>
  <si>
    <t xml:space="preserve">CONSULTA DE PRIMERA VEZ POR ESPECIALISTA EN PEDIATRIA INCLUIDO DENTRO DE LA ESTGANCIA HOSPITLARIA_x000D_
 ||||| CONSULTA DE URGENCIAS  POR ESPECIALISTA EN GINECOLOGIA Y OBSTETRICIA INCLUIDA DNETRO DEL PROCEDIMIENTO DEL PARTO POR CESAREA_x000D_
</t>
  </si>
  <si>
    <t xml:space="preserve">EQUIPO DE BOMBA DE INFUSION (ESTANDAR) REF 14001 INCLUIDOD ENTRO DE LOS MATERIALES DEL PROCEDIMIENTO_x000D_
</t>
  </si>
  <si>
    <t xml:space="preserve">INTERCONSULTA POR ESPECIALISTA EN PEDIATRIA PEDIATRIA PUERTA DE ENTRADA EN EL SERVICIO DE URGENCIAS_x000D_
</t>
  </si>
  <si>
    <t xml:space="preserve">  INTERNACION EN UNIDAD DE CUIDADO INTENSIVO ADULTOS NO CUMPLE CON LAS EVOLUCIONES MINIMO 3 DIARIAS EN EL DIA SEGUN RES 3100_x000D_
</t>
  </si>
  <si>
    <t xml:space="preserve">  TRANSFUSION DE LA UNIDAD DE GLOBULOS ROJOS O ERITROCITOS  HACEN PARTE DEL SERVICIO DE ENFERMERIA DE LA UNIDAD_x000D_
</t>
  </si>
  <si>
    <t xml:space="preserve">SE GLOSA MVC EN INSUMO  SE RECONOCE A PRECIO PROMEDIO DEL MERCADO A  $$2.870.700  TARIFA MUY POR ENCIMA DEL PRECIO PROMEDIO DEL MERCADO  NO CUENTAN CON CONTRATO  POR LO TANTO NO APLICAN ESTOS VALORES_x000D_
 ||||| SE GLOSA MVC EN SE GLOSA MVC EN INSUMO  SE RECONOCE A PRECIO PROMEDIO DEL MERCADO A  $$2.340.000  TARIFA MUY POR ENCIMA DEL PRECIO PROMEDIO DEL MERCADO  NO CUENTAN CON CONTRATO  POR LO TANTO NO APLICAN ESTOS VALORESNSUMO  SE RECONOCE A PRECIO PROMEDIO DEL MERCADO A  $$2.870.700  TARIFA MUY POR ENCIMA DEL PRECIO PROMEDIO DEL MERCADO  NO CUENTAN CON CONTRATO  POR LO TANTO NO APLICAN ESTOS VALORES_x000D_
</t>
  </si>
  <si>
    <t xml:space="preserve">SE GLOSA MVC EN AORTOGRAMA  NO APLICAN TARIFAS PROPIAS AL CONTAR CON CODIGO SOAT 21434  DECRETO 2423 ARTICULO 87_x000D_
 ||||| SE GLOSA MVC EN EMBOLIZACION  NO APLICAN TARIFAS PROPIAS AL CONTAR CON CODIGO SOAT 21501  DECRETO 2423 ARTICULO 87_x000D_
 ||||| SE GLOSA MVC EN PANANGIOGRAFIA  NO APLICAN TARIFAS PROPIAS AL CONTAR CON CODIGO SOAT 21422  DECRETO 2423 ARTICULO 87_x000D_
</t>
  </si>
  <si>
    <t>ELIAS ALFONSO CARVAJAL NAVARRO</t>
  </si>
  <si>
    <t xml:space="preserve">SE GLOSA ESTANCIA HOSPITALARIA  INOPORTUNIDAD EN DEFINICION DE CONDUCTA QUIRUGICA POR ANESTESIOLOGIA (AVAL PREQX) DIAS 24.25.26.27  INOPORTUNIDAD EN PROCEDIMIENTO QUIRURGICO PLANTEADO POR ORTOPEDIA DESDE SU INGRESO  SIN EMBARGO SE REALIZA HASTA EL DIA 2 AGOSTO  SE GLOSA DIAS DE ESTANCIA 28-29-30-1  TOTAL DE DIAS DE INTERNACION OBJETADOS 8  ESTANCIA INACTIVA._x000D_
</t>
  </si>
  <si>
    <t xml:space="preserve">LAPICERO DE ELECTROBISTURI REF VL2610DB COVIDIEN  INSUMO NO FACTURABLE  EN EL DECRETO 2423 DE 1996  ARTÍCULO 49  PARÁGRAFO 2  NO SE RECONOCE NINGÚN IMPLEMENTO ADICIONAL._x000D_
</t>
  </si>
  <si>
    <t xml:space="preserve">SE GLOSA MVC EN CONSULTA ESPCIALIZADA. NO HAY TARIFA PACTADA NI COTIZACION AVALADA POR SANIDAD MILITAR.  SE RECONOCE TARIFA SOAT UVB CODIGO 39143_x000D_
</t>
  </si>
  <si>
    <t>BRAYAN YESID PEREZ BADILLO</t>
  </si>
  <si>
    <t xml:space="preserve">SE GLOSA MVC EN CONSULTA DE MEDICINA ESPECIALIZADA. SE RECONOCE A $75.400 SEGÚN DEC. 780 DE 2016 ART. 2.6.1.4.2.4 Y CIR. 025 DE 2024 TARIFA SOAT VIGENTE UVB  IPS FACTURA A $106.697  SE GLOSA LA DIFERENCIA ($31.297)_x000D_
</t>
  </si>
  <si>
    <t xml:space="preserve">SE GLOSA MVC EN CONSULTA ESPCIALIZADA. NO HAY TARIFA PACTADA NI COTIZACION AVALADA POR SANIDAD MILITAR.  SE RECONOCE TARIFA SOAT UVB CODIGO 39143_x000D_
	</t>
  </si>
  <si>
    <t xml:space="preserve">SE GLOSA MVC EN CONSULTA DE MEDICINA ESPECIALIZADA. SE RECONOCE A $75.400 SEGÚN DEC. 780 DE 2016 ART. 2.6.1.4.2.4 Y CIR. 025 DE 2024 TARIFA SOAT VIGENTE UVB  IPS FACTURA A $82.085  SE GLOSA LA DIFERENCIA ($6.685)_x000D_
</t>
  </si>
  <si>
    <t xml:space="preserve">NO HAY TARIFA PACTADA  NO HAY COTIZACION AVALADA POR SANIDAD MILITAR  SUJETA A NUEVA AUDITORIA DE VALORES_x000D_
</t>
  </si>
  <si>
    <t>SO4201</t>
  </si>
  <si>
    <t>Existe ausencia total, parcial o inconsistencia de la lista de precios</t>
  </si>
  <si>
    <t xml:space="preserve">SE GLOSA TOTAL. NO ES POSIBLE CONFIRMAR VALOR FACTURADO  SE SOLICITA LISTA DE PRECIOS SEGÚN RES. 2284 DE 2023_x000D_
</t>
  </si>
  <si>
    <t>U220313 - DIRECCION DE SANIDAD EJERCITO - DISPENSARIO MEDICO BUCARAMANGA  - PRUEBAS COVID</t>
  </si>
  <si>
    <t xml:space="preserve">SE GLOSA EL TOTAL DE LA FACTURA NO SE EVIDENCIA SOPORTE DE CARGUE A SIS MUESTRAS SOPORTE NECESARIO PARA CONTROL EPIDEMIOLOGICO_x000D_
</t>
  </si>
  <si>
    <t xml:space="preserve">SE GLOSA MAYOR VALOR COBRADO SE RECONOCE SEGUN TARIFAS PACTADAS EN CONTRAT 287 VIGENTE ENTRE LAS PARTES SE AJUSTA LA DIFERENCIA_x000D_
</t>
  </si>
  <si>
    <t>FA0601</t>
  </si>
  <si>
    <t>Los cargos por dispositivos médicos que vienen relacionados en los soportes de cobro presentan diferencias con las cantidades que fueron facturadas</t>
  </si>
  <si>
    <t xml:space="preserve">GLOSA EXCEDENTE EN MATERIAL DE OSTEOSINTESIS DE ACUERDO A FACTURA DE COMPRA PRESENTADA  SE RECONOCE PRECIO DE CASA COMERCIAL (ART 57 DECRETO 2423)_x000D_
</t>
  </si>
  <si>
    <t xml:space="preserve">GLOSA ESTANCIA UCI INTENSIVO 3 DIAS FACTURADOS  PACIENTE QUE NO REQUIERE USO DE VM QUE JUSTIFIQUE SU COBRO_x000D_
 ||||||| GLOSA ESTANCIA UCI INTERMEDIOS CON HAB SERV HOSPITALIZACION DIA 3 DE SEPT  PACIENTE CON ORDEN DE TRASLADO A PISO DE ESE DIA_x000D_
</t>
  </si>
  <si>
    <t xml:space="preserve">GLOSA BALON ALTA PRESION NO COMPLACIENTE 3.5 X 15 MM INSUMO DE HEMODINAMIA DE ALTO COSTO SIN FACTURA DE COMPRA EN IPS SIN CONTRATO_x000D_
 ||||||| GLOSA BALÓN DE PREDILATACION CORONARIO 2.50MM X 15MM INSUMO DE HEMODINAMIA DE ALTO COSTO SIN FACTURA DE COMPRA EN IPS SIN CONTRATO_x000D_
 ||||||| GLOSA CATETER GUIA CORONARIO 5FR IL 3.5 INSUMO DE HEMODINAMIA DE ALTO COSTO SIN FACTURA DE COMPRA EN IPS SIN CONTRATO_x000D_
 ||||||| GLOSA CATETER GUIA CORONARIO 6FR JL 3.5 INSUMO DE HEMODINAMIA DE ALTO COSTO SIN FACTURA DE COMPRA EN IPS SIN CONTRATO_x000D_
 ||||||| GLOSA GUÍA PTCA CORONARIA 0.014  X 180 EXTRA FLOPPY INSUMO DE HEMODINAMIA DE ALTO COSTO SIN FACTURA DE COMPRA EN IPS SIN CONTRATO_x000D_
 ||||||| GLOSA GUÍAS CORONARIAS FLOPPY 182CM J INSUMO DE HEMODINAMIA DE ALTO COSTO SIN FACTURA DE COMPRA EN IPS SIN CONTRATO_x000D_
</t>
  </si>
  <si>
    <t>FA0301</t>
  </si>
  <si>
    <t>Los cargos por honorarios profesionales en procedimientos quirúrgicos o intervencionistas, que vienen relacionados o justificados en los soportes de cobro, presentan diferencias con las cantidades que fueron facturadas</t>
  </si>
  <si>
    <t xml:space="preserve">GLOSA ANGIOPLASTIA CORONARIA PERCUTANEA (ENDOVASCULAR) DE BIFURCACION NO SE EVIDENCIA CUPS EN LISTADO DE ACUERDO DE TARIFAS ENTRE LAS PARTES  ADEMAS PROCEDIMIENTO ESTÁ INCLUIDO EN ANGIOPLASTIA DE 2 O MAS VASOS FACTURADA_x000D_
</t>
  </si>
  <si>
    <t>GLOSA 2.4 X 14/16/18/20 (TORNILLO BLOQUEADO DE 2.4 MM)MATERIAL DE OSTEOSINTESIS PRESENTADO SIN FACTURA DE COMPRA_x000D_
 ||||||| GLOSA PASA HILOS PARA SUTURA ARTROSCOPICA MATERIAL DE OSTEOSINTESIS PRESENTADO SIN FACTURA DE COMPRA_x000D_
 ||||||| GLOSA SUTURA BLANCA AZUL (SUTURAS ANCLADAS DE DIFERENTES DIÁMETROS MATERIAL DE OSTEOSINTESIS PRESENTADO SIN FACTURA DE COMPRA_x000D_
 ||||||| GLOSA SUTURA TRENZADA EN HILO DE DIFERENTES DIAMETROS MATERIAL DE OSTEOSINTESIS PRESENTADO SIN FACTURA DE COMPRA_x000D_
 ||||||| GLOSA TORNILLO BLOQUEADO DE 2.7 MM MATERIAL DE OSTEOSINTESIS PRESENTADO SIN FACTURA DE COMPRA_x000D_
 ||||||| GLOSA TORNILLO CORTICAL TI AUTORROSCANTE 2.7MM DIFERENTES LONGITUD MATERIAL DE OSTEOSINTESIS PRESENTADO SIN FACTURA DE COMPRA_x000D_
 ||||||| NOTA: LA ENTIDAD GLOSA 2 PLACAS RADIO PROXIMAL/CÚPULA RADIAL MATERIAL DE OSTEOSINTESIS PRESENTADO SIN FACTURA DE COMPRA POR VALOR DE $3.860.500. EN DGH SOLO SE ENCUENTRA FACTURADA 1 AFECTANDO EL VALOR TOTAL GLOSADO POR LA DIFERENCIA DE  $3.860.500</t>
  </si>
  <si>
    <t xml:space="preserve">GLOSA ESTANCIA UCI INTENSIVOS CON UCI INTERMEDIOS 1 DIA FACTURADO  PACIENTE SIN USO DE VENTILADOR MECANICO QUE JUSTIFIQUE SU COBRO  EN IPS SIN CONTRATO_x000D_
</t>
  </si>
  <si>
    <t xml:space="preserve">GLOSA ESTANCIA HAB SERVICIO DE HOSPITALIZACION 1/3 DIAS  TOTAL FACTURADOS 6  PACIENTE INGRESA EL 13 Y SALE 18 (5 DIAS DE ESTANCIA TOTAL FACTURABLES)_x000D_
</t>
  </si>
  <si>
    <t xml:space="preserve">GLOSA POR  MATERIAL DE OSTEOSINTESIS   CLAVO DE ENTRADA EN LA PUNTA DEL TROCANTOR DIFERENTES DIAMETROS  CANTIDAD  1    VALOR GLOSADO $ 3.732.300. GLOSA POR FALTA DE SOPORTE DE FACTURA DE COMPRA DEL  MATERIAL DE OSTEOSINTESIS CASA COMERCIAL PRECIMEC .GLOSA POR TARIFA DE MATERIAL DE OSTEOSINTESIS  SE RECONOCE EL VALOR DEL MATERIAL  DE ACUERDO AL VALOR DE FACTURA DE COMPRA MAS 12% DE INCREMENTO QUE SE RECONOCE A LA IPS POR INTERMEDIACION._x000D_
 ||||||| GLOSA POR  MATERIAL DE OSTEOSINTESIS   TORNILLO DE BLOQUEO 4.5  CANTIDAD 2  VALOR UNITARIO $ 610.800  VALOR GLOSADO $ 1.221.600.  GLOSA POR FALTA DE SOPORTE DE FACTURA DE COMPRA DEL MATERIAL DE OSTEOSINTESIS  DE LA CASA COMERCIAL PRECIMEC . GLOSA POR TARIFA MATERIAL DE OSTEOSINTESIS   SE RECONOCE EL VALOR DEL MATERIAL  DE ACUERDO AL VALOR DE FACTURA DE COMPRA MAS 12% DE INCREMENTO QUE SE RECONOCE A LA IPS POR INTERMEDIACION._x000D_
 ||||||| GLOSA POR MATERIAL DE OSTEOSINTESIS   TORNILLO RECOSNTRUCCION 6.4 DE 65MM A 115MM   CANTIDAD 2  VALOR UINTARIO  $ 600.900  VALOR GLOSADO $ 1.201.800. GLOSA POR FALTA DE SOPORTE DE FACTURA DE COMPRA DEL  MATERIAL DE OSTEOSINTESIS CASA COMERCIAL PRECIMEC .GLOSA POR TARIFA DE MATERIAL DE OSTEOSINTESIS  SE RECONOCE EL VALOR DEL MATERIAL  DE ACUERDO AL VALOR DE FACTURA DE COMPRA MAS 12% DE INCREMENTO QUE SE RECONOCE A LA IPS POR INTERMEDIACION._x000D_
</t>
  </si>
  <si>
    <t>FA0803</t>
  </si>
  <si>
    <t>Se cobran apoyos diagnósticos que ya se encuentran incluidos en una atención agrupada, de acuerdo con lo pactado por las partes</t>
  </si>
  <si>
    <t xml:space="preserve">GLOSA POR ANTICUERPOS IRREGULARES AYUDA DIAGNOSTICA NO FACTURABLE  DE CONFORMIDAD CON LO ORDENADO EN EL NUMERAL 31.3 DEL DECRETO 780 DEL 2.016 CAPITULO 6 DEL TITULO 3 DE LA PARTE 5 DEL LIBRO 2 MANUAL DEL REGIMEN TARIFARIO EN QUE SE CONSIGNA: EL VALOR DE LA PRUEBAS DE LABORATORIO CLÍNICO QUE SE PRACTIQUEN A LA UNIDAD DE SANGRE O COMPONENTES PREVIA A SU TRANSFUSION ESTÁ INCLUIDO EN LA TARIFA DE PROCESAMIENTO  IGUALMENTE EL CORRESPONDIENTE A LA BOLSA RECOLECTORA. LOS ANTICUERPOS IRREGULARES   SE ENCUENTRA INCLUIDOS  DENTRO DE LAS PRUEBAS PRETRANSFUSIONALES DE CONFORMIDAD CON LO ORDENADO EN EL ARTICULO 68 DEL DECRETO 1571 DE 1.993. VALOR GLOSADO $14.913._x000D_
</t>
  </si>
  <si>
    <t xml:space="preserve">GLOSA POR TARIFA POR MAYOR VALOR FACTURADO EN INTERCONSULTA POR ESPECIALISTA EN DOLOR Y CUIDADOS PALIATIVOS  VALOR FACTURADO $145 635 SE RECONOCE EL CODIGO 39140 INTERCONSULTA MEDICA ESPECIALIZADA AMBULATORIA O INTRAHOSPITALARIA  SEGUN  TARIFA DEL  MANUAL TARIFARIO SOAT DECRETO 780 DEL 2.016  ANEXO TECNICO UNO ACTUALIZADO CON LA CIRCULAR 025 DE 2.024   DECRETO UNICO REGLAMENTARIO SECTOR SALUD Y PROTECCION SOCIAL CAPÍTULO 6 DEL TÍTULO 3 DE LA PARTE 5 DEL LIBRO 2 MANUAL DEL REGIMEN TARIFARIO  CON TARIFA DE CONSULTA PARA EL AÑO 2.025 DE $83.400  POR LO QUE SE GENERA GLOSA POR MAYOR VALOR FACTURADO DE $62.235._x000D_
</t>
  </si>
  <si>
    <t>FA0603</t>
  </si>
  <si>
    <t>Se cobran dispositivos médicos que ya se encuentran incluidos en una atención agrupada</t>
  </si>
  <si>
    <t xml:space="preserve">GLOSA POR DISPOSITIVO MEDICO   INSUMO RESUCITADOR MANUAL ADULTO DESECHABLE KIT COMPLETO DE 6 PIEZAS CON VÁLVULA DE SOBREPRESIÓN  CANTIDAD  1  VALOR GLOSADO  $ 141.000   INSUMO  NO FACTURABLE UTILIZADO PARA VENTILACION DEL PACIENTE Y  FORMA PARTE DE LA DOTACION DEL SERVICIO DE UNIDADES QUIRURGICAS Y UNIDADES CRITICAS. DE  ACUERDO A RESOLUCION 3100 DEL 2.019  Y SE ENCUENTRA INCLUIDO EN LA TARIFA DE UNIDAD DE CUIDADOS CRITICAS-INTENSIVOS   DE CONFORMIDAD CON EL NUMERAL 42 Y 43 DEL DEL DECRETO 780 DEL 2.016 CAPITULO 6 DEL TITULO 3 DE LA PARTE 5 DEL LIBRO 2 MANUAL DEL REGIMEN TARIFARIO._x000D_
 ||||||| GLOSA POR FACTURACION DE TUBO TRAMPA PARA MUESTRA DE SECRECCION BRONQUIAL  NO FACTURABLE POR SER INSUMO PARA RECOLECCION DE MUESTRAS DE PARACLINICOS._x000D_
</t>
  </si>
  <si>
    <t>TA0301</t>
  </si>
  <si>
    <t>Los cargos por honorarios profesionales en procedimientos quirúrgicos o intervencionistas, que vienen relacionados o justificados en los soportes de cobro, presentan diferencias con los valores pactados o establecidos por la norma</t>
  </si>
  <si>
    <t xml:space="preserve">GLOSA POR TARIFA POR MAYOR VALOR FACTURADO EN INTERCONSULTA POR ESPECIALISTA EN ONCOLOGÍA VALOR FACTURADO $145 677 SE RECONOCE EL CODIGO 39140 INTERCONSULTA MEDICA ESPECIALIZADA AMBULATORIA O INTRAHOSPITALARIA  SEGUN  TARIFA DEL  MANUAL TARIFARIO SOAT DECRETO 780 DEL 2.016  ANEXO TECNICO UNO ACTUALIZADO CON LA CIRCULAR 025 DE 2.024   DECRETO UNICO REGLAMENTARIO SECTOR SALUD Y PROTECCION SOCIAL CAPÍTULO 6 DEL TÍTULO 3 DE LA PARTE 5 DEL LIBRO 2 MANUAL DEL REGIMEN TARIFARIO  CON TARIFA DE CONSULTA PARA EL AÑO 2.025 DE $83.400  POR LO QUE SE GENERA GLOSA POR MAYOR VALOR FACTURADO DE $62.277 _x000D_
</t>
  </si>
  <si>
    <t xml:space="preserve">GLOSA POR TARIFA DE AYUDA DIAGNOSTICA COLORACION INMUNOHISTOQUIMICA - PANEL DE TAMIZAJE  CANTIDAD UNA  VALOR GLOSADO $2.065.650. FALTA SOPORTE DE COTIZACION POR EL VALOR FACTURADO DE  LA AYUDA DIAGNOSTICA   AUTORIZADA POR PARTE DEL ORDENADOR DEL GASTO DE LA RESPECTIVA DIRECCION DE SANIDAD MILITAR. SE RECONOCERIA TARIFA DEL CODIGO 20207 ESTUDIO CON INMUNOFLUORESCENCIA DE ESPECIMEN DE MUSLO   A LAS TARIFAS DEL AÑO 2.025  DEL MANUAL TARIFARIO SOAT DECRETO 780 DEL 2.016  ANEXO TECNICO UNO ACTUALIZADO CON LA CIRCULAR 025 DE 2.024  CON TARIFA DE $626.600. VALOR GLOSADO $2.065.650._x000D_
</t>
  </si>
  <si>
    <t xml:space="preserve">GLOSA POR TARIFA DE PROCEDIMIENTO 867203H COLGAJO LOCAL DE PIEL COMPUESTO DE VECINDAD ENTRE CINCO A DIEZ CENTÍMETROS CUADRADOS  VALOR FACTURADDO $ 5.724.748. AUTORIZACION NO VALORIZADA   PROCEDIMIENTO QUIRURGICO SIN TARIFA PACTADA    NO SE SOPORTA COTIZACION CON TARIFA PROPIA   AUTORIZADA POR PARTE DEL ORDENADOR DEL GASTO DE LA RESPECTIVA DIRECCION DE SANIDAD MILITAR  QUE SOPORTE EL COBRO DEL VALOR FACTURADO DE  5.724.748    POR LO QUE SE RECONOCE LA TARIFA  PARA EL AÑO 2025 SEGUN MANUAL TARIFARIO SOAT DECRETO 780 DEL 2.016  ANEXO TECNICO UNO ACTUALIZADO CON LA CIRCULAR 025 DE 2.024   DECRETO UNICO REGLAMENTARIO SECTOR SALUD Y PROTECCION SOCIAL CAPÍTULO 6 DEL TÍTULO 3 DE LA PARTE 5 DEL LIBRO 2 MANUAL DEL REGIMEN TARIFARIO DEL CODIGO 15108 RESECCIÓN TUMOR MALIGNO DE PIEL QUE REQUIERA REPARACIÓN CON COLGAJO Y/O INJERTO  CON TARIFA DE $ 2.080.700  POR LO QUE SE GENERA GLOSA POR MAYOR VALOR FACTURADO DE $3.644.048._x000D_
</t>
  </si>
  <si>
    <t>FA5802</t>
  </si>
  <si>
    <t>Se facturan separadamente procedimientos quirúrgicos o intervencionistas incluidos en otro</t>
  </si>
  <si>
    <t xml:space="preserve">GLOSA POR FACTURACION DE PROCEDIMIENTO QUIRURGICO RESECCION DE TUMOR BENIGNO O MALIGNO DE PIEL O TEJIDO CELULAR SUBCUTANEO AREA GENERAL  DE MAS DE DIEZ CENTIMETROS  VALOR FACTURADO $666.435  PROCEDIMIENTO NO FACTURABLE  SE ENCUENTRA INCLUIDO EN EL CODIGO 15108 RESECCIÓN TUMOR MALIGNO DE PIEL QUE REQUIERA REPARACIÓN CON COLGAJO Y/O INJERTO  QUE SE RECONOCIO AL 100% DE ACUERDO A LA TARIFA DEL AÑO 2.025   DEL MANUAL TARIFARIO SOAT DECRETO 780 DEL 2.016  ANEXO TECNICO UNO ACTUALIZADO CON LA CIRCULAR 025 DE 2.024. VALOR GLOSADO $666.435._x000D_
</t>
  </si>
  <si>
    <t>SO0601</t>
  </si>
  <si>
    <t>Existe ausencia total, parcial o inconsistencia en los soportes de cobro que evidencian los dispositivos médicos empleados en procedimientos quirúrgicos ó intervencionistas que sean motivo de cobro adicional</t>
  </si>
  <si>
    <t xml:space="preserve">GLOSA POR INSUMO FMQ943 DRENAJE DE SILICONA X 19 FR SIN CONECTOR -REF: 2230  CANTIDAD TRES  VALOR UNITARIO $402.000  VALOR TOTAL $1.206.000  SIN SOPORTE DEL INSUMO EN DESCRIPCION QUIRURGICA . GLOSA POR FALTA DE SOPORTE DE FACTURA DE COMPRA DEL INSUMO FMQ943 DRENAJE DE SILICONA X 19 FR SIN CONECTOR -REF: 2230  CANTIDAD TRES. GLOSA POR TARIFA DE INSUMO FMQ943 DRENAJE DE SILICONA X 19 FR SIN CONECTOR -REF: 2230  CANTIDAD TRES  SE RECONOCE EL VALOR DEL INSUMO  DE ACUERDO AL VALOR DE FACTURA DE COMPRA CON UN INCREMENTO DEL 12% QUE SE RECONOCE A LA IPS POR INTERMEDIACION . VALOR GLOSA $1.206.000._x000D_
 ||||||| GLOSA POR INSUMO RESERVORIO DE BOMBA J-VAC X 100ML REF 2160  CANTIDAD DOS  VALOR UNITARIO $402.000  VALOR TOTAL $804.000  SIN SOPORTE DEL INSUMO EN HISTORIA CLINICA. GLOSA POR FALTA DE SOPORTE DE FACTURA DE COMPRA DEL INSUMO RESERVORIO DE BOMBA J-VAC X 100ML REF 2160  CANTIDAD DOS . GLOSA POR TARIFA DE INSUMO RESERVORIO DE BOMBA J-VAC X 100ML REF 2160   CANTIDAD DOS   SE RECONOCE EL VALOR DEL INSUMO  DE ACUERDO AL VALOR DE FACTURA DE COMPRA CON UN INCREMENTO DEL 12% QUE SE RECONOCE A LA IPS POR INTERMEDIACION . VALOR GLOSA $804 000._x000D_
</t>
  </si>
  <si>
    <t xml:space="preserve">GLOSA POR PROCEDIMIENTO QUIRURGICO LAVADO PERITONEAL TERAPEUTICO VIA ABIERTA  NO FACTURABLE  ES INTRINSECA SU REALIZACION AL INICIAR O CULMINAR LA REALIZACION DE LOS PROCEDIMIENTOS QUIRURGICOS PRINCIPALES PARA LIMPIEZA DE CAVIDAD ABDOMINAL DE COAGULOS  FIBRINA  DETRITUS.VALOR GLOSADO 1.753.254._x000D_
</t>
  </si>
  <si>
    <t xml:space="preserve">GLOSA POR TARIFA DE AYUDA DIAGNOSTICA   COLANGIO-PANCREATOGRAFIA RETROGRADA ENDOSCOPICA SOD  NO SE SOPORTA COTIZACION CON TARIFA PROPIA    AUTORIZADA POR PARTE DEL ORDENADOR DEL GASTO DE LA RESPECTIVA DIRECCION DE SANIDAD MILITAR  QUE SOPORTE EL COBRO DEL VALOR FACTURADO DE  6.928.321 . POR LO QUE SE RECONOCE LA TARIFA 2025 SEGUN MANUAL TARIFARIO SOAT DECRETO 780 DEL 2.016  ANEXO TECNICO UNO ACTUALIZADO CON LA CIRCULAR 025 DE 2.024   DECRETO UNICO REGLAMENTARIO SECTOR SALUD Y PROTECCION SOCIAL CAPÍTULO 6 DEL TÍTULO 3 DE LA PARTE 5 DEL LIBRO 2 MANUAL DEL REGIMEN TARIFARIO DEL CODIGO 18401 ERCP ENDOSCOPIA PARA COLANGIOPANCREATOGRAFIA RETROGRADA   CON VALOR DE 3.170.600 Y SE GLOSA EL MAYOR VALOR FACTURADO DE 3.757.721 _x000D_
</t>
  </si>
  <si>
    <t>CO4601</t>
  </si>
  <si>
    <t>Se facturan servicios a la entidad responsable de pago sin agotar los topes cubiertos por la póliza de Seguro Obligatorio de Accidentes de Tránsito (SOAT), la ADRES o la entidad que haga sus veces</t>
  </si>
  <si>
    <t>GLOSA TOTAL DE LA FACTURA POR COBERTURA   DE ACUERDO A HISTORIA CLINICA  LA ATENCION ES ORIGINADA EN ACCIDENTE DE TRANSITO SIN QUE SE SOPORTE EL AGOTAMIENTO DEL SEGURO OBLIGATORIO DE ACCIDENTES DE TRANSITO CON CARGO AL ADRES O ASEGURADORA   HASTA POR UN MONTO  DE $34.042.962 O 701 68 UVT. EVIDENCIA :  SOPORTES DE HISTORIA CLINICA   CONSENTIMIENTO INFORMADO AL INGRESO DE URGENCIAS FOLIO 344   REGISTRO ANESTESICO  FOLIO  412 Y 416    EN QUE  SE CONSIGNA  COMO RESPONSABLE A COMPAÑIA MUNDIAL DE SEGUROS S.A. VALOR GLOSADO $32.563.634.GLOSA PARCIAL POR TARIFA DE PROCEDIMIENTOS QUIRURGICOS PQX   QUE SE RECONOCEN A LA TARIFA 2025 DE  PQX DEL  MANUAL TARIFARIO SOAT DECRETO 780 DEL 2.016  ANEXO TECNICO UNO ACTUALIZADO CON LA CIRCULAR 025 DE 2.024   CAPÍTULO 6 DEL TÍTULO 3 DE LA PARTE 5 DEL LIBRO 2 MANUAL DEL REGIMEN TARIFARIO:1.PQX ESCISION DE DISCO INTERVERTEBRAL EN SEGMENTO CERVICAL VIA POSTERIOR ABIERTA   VALOR FACTURADO  $ 6.587.104 Y SE RECONOCE TARIFA  CODIGO 13720 RESECCIÓN DE DISCO INTERVERTEBRAL  $ 3.405.400  POR LO QUE SE GENERA GLOSA POR MVF DE $3.187.704.  2. PQX REDUCCION ABIERTA DE FRACTURA EN FALANGES DE PIE (UNA O MAS) CON FIJACION INTERNA  VALOR FACTURADO $ 2.936.610  Y SE RECONOCE CODIGO  13572 REDUCCIÓN ABIERTA FRACTURA FALANGES PIE (UNA A DOS)  CON TARIFA DE $ 1.465.700  POR LO QUE SE GENERA GLOSA POR MVF DE $1.470.910. GLOSA POR MATERIAL DE OSTEOSINTESIS TORNILLO POLIAXIAL DE REDUCCIÓN DIFERENTES DIAMETROS Y LONGITUDES  VALOR FACTURADO UNITARIO $1.233.600   CANTIDAD CUATRO   VALOR  UNITARIO DE ACUERDO A FACTURA DE COMPRA PR15075  $801.700  AL QUE SE RECONOCE UN INCREMENTO DEL 12% DE INTERMEDIACION   POR LO QUE DA UN VALOR A FACTURAR DE $897.204   SE GENERA GLOSA POR MVF UNITARIO DE $336.396 Y POR LOS CUATRO TORNILLOS GLOSA MVF DE $1.345.584. GLOSA PARCIAL $6.004.198.</t>
  </si>
  <si>
    <t>MAYOR VALOR COBRADO  SE PAGA INTERCONSULTA POR ESPECIALISTA  SE GLOSA LA DIFERENCIA  TARIFAS SOAT 2025.</t>
  </si>
  <si>
    <t>NO SE ANEXA SOPORTE DE COMPRA DE INSUMOS -FERULA  SE GLOSA EL 25% - SE REQUIERE SOPORTE - VALOR MAS EL 12%  PARA PAGO MAXIMO. ||||||| NO SE ANEXA SOPORTE DE COMPRA DE INSUMOS -ORTESIS  SE GLOSA EL 25% - SE REQUIERE SOPORTE - VALOR MAS EL 12%  PARA PAGO MAXIMO.</t>
  </si>
  <si>
    <t xml:space="preserve">CL01 01 CALIDAD-ESTANCIA U OBSERVACIÓN DE URGENCIAS - EL CARGO POR ESTANCIA SEA EN OBSERVACIÓN DE URGENCIAS O HABITACIÓN  QUE VIENE RELACIONADO EN LOS SOPORTES DE LA FACTURA DE VENTA EN SALUD NO ES PERTINENTE.	GLOSA ESTANCIA UCI INTENSIVOS CON UCI INTERMEDIOS 3 DIAS FACTURADOS  NO ES CLARA INFORMACION EN HISTORIA CLINICA ACERCA DE LA NECESIDAD DE VENTILACION MECANICA  POR LO CUAL SE REONOCE COMO UCI INTERMEDIOS_x000D_
</t>
  </si>
  <si>
    <t xml:space="preserve">GLOSA TOTAL GASTO DE OXIGENO  NO SE PRESENTA HOJA DE GASTO DE CONSUMO DE OXIGENO PARA REALIZAR AUDITORIA_x000D_
</t>
  </si>
  <si>
    <t xml:space="preserve">GLOSA MEROPENEM AMP 21/63  SE RECONOCE TRATAMIENTO POR 7 DIAS DE ACUERDO A RECOMENDACION POR PARTE DE INFECTOLOGIA_x000D_
</t>
  </si>
  <si>
    <t xml:space="preserve">GLOSA ECO TT 1/2N FACTURADO  PRIMERO SOLICITADO EL 10 DE SEPT RESULTADO NORMAL SIN VEGETACIONES  EL SEGUNDO EL 14 DE SEPT CON IGUAL RESULTADO  NO HAY JUSTIFICACION EN HC PARA SOLICITUD DE SEGUNDO EXAMEN_x000D_
</t>
  </si>
  <si>
    <t xml:space="preserve">GLOSA EXCEDENTE EN MATERIAL DE OSTEOSINTESIS  SE RECONOCE A FACTURA DE COMPRA DE CASA PROVEEDORA DE MATERIAL (AUTORIDAD COMPETENTE)  TAMBIEN SE PRESENTAN INSUMO SIN FACTURA DE COMPRA (SULFATO TRICALCICO  CHIPS DE HUESO ESPONJOSO)_x000D_
</t>
  </si>
  <si>
    <t xml:space="preserve">MVC EN 10 DIAS HABITACION COMPLEJIDAD ALTA HABITACION MULTIPLE  SE RECONOCE A TARIFAS SOAT VIGENTE  SE GLOSA EXCEDENTE._x000D_
</t>
  </si>
  <si>
    <t xml:space="preserve">MVC EN IC CON NEFROLOGIA  SE RECONOCE A TARIFAS SOAT VIGENTE NO HAY ACUERDO DE TARIFAS  SE GLOSA EXCEDENTE_x000D_
</t>
  </si>
  <si>
    <t xml:space="preserve">MVC EN 1 CAVOGRAFIA  SE RECONOCE A TARIFAS SOAT VIGENTE CODIGO 21431  SE GLOSA EXCDENTE NO HAY ACUERDO DE TARIFAS  NO HAY COTIZACION DE EXAMEN CON SU RESPECTIVO AUTORIZACION._x000D_
 ||||||| MVC EN 1 FLEVOGRAFIA  SE RECONOCE A TARIFAS SOAT VIGENTE CODIGO 21432  SE GLOSA EXCDENTE NO HAY ACUERDO DE TARIFAS  NO HAY COTIZACION DE EXAMEN CON SU RESPECTIVO AUTORIZACION._x000D_
</t>
  </si>
  <si>
    <t xml:space="preserve">SE OBJETA  MEDICAMENTO    BAJO EL CÓDIGO SO4201   NO SE ANEXA LA LISTA DE PRECIOS   SOPORTE EXIGIDO PARA LA EVALUACIÓN Y VALIDACIÓN DE LAS TARIFAS COBRADAS  CONFORME  A LA RESOLUCIÓN 2284 DE 2023. LA OMISIÓN DE ESTE DOCUMENTO  OBLIGATORIO CUANDO NO EXISTE ACUERDO DE VOLUNTADES  IMPIDE LA REVISIÓN TARIFARIA_x000D_
</t>
  </si>
  <si>
    <t xml:space="preserve">SE GLOSA MEDICAMENTO ONDANSETRON SOLUCION INYECTABLE INDICADO PARA PACIENTES CON CANCER O PACIENTES POSTQUIRURGICOS_x000D_
</t>
  </si>
  <si>
    <t xml:space="preserve">SE GLOSA MVC EN PINZA  SE TRATA DE INSUMO REUTILIZABLE  POR LO QUE SE RECONOCEN 4 USOS  SE PAGA UNO_x000D_
</t>
  </si>
  <si>
    <t xml:space="preserve">SE GLOSA LA LISIS DE ADHERENCIAS  NO PERTINENTE EL COBRO YA QUE SE TRATA DE LA VÍA DE ACCESO  POR LO QUE SE RELIQUIDA_x000D_
</t>
  </si>
  <si>
    <t xml:space="preserve">MVC IC NEUROLOGIA  SE RECONOCE A TARIFAS SOAT VIGENTE  NO HAY ACUERDO TARIFAS SE GLOSA EXCEDENTE._x000D_
</t>
  </si>
  <si>
    <t xml:space="preserve">MVC HEMOCULTIVO  SE RECONOCE A TARIFAS SOAT VIGENTE  NO HAY ACUERDO TARIFAS SE GLOSA EXCEDENTE._x000D_
 ||||||| MVC UROCULTIVO  SE RECONOCE A TARIFAS SOAT VIGENTE  NO HAY ACUERDO TARIFAS SE GLOSA EXCEDENTE._x000D_
</t>
  </si>
  <si>
    <t xml:space="preserve">SE OBJETA ESTANCIA DESDE EL 01 DE OCTUBRE HASTA LA FECHA DE EGRESO PACIENTE A QUIEN SE LE DEBIO DEFINIR EL EGRESO HOSPITALARIO Y ADELANTAR GESTIONES PARA PAD PARA EVITAR LA ESTANCIA INACTIVA_x000D_
</t>
  </si>
  <si>
    <t xml:space="preserve">ESCISION DE LESION O TEJIDO PERIANAL VIA ABIERTA NO PERTINENTE EN LA DESCRIPCIÓN OPERATORIA SE EVIDENCIA QUE LA ESCISIÓN DE TEJIDO PERIANAL HACE PARTE DEL MISMO ABORDAJE QUIRÚRGICO Y DEL MISMO CAMPO OPERATORIO QUE LA FISTULECTOMÍA ANO-PERINEAL. NO SE DESCRIBE UNA LESIÓN INDEPENDIENTE  AUTÓNOMA O SEPARADA DEL TRAYECTO FISTULOSO QUE AMERITE UN PROCEDIMIENTO ADICIONAL. LA RESECCIÓN DE TEJIDO PERIANAL CORRESPONDE A UN ACTO COMPLEMENTARIO E INHERENTE A LA FISTULECTOMÍA._x000D_
</t>
  </si>
  <si>
    <t xml:space="preserve">FA0601  SE GLOSA 1 PL. RAD. DIST. VOLAR II COLUMNA IZQ TI AV 25 X 3 (PLACA PARA  MAYOR VALOR DE ACUERDO AL VALOR UNITARIO DE LA FACTURA ELECTRONICA  PR 15596._x000D_
 ||||||| FA0601  SE GLOSA 1 TORNILLO CORTICAL TI AUTORROSCANTE 2.7MM DIFERENTES LONGITUD  MAYOR VALOR DE ACUERDO AL VALOR UNITARIO DE LA FACTURA ELECTRONICA  PR 15596._x000D_
 ||||||| FA0601  SE GLOSA 6 TORNILLO BLOQUEADO 2.4 DIFERENTES LONGITUDES   MAYOR VALOR DE ACUERDO AL VALOR UNITARIO DE LA FACTURA ELECTRONICA  PR 15596._x000D_
</t>
  </si>
  <si>
    <t xml:space="preserve">FA0602. SE GLOSA VENDA DE ALGODON 3 X 5 YARDAS  INCLUIDO EN DERECHO DE SALA PARA YESO O MATERIAL DE SUTURA Y CURACION PARA SALA._x000D_
 ||||||| FA0602. SE GLOSA VENDA DE ALGODON 4 X 5 YARDAS  INCLUIDO EN DERECHO DE SALA PARA YESO O MATERIAL DE SUTURA Y CURACION PARA SALA._x000D_
</t>
  </si>
  <si>
    <t xml:space="preserve">TA5801  SE GLOSA   REDUCCION ABIERTA DE FRACTURA EN SEGMENTO DISTAL DE RADIO Y CUBITO CON FIJACION INTERNA  MAYOR VALOR SE ACEPTA VALOR UVB SEGUN NORMATIVIDAD VIGENTE_x000D_
</t>
  </si>
  <si>
    <t>CL0302</t>
  </si>
  <si>
    <t>Los cargos por honorarios de anestesia que vienen relacionados en los soportes de cobro no son pertinentes</t>
  </si>
  <si>
    <t xml:space="preserve">   CL0302  SE GLOSA INTERCONSULTA POR ESPECIALISTA EN ANESTESIOLOGIA   YA QUE SE REALIZA PROCEDIMIENTO QUIRURGICO DENTRO DE LA ESTANCIA. _x000D_
</t>
  </si>
  <si>
    <t xml:space="preserve">TA0101  SE GLOSA 1 DIAS DE ESTANCIA EN INTERNACIÓN ADULTOS COMPLEJIDAD ALTA HABITACION INDIVIDUAL (INCLUYE AISLAMIENTO GENERAL Y PARA TRASPLANTE DE CÉLULAS PROGENITORAS)   SOBREFACTURACION NO PERTINENTE DE ACUERDO A LOS DIAS DE ESTANCIA RELACIONADOS._x000D_
</t>
  </si>
  <si>
    <t xml:space="preserve">TA0801 SE GLOSA TOMOGRAFIA COMPUTADA EN RECONSTRUCCION TRIDIMENSIONAL    MAYOR VALOR SE ACEPTA  VALOR UVB SEGUN NORMATIVIDAD VIGENTE  ._x000D_
</t>
  </si>
  <si>
    <t xml:space="preserve">CL0201  SE GLOSA INTERCONSULTA POR ESPECIALISTA EN INFECTOLOGIA  LA VALORACION O INTERCONSULTA TIENE COMO FINALIDAD  DEFINIR UNA CONDUCTA  PARA EL MANEJO DEL PACIENTE SE RECONOCE EL CUIDADO DIARIO INTRAHOSPITALARIO POR MEDICINA ESPECIALIDADA  SI APLICA LA CONDICION ._x000D_
</t>
  </si>
  <si>
    <t xml:space="preserve">TA5801  SE GLOSA   SISTEMA DE TERAPIA DE PRESIÓN NEGATIVA DE UN SOLO USO PARA H  MAYOR VALOR SE ACEPTA VALOR UVB SEGUN NORMATIVIDAD VIGENTE ._x000D_
</t>
  </si>
  <si>
    <t>SO0401</t>
  </si>
  <si>
    <t>Existe ausencia total, parcial o inconsistencia en los soportes de cobro que evidencian los honorarios del talento humano que interviene en la atención, diferente a los- quirúrgicos y clinicos</t>
  </si>
  <si>
    <t xml:space="preserve">SO0401  SE GLOSA PARTICIPACION EN JUNTA MEDICA O EQUIPO INTERDISCIPLINARIO POR MEDICINA ESPECIALIZADA Y CASO (PACIENTE)  EXITEN AUSENCIA DE LOS SOPORTES O ANEXOS DE DICHA JUNTA   LO CUAL ES IMPOSIBLE REALIZAR VERIFICACION Y AUDITORIA INTEGRAL ._x000D_
</t>
  </si>
  <si>
    <t xml:space="preserve"> TA0801 SE GLOSA TOMOGRAFIA COMPUTADA DE CRANEO SIMPLE     MAYOR VALOR SE ACEPTA  VALOR UVB SEGUN NORMATIVIDAD VIGENTE  . _x000D_
 ||||||| TA0801 SE GLOSA HEMOCULTIVO AEROBIO AUTOMATIZADO CADA MUESTRA    MAYOR VALOR SE ACEPTA  VALOR UVB SEGUN NORMATIVIDAD VIGENTE  ._x000D_
 ||||||| TA0801 SE GLOSATOMOGRAFIA COMPUTADA EN RECONSTRUCCION TRIDIMENSIONAL    MAYOR VALOR SE ACEPTA  VALOR UVB SEGUN NORMATIVIDAD VIGENTE  ._x000D_
</t>
  </si>
  <si>
    <t xml:space="preserve">CL0201  SE GLOSA INTERCONSULTA POR ESPECIALISTA EN NEUROCIRUGIA  LA VALORACION O INTERCONSULTA TIENE COMO FINALIDAD  DEFINIR UNA CONDUCTA  PARA EL MANEJO DEL PACIENTE SE RECONOCE EL CUIDADO DIARIO INTRAHOSPITALARIO POR MEDICINA ESPECIALIDADA  SI APLICA LA CONDICION ._x000D_
</t>
  </si>
  <si>
    <t xml:space="preserve">FA0602. SE GLOSA VENDA DE ALGODON 5 X 5 YARDAS  INCLUIDO EN DERECHO DE SALA PARA YESO O MATERIAL DE SUTURA Y CURACION PARA SALA._x000D_
</t>
  </si>
  <si>
    <t xml:space="preserve">TA5801  SE GLOSA   DETECCION  VALORACION Y ATENCION INTRAHOSPITALARIA DE DONANTE DE ORGANOS Y TEJIDOS  MAYOR VALOR SE ACEPTA VALOR UVB SEGUN NORMATIVIDAD VIGENTE ._x000D_
</t>
  </si>
  <si>
    <t xml:space="preserve">TA0101  SE GLOSA 1 DIAS DE ESTANCIA EN INTERNACIÓN ADULTOS COMPLEJIDAD ALTA HABITACION MÚLTIPLE  MAYOR VALOR SE ACEPTA  VALOR UVB SEGUN NORMATIVIDAD VIGENTE._x000D_
 ||||||| TA0101  SE GLOSA 2 DIAS DE ESTANCIA EN INTERNACIÓN ADULTOS COMPLEJIDAD ALTA HABITACION MÚLTIPLE  MAYOR VALOR SE ACEPTA  VALOR UVB SEGUN NORMATIVIDAD VIGENTE._x000D_
 ||||||| TA0101  SE GLOSA 3  DIAS DE ESTANCIA EN INTERNACIÓN ADULTOS COMPLEJIDAD ALTA HABITACION MÚLTIPLE  MAYOR VALOR SE ACEPTA  VALOR UVB SEGUN NORMATIVIDAD VIGENTE._x000D_
</t>
  </si>
  <si>
    <t xml:space="preserve"> TA0801 SE GLOSAFACTOR DE CRECIMIENTO PLACENTARIO (PGIF)     MAYOR VALOR SE ACEPTA  VALOR UVB SEGUN NORMATIVIDAD VIGENTE  . _x000D_
</t>
  </si>
  <si>
    <t xml:space="preserve">CL0101  SE GLOSA 1 DIA DE INTERNACIÓN ADULTOS COMPLEJIDAD ALTA HABITACION MÚLTIPLE   ESTA DENTRO DEL SERVICIO HOSPITALARIO POR CESAREA ( INCLUIDO EN EL SERVICIO DE SALA).Y POR MAYOR VALOR SE RECONOCE TARIFA UVB SEGUN NORMATIVIDAD VIGENTE.._x000D_
</t>
  </si>
  <si>
    <t>SE GLOSA MAYOR VALOR COBRADO SE RECONOCE TARIFA PACTADA EN_x000D_
CONTRATO 287 VIGENTE ENTRE LAS PARTES SE AJUSTA LA DIFERENCIA</t>
  </si>
  <si>
    <t>FA0701</t>
  </si>
  <si>
    <t>Los cargos por Medicamentos o APME que vienen relacionados en los soportes de cobro, presentan diferencias con las cantidades que fueron facturadas</t>
  </si>
  <si>
    <t xml:space="preserve">SE OBJETA INSUMO ALTO COSTO  IPS NO PRESENTA FACTURA DE COMPRA IPS SIN CONTRATO Y ADICIONALMENTE NSUMOS DE LAPAROSCOPIA REUTILIZABLE NO SE RECONOCE SU COBRO_x000D_
 ||||||| SE OBJETA INSUMO ALTO COSTO  IPS NO PRESENTA FACTURA DE COMPRA IPS SIN CONTRATO_x000D_
</t>
  </si>
  <si>
    <t xml:space="preserve">SE OBJETA APLICACION DE HEMODERIVADOS REALIZADO POR PERSONAL ASISTENCIAL INCLUIDO EN ESTANCIA  ADEMAS NO SE EVIDENCIA NOTA MEDICA DE SU REALIZACION._x000D_
</t>
  </si>
  <si>
    <t xml:space="preserve">SE GLOSA POR MVC CULTIVO  SE RECONOCE HEMOCULTIVO A TARIFA SOAT UVB_x000D_
</t>
  </si>
  <si>
    <t>FA0801</t>
  </si>
  <si>
    <t>Los cargos por apoyo diagnóstico que vienen relacionados o justificados en los soportes de cobro presentan diferencias con las cantidades que fueron facturadas</t>
  </si>
  <si>
    <t xml:space="preserve">SE OBJETA PARACLINICOS  NO FACT_x000D_
</t>
  </si>
  <si>
    <t xml:space="preserve">SE GLOSA ESTANCIA DE LOS DIAS 28  29  30 DE SEPTIEMBRE Y 1 DE OCTUBRE SIN INDICACION CLINICA DE LA CONTINUIDAD DEL MANEJO MEDICO HOSPITLARIOA  PACIENTE PARA EGRESO MEDICO_x000D_
 ||||||| SE GLOSA ESTANCIA EN UCI PLENA  SE RECONOCE CUIDADO INTERMEDIO EN UNIDAD DE QUEMDADSO EN PACIENTE SIN REQUERIMIENTOS DE SOPORTES RESPIRATORIOS O VASOACTVOS  SE RECONOCE MONITORIZACION CONTINUA EN CUIDADO INTERMEDIO_x000D_
</t>
  </si>
  <si>
    <t xml:space="preserve">SE OBJETA ESTANCIA PROLONGADA PACIENTE CON MEJORIA DE SINTOMAS SE PUDO MANEJAR AMBULATORIAMENTE  SE GLOSAN 5 DIAS_x000D_
</t>
  </si>
  <si>
    <t xml:space="preserve">SE OBJETA APLICACION DE HEMODERIVADOS REALIZADO POR PERSONAL ASISTENCIAL INCLUIDO EN ESTANCIA  ADEMAS NO SE EVIDENCIA NOTA MEDICA DE SU REALIZACION_x000D_
</t>
  </si>
  <si>
    <t xml:space="preserve">SE GLOSAN 7 DIAS DE ESTANCIA ASOCIADA A DEMORA POR PARTE DE LA IPS PARA LA REALIZACION DE PROCEDIMIENTO  YA CON CONDUCTA DEFINIDA  AJUSTAR HTA Y SE DEMORA LUEGO EN REALIZAR EL PROCEDIMIENTO QUIRURGICOA  SE RECONOCEN 2 DIAS DE ESTANCIA  SE GLOSAN LOS DEMAS  DADO NO TIENE INDICACION MEDICA_x000D_
</t>
  </si>
  <si>
    <t xml:space="preserve">SE GLOSAN 3 DIAS DE ESTANCIA EN PACIENTE CON CUADRO DE FRACTURA DE FEMUR  DEFINIDA  ORDEN QUIRURGICA ESTABLECIDA DESDE EL INGRESO  Y CON ESTUDIOS NO IMPORTANTES EN EL MOMENTO DE TOMA D EDECISION DE CONDUCTA QUE PROLONGA ESTANCIA Y FAVORECE RIESGOS HOSPITALARIOS DE ADULTO MAYOR  SE DEBE REALIZAR CIRUGIA ANTES DE 48 PARA MINIMIZAR RIESGOS VITALES POR LO QUE SE RECONOCEN 3 DIAS DE LOS 7 POR DEMORAS POR PARTE DE LA IPS EN REALIZAR EL PROCEDIMIENTO_x000D_
</t>
  </si>
  <si>
    <t xml:space="preserve">SE GLOSAN PROCEDIMIENTOS  PACIENTE SENIL  CON MULTIPLES ANTECEDENTES  LOS PARACLINICOS GENERAN DEMORA EN ESTANCIA HOSPITALARIA  PARA TOMA DE DECISIONES Y NO CAMBIAN LA CONDUCTA MEDICA PRINCIPAL A SEGUIR  NO SE BENEFICIA EN NADA  INDEPENDIENTE DEL RESULTADO DE LOS PARACLINICOS_x000D_
</t>
  </si>
  <si>
    <t xml:space="preserve">SE GLOSAN 3 DIAS DE ESTANCIAS 18 19 Y 20 DE OCTUBRE EN PACIENTE CON DEMORA EN LA REALIZACION DE PROCEDIMIENTO QUIRURGICO  POR LO QUE SE GLOSA ESTANCIA_x000D_
</t>
  </si>
  <si>
    <t xml:space="preserve">SE GLOSA PRUEBAS DE FUNCION TIROIDEA  A PESAR DE ANTECEDENTE DE PACIENTE  SU REPORTE NO VA A CAMBIAR LA CONDUCTA MEDICA  NI MODIFICA DE ALGUNA FORMA EL PLAN DE MANEJO _x000D_
</t>
  </si>
  <si>
    <t xml:space="preserve">SE GLOSAN 4 DIAS DE ESTANCIA  2 DIAS ASOCIADOS AL PAQQUETE FACTURADO DE LA CPRE Y DE LA COLECISTECTOMIAL  ADEMAS DEMORAS NO RELACIOKNADAS CON EL CASO CLINICO Y SI DISPONIBILIDAD DE REALIZACION DE PROCEDIMENTO_x000D_
</t>
  </si>
  <si>
    <t xml:space="preserve">SERVICIO NO FACTURABLE INCLUIDO EN GASES ARTERIALS  ADICIONAL A ESTO SIN INDICACION CLINICA ESPECIFICA PARA EL MANEJO DEL PACIENTE_x000D_
</t>
  </si>
  <si>
    <t xml:space="preserve">SE GLOSA PROCEDIMIENTO  NO PERTINENTE NO APORTA AL MANEJO Y SU REPORTE O RESULTADO NO AFECTARIA EL PLAN DE MANEJO ESTEABLECIDO_x000D_
</t>
  </si>
  <si>
    <t xml:space="preserve">ONDANSETRÓN 8 MG NO PERTINENTE MEDICAMENTO PARA USO PREVENTIVO DE  NÁUSEAS Y  VÓMITO CAUSADOS POR LA QUIMIOTERAPIA    LA RADIOTERAPIA Y  CIRUGÍA DEBIDO AL CÁNCER SEGUN INDICACION INVIMA  ANTAGONISTAS RECEPTORES DE SEROTONINA 5-HT3._x000D_
</t>
  </si>
  <si>
    <t xml:space="preserve">RESECCION DE TUMOR DE OVARIO POR LAPAROTOMIA  NO SE RECONCOE YA QUE ESTA INLCUDIA EN HISTERECTOMIA TOTAL AMPLIADA_x000D_
 ||||||| SALPINGECTOMIA UNILATERAL TOTAL POR LAPAROTOMIA  NO SE RECONOCE INCLUIDO EN PROCEDIMINETO PRINICPLA HISTERCTOMIA TOTAL_x000D_
</t>
  </si>
  <si>
    <t xml:space="preserve">CANULA DE GUEDEL 4 MM  NO SE RECONCOE INLCUDIO EN DERECHOS DE SALA_x000D_
 ||||||| ELECTRODO ECG ADULTO REF 302A  NO FACTURABLE INLCUDIO EN DERECHO DE SALA_x000D_
 ||||||| FILTROS HME ADULTOS INTERCAMBIADOR DE CALOR Y HUMEDAD REF 30  NO SE RECO NCOEN YA QUE SE ENCUENTRAN INCLUIDO EN DERECHOS DE SALA_x000D_
 ||||||| INZA ENERGÍA AVANZADA PARA LAPAROTOMIA REF:NSLX120L NO SE RECONOC E INCLUIDO EN DERECHOS DE SALA_x000D_
</t>
  </si>
  <si>
    <t xml:space="preserve">NO ENCONETRAMOS INDICACION DE ESTE ESTUDIO  SIN MENICON DE SINDROME CORONARIO AGUDO  SIN DESCOMPENSACION HEMODINAMICA  SIN MENCION DE ALTERACION DE ELECTROLITOS  EN ESTE PUNTO NO PERTINENTE ESTUDIO TIROIDEO_x000D_
 ||||||| NO SE RECONOCE TENIENDO EN CUENTA QUE  ESTE ESTUDIOO POR SI SOLO SIN MEDICION DE CURVA Y CALCULOA DE DELTA   NO APORTAN A DIAGNOSTICO DE SINDROME CORONARIO AGUDO  PO RTANTO NO APORTA AL MANJEO NI AL DIAGNOSTICO  ES UN RECUERSO USADO INADECUADAMENTE AMPARADOS EN  QUE LOS RECURSOS DE SALUD SON FINITOS_x000D_
</t>
  </si>
  <si>
    <t>FA0201</t>
  </si>
  <si>
    <t>El cargo por consulta, interconsulta o atención (visita) domiciliaria que viene relacionado o justificado en los soportes de cobro, presenta diferencias con las cantidades facturadas</t>
  </si>
  <si>
    <t xml:space="preserve">NO SE RECONOC PACIENTE INGRESA REMITIDO_x000D_
</t>
  </si>
  <si>
    <t xml:space="preserve">SE GLOSA AYUDA DIAGNOSTICA GLUCOMETRIA NO SE EVIDENCIA SOPORTE O RESULTADO DE SU REALIZACION	 $ 4.700 _x000D_
</t>
  </si>
  <si>
    <t xml:space="preserve">SE OBJETA ESTANCIA DESDE EL DIA 10/10/2025 HASTA EL 17/10/2025 (7 DIAS EN HOSPITALIZACION GENERAL) POR PERTINENCIA  PACIENTE CON PROCEDIMIENTO DE SEGUNDO TIEMPO QUIRURGICO INDICADO DESDE EL 06/10/2025 EL CUAL SE LLEVO A CABO HASTA EL DIA 17/10/2025 POR ADIQUISCION DE MATERIALES SEGÚN LOS REPORTES DE  HISTORIA CLINICA  POR LO QUE SE CONSIDERA PROLONGACION EN LA ESTANCIA POR DEMORAS EN LA REALIZACION DE PROCEDIMIENTO DEFINITIVO. SE APLICA GLOSA DE LOS DIAS MENCIONADOS POR PERTINENCIA.	 $ 2.790.060 _x000D_
</t>
  </si>
  <si>
    <t xml:space="preserve">SE OBJETA MATERIAL DE OSTESINTENSIS  NO SE EVIDENCIA DENTRO DE LOS SOPORTES DE LA FACTURA  LISTA DE PRECIOS DEL MATERIAL DE OSTEOSINTESIS PARA SU CORRESPONDIENTE AUDITORIA. SE ESPECIFICA QUE AL ANEXAR EL SOPORTE SOLICITADO  ESTE SERA OBJETO DE AUDITORIA INTEGRAL.	 $ 3.469.000 _x000D_
 ||||||| SE OBJETA MATERIAL DE OSTESINTENSIS  NO SE EVIDENCIA DENTRO DE LOS SOPORTES DE LA FACTURA  LISTA DE PRECIOS DEL MATERIAL DE OSTEOSINTESIS PARA SU CORRESPONDIENTE AUDITORIA. SE ESPECIFICA QUE AL ANEXAR EL SOPORTE SOLICITADO  ESTE SERA OBJETO DE AUDITORIA INTEGRAL.	 $ 4.062.500 _x000D_
 ||||||| SE OBJETA MATERIAL DE OSTESINTENSIS  NO SE EVIDENCIA DENTRO DE LOS SOPORTES DE LA FACTURA  LISTA DE PRECIOS DEL MATERIAL DE OSTEOSINTESIS PARA SU CORRESPONDIENTE AUDITORIA. SE ESPECIFICA QUE AL ANEXAR EL SOPORTE SOLICITADO  ESTE SERA OBJETO DE AUDITORIA INTEGRAL.	 $ 4.812.800 _x000D_
</t>
  </si>
  <si>
    <t xml:space="preserve">SE OBJETA PROCEDIMIENTO DILATACION DE LARINGE POR MVC  SE VERIFICA EN PORTAFOLIO DEL ACUERDO DE TARTIFAS Y SE RECONOCE AL VALOR PACTADO  SE GLOSA LA DIFERENCIA.	 $ 1.288.699 _x000D_
</t>
  </si>
  <si>
    <t>SO3601</t>
  </si>
  <si>
    <t>Existe ausencia total, parcial o inconsistencia en las copias de la factura enviada a la compañia de seguros SOAT, la ADRES o la entidad que haga sus veces, cuando aplica, con sus respectivos detalles, con las que se cumple los topes de cobertura</t>
  </si>
  <si>
    <t xml:space="preserve">SE GLOSA LA TOTALIDAD DE LA FACTURA  FACTURA POR ACCIDENTE DE TRANSITO EN LA CUAL NO ANEXAN FACTURACION DE LA ATENCION PREVIA DE LA IPS QUE REMITIO NI LA FACTURA DEL MONTO CUBIERTO POR EL SOAT  NECESARIO PARA REALIZAR UNA AUDITORIA INTEGRAL DE LA FACTURA. ADICIONALMENTE EN LA MAYORIA DE SOPORTES INCLUIDOS LOS QUE SE ESTAN COBRANDO A SANIDAD TIENE COMO ENTE RESPONSABLE AXA COLPATRIA LO CUAL NO CORRESPONDE  TIENE UNA CARTA DE AGOTAMIENTO QUE REFIERE FECHA DE AGOTAMIENTO  APROXIMADAMENTE EL 02/10/2025  SIN EMBARGO NO ANEXAN SOPORTES CORRESPONDIENTES DE ACUERDO A LA NORMATIVIDAD. TIENE UNA ESTANCIA PROLONGADA POR CURACIONES DE QUEMADURAS QUE CORRESPONDEN AL 3% DE SCT  SE SOLICITO PROCEDIMIENTO DE INJERTOS DESDE EL 24/09/2025  SIN EMBARGO EL PROCEDIMIENTO SE LLEVO A CABO HASTA EL DIA 04/10/2025 (10 DIAS DE INOPORTUNIDAD)  EVIDENCIANDOSE NO PERTINENCIA POR DEMORAS EN LA REALIZACION DEL PROCEDIMIENTO SIN JUSTIFICACION CLINICA DESCRITA EN LA HISTORIA CLINICA. PACIENTE SIN CRITERIOS CLINICOS PARA ESTANCIA EN UNIDAD DE CUIDADOS INTERMEDIOS ADULTO  SE DEBE GLOSAR ESTANCIA TAMBIEN._x000D_
</t>
  </si>
  <si>
    <t xml:space="preserve">SE OBJETA ESTANCIA DESDE EL 22/10/2025 AL 24/10/2025 (2 DIAS)  PACIENTE CON SOLICITUD DE HOLTER DESDE QUE SE ENCONTRABA EN UCI SIN EMBARGO NO SE REALIZO HASTA EL 23  PERO YA NO TENIA JUSTIFICACION CLINICA DE CONTINUAR EN ESTANCIA  SE CONSIDERA DEMORAS EN SU EGRESO POR INOPORTUNIDAD EN LA REALIZACION DE HOLTER. SE APLICA GLOSA._x000D_
 ||||||| SE OBJETA ESTANCIA EN UCE POR PERTINENCIA DEL 16/10/2025 AL 18/10/2025 (3 DIAS UCI)   PACIENTE CON HEMATOMA CRONICO  EL TRAUMA FUE 2 MESES ANTES DEL INGRESO  SE VERICICA EN TODAS LAS EVOLUCIONES GLASGOW 15/15 SIN FOCALIDAD NEUROLOGICA NI DETERIORO DEL MISMO  NO SE CONSIDERA PERTINENCIA EN INTERMEDIOS  SE RECONOCE A ESTANCIA EN HABITACION._x000D_
</t>
  </si>
  <si>
    <t xml:space="preserve">SE GLOSA EL 25% DEL ESTUDIO DE GEN EXPERT BK  NO SE EVIDENCIA DENTRO DE LOS ANEXOS DE LA FACTURA SOPORTE DEL EXAMEN MENCIONADO  SE APLICA GLOSA._x000D_
</t>
  </si>
  <si>
    <t xml:space="preserve">SE OBJETA 2 DIAS DE ESTACIA EN HOSPITALIZACION GENERAL  DEL 19/10/2025 AL 21/10/2025 POR DEMORAS EN LA PROGRAMACION DEL PROCEDIMIENTO  PROCEDIMIENTO DE DECORTICACION Y PLEURECTOMIA SOLICITADO EL 16/10/2025 SIN EMBARGO SE REALIZA HASTA EL DIA 21/10/2025  SE CONSIDERA DEMORAS EN LA PROGRAMACION LO QUE GENERA UNA PROLONGACION EN LA ESTANCIA  Y AUNQUE LA PACIENTE TIENE OTRAS INDICACIONES COMO EL MANEJO ANTIBIOTICO  EL PROCEDIMIENTO ES DE CARACTER TERAPEUTICO LO QUE AYUDA A LA AGILIZACION DE SU CUADRO CLINICO INFECCIOSO RESPIRATORIO POR LO QUE SE APLICA GLOSA._x000D_
</t>
  </si>
  <si>
    <t>IRMA JANETH RIOS ARGUELLO</t>
  </si>
  <si>
    <t xml:space="preserve">SE GLOSA CONSULTA DE PRIMERA VEZ POR ESPECIALISTA EN ORTOPEDIA Y TRAUMATOLOGIA  POR MAYOR VALOR COBRADO  NO SE TIENE CONTRATO  NO SE RECONOCE VALOR DE ACUERDO A TARIFA DE MANUAL TARIFARIO VIGENTE SOAT UVB  CUYO VALOR ES DE $75.400  SE GLOSA LA DIFERENCIA EN EL VALOR COBRADO._x000D_
</t>
  </si>
  <si>
    <t xml:space="preserve">SE GLOSA ESTUDIO ANATOMOPATOLÓGICO DE MARCACIÓN INMUNOHISTOQUÍMICA BÁSICA (ESPECÍFICO)  POR MAYOR VALOR COBRADO  NO SE TIENE CONTRATO  NO SE RECONOCE VALOR DE ACUERDO A TARIFA DE MANUAL TARIFARIO VIGENTE SOAT UVB  CUYO VALOR ES DE $257.700  SE GLOSA LA DIFERENCIA EN EL VALOR COBRADO._x000D_
</t>
  </si>
  <si>
    <t xml:space="preserve">SE GLOSA MATERIAL DE OSTEOSISNTESIS SIN FACTURA DE COMPRA PARA VERIFICACION DEL VALOR FACTURADO_x000D_
</t>
  </si>
  <si>
    <t xml:space="preserve">TA5801  SE GLOSA ARTERIOGRAFIA VERTEBRAL BILATERAL SELECTIVA CON CAROTIDAS PANANGIOGRAFIA  MAYOR VALOR SE ACEPTA VALOR UVB SEGUN NORMATIVIDAD VIGENTE ._x000D_
</t>
  </si>
  <si>
    <t xml:space="preserve">SE GLOSA CATETER ANGIOGRAFICO DE DIAGNOSTICO COBRA 2 5FRX65  NO SE TIENE CONTRATO  DE CONFORMIDAD CON LA RESOLUCION 2284 DE 2023  ANEXO TECNICO NO. 1  SOPORTE DE COBRO  ITEM  10  NO SE ADJUNTA LISTA DE PRECIO DE TECNOLOGIAS EN SALUD E INSUMOS  PARA VERIFICAR EL VALOR COBRADO._x000D_
 |||||| SE GLOSA CATETER DIAGNOSTICO PERIFERICO SIM 2 5FRX100  NO SE TIENE CONTRATO  DE CONFORMIDAD CON LA RESOLUCION 2284 DE 2023  ANEXO TECNICO NO. 1  SOPORTE DE COBRO  ITEM  10  NO SE ADJUNTA LISTA DE PRECIO DE TECNOLOGIAS EN SALUD E INSUMOS  PARA VERIFICAR EL VALOR COBRADO._x000D_
 |||||| SE GLOSA COILS DE LIBERACIÓN CONTROLADA PARA EMBOLIZACIÓN 16MM HASTA  NO SE TIENE CONTRATO  DE CONFORMIDAD CON LA RESOLUCION 2284 DE 2023  ANEXO TECNICO NO. 1  SOPORTE DE COBRO  ITEM  10  NO SE ADJUNTA LISTA DE PRECIO DE TECNOLOGIAS EN SALUD E INSUMOS  PARA VERIFICAR EL VALOR COBRADO._x000D_
 |||||| SE GLOSA COILS PERIFERICO DE ENTREGA CONTROLADA DE FIBRA DE DACRON Y  NO SE TIENE CONTRATO  DE CONFORMIDAD CON LA RESOLUCION 2284 DE 2023  ANEXO TECNICO NO. 1  SOPORTE DE COBRO  ITEM  10  NO SE ADJUNTA LISTA DE PRECIO DE TECNOLOGIAS EN SALUD E INSUMOS  PARA VERIFICAR EL VALOR COBRADO._x000D_
 |||||| SE GLOSA GUIA PARA AGUJA DE COLOCACION REF 900013B01  NO SE TIENE CONTRATO  DE CONFORMIDAD CON LA RESOLUCION 2284 DE 2023  ANEXO TECNICO NO. 1  SOPORTE DE COBRO  ITEM  10  NO SE ADJUNTA LISTA DE PRECIO DE TECNOLOGIAS EN SALUD E INSUMOS  PARA VERIFICAR EL VALOR COBRADO._x000D_
 |||||| SE GLOSA KIT INTRODUCTOR FEMORAL 6FR X 10  NO SE TIENE CONTRATO  DE CONFORMIDAD CON LA RESOLUCION 2284 DE 2023  ANEXO TECNICO NO. 1  SOPORTE DE COBRO  ITEM  10  NO SE ADJUNTA LISTA DE PRECIO DE TECNOLOGIAS EN SALUD E INSUMOS  PARA VERIFICAR EL VALOR COBRADO._x000D_
 |||||| SE GLOSA OCLUSION DE VENAS INTRAABDOMINALES  VIA ENDOVASCULAR  POR MAYOR VALOR COBRADO  NO SE TIENE CONTRATO  NO SE RECONOCE VALOR DE ACUERDO A TARIFA DE MANUAL TARIFARIO VIGENTE SOAT UVB  CUYO VALOR ES DE $883.300 SE GLOSA LA DIFERENCIA EN EL VALOR COBRADO._x000D_
</t>
  </si>
  <si>
    <t xml:space="preserve">SE GLOSA ANGIOGRAFIA DE VENAS CAVAS O CAVOGRAFIA  POR MAYOR VALOR COBRADO  NO SE TIENE CONTRATO  NO SE RECONOCE VALOR DE ACUERDO A TARIFA DE MANUAL TARIFARIO VIGENTE SOAT UVB  CUYO VALOR ES DE $252.800 SE GLOSA LA DIFERENCIA EN EL VALOR COBRADO._x000D_
 |||||| SE GLOSA FLEBOGRAFIA [VENOGRAFIA] ABDOMINAL O PELVICA (SELECTIVA)  NO SE TIENE CONTRATO  PRECIO NO ESTA EN MANUAL TARIFARIO VIGENTE  NO SE ADJUNTA COTIZACION Y/O TARIFA PROPIA PARA VERIFICAR VALOR COBRADO._x000D_
</t>
  </si>
  <si>
    <t xml:space="preserve">SE GLOSA ECOGRAFIA COMO GUIA PARA PROCEDIMIENTOS  NO SE TIENE CONTRATO  PRECIO NO ESTA EN MANUAL TARIFARIO VIGENTE  NO SE ADJUNTA COTIZACION Y/O TARIFA PROPIA PARA VERIFICAR VALOR COBRADO._x000D_
</t>
  </si>
  <si>
    <t xml:space="preserve">SE GLOSA AGUJA PARA BIOSIA SEMI AUTOMATICA DE TEJIDOS BLANDOS 16G*100  NO SE TIENE CONTRATO  DE CONFORMIDAD CON LA RESOLUCION 2284 DE 2023  ANEXO TECNICO NO. 1  SOPORTE DE COBRO  ITEM  10  NO SE ADJUNTA LISTA DE PRECIO DE TECNOLOGIAS EN SALUD E INSUMOS  PARA VERIFICAR EL VALOR COBRADO._x000D_
 |||||| SE GLOSA GUIA PARA AGUJA DE COLOCACION REF 900013B01  NO SE TIENE CONTRATO  DE CONFORMIDAD CON LA RESOLUCION 2284 DE 2023  ANEXO TECNICO NO. 1  SOPORTE DE COBRO  ITEM  10  NO SE ADJUNTA LISTA DE PRECIO DE TECNOLOGIAS EN SALUD E INSUMOS  PARA VERIFICAR EL VALOR COBRADO._x000D_
</t>
  </si>
  <si>
    <t xml:space="preserve">SE GLOSA BIOPSIA DE TEJIDO BLANDO: MUSCULOS  TENDON  FASCIA Y BURSA (INCLUYENDO MANO) VIA PERCUTANEA  POR MAYOR VALOR COBRADO  NO SE TIENE CONTRATO  NO SE RECONOCE VALOR DE ACUERDO A TARIFA DE MANUAL TARIFARIO VIGENTE SOAT UVB  PROCEDIMIENTO DEL GRUPO 4  CUYO VALOR ES DE $625.000  SE GLOSA LA DIFERENCIA EN EL VALOR COBRADO._x000D_
 |||||| SE GLOSA DRENAJE DE COLECCION PROFUNDA EN PIEL O TEJIDO CELULAR SUBCUTANEO POR INCISION O ASPIRACION  POR MAYOR VALOR COBRADO  NO SE TIENE CONTRATO  NO SE RECONOCE VALOR DE ACUERDO A TARIFA DE MANUAL TARIFARIO VIGENTE SOAT UVB  PROCEDIMIENTO DEL GRUPO 4  CUYO VALOR ES DE $840.000  SE GLOSA LA DIFERENCIA EN EL VALOR COBRADO._x000D_
</t>
  </si>
  <si>
    <t xml:space="preserve">SE GLOSA CORTADOR PARA ARTROSCOPIA  NO SE TIENE CONTRATO  DE CONFORMIDAD CON LA RESOLUCION 2284 DE 2023  ANEXO TECNICO NO. 1  SOPORTE DE COBRO  ITEM  10  NO SE ADJUNTA LISTA DE PRECIO DE TECNOLOGIAS EN SALUD E INSUMOS  NO SE ADJUNTA FACTURA DE MATERIAL DE OSTESOSINTESIS  PARA VERIFICAR EL VALOR COBRADO._x000D_
 |||||| SE GLOSA CUCHILLA DE SHAVER  NO SE TIENE CONTRATO  DE CONFORMIDAD CON LA RESOLUCION 2284 DE 2023  ANEXO TECNICO NO. 1  SOPORTE DE COBRO  ITEM  10  NO SE ADJUNTA LISTA DE PRECIO DE TECNOLOGIAS EN SALUD E INSUMOS  NO SE ADJUNTA FACTURA DE MATERIAL DE OSTESOSINTESIS  PARA VERIFICAR EL VALOR COBRADO._x000D_
 |||||| SE GLOSA PUNTA DE RADIOFRECUENCIA  NO SE TIENE CONTRATO  DE CONFORMIDAD CON LA RESOLUCION 2284 DE 2023  ANEXO TECNICO NO. 1  SOPORTE DE COBRO  ITEM  10  NO SE ADJUNTA LISTA DE PRECIO DE TECNOLOGIAS EN SALUD E INSUMOS  NO SE ADJUNTA FACTURA DE MATERIAL DE OSTESOSINTESIS  PARA VERIFICAR EL VALOR COBRADO._x000D_
 |||||| SE GLOSA SISTEMA DE SUSPENSION AJUSTABLE LCA/DAC  NO SE TIENE CONTRATO  DE CONFORMIDAD CON LA RESOLUCION 2284 DE 2023  ANEXO TECNICO NO. 1  SOPORTE DE COBRO  ITEM  10  NO SE ADJUNTA LISTA DE PRECIO DE TECNOLOGIAS EN SALUD E INSUMOS  NO SE ADJUNTA FACTURA DE MATERIAL DE OSTESOSINTESIS  PARA VERIFICAR EL VALOR COBRADO._x000D_
 |||||| SE GLOSA TORNILLO DE ANCLAJE CORKSCREW FT 3.5 MM DOBLE SUTURA - FIBER  NO SE TIENE CONTRATO  DE CONFORMIDAD CON LA RESOLUCION 2284 DE 2023  ANEXO TECNICO NO. 1  SOPORTE DE COBRO  ITEM  10  NO SE ADJUNTA LISTA DE PRECIO DE TECNOLOGIAS EN SALUD E INSUMOS  NO SE ADJUNTA FACTURA DE MATERIAL DE OSTESOSINTESIS  PARA VERIFICAR EL VALOR COBRADO._x000D_
 |||||| SE GLOSA TORNILLOS BIODEGRADABLES PARA LCA DIFERENTES CALIBRES  NO SE TIENE CONTRATO  DE CONFORMIDAD CON LA RESOLUCION 2284 DE 2023  ANEXO TECNICO NO. 1  SOPORTE DE COBRO  ITEM  10  NO SE ADJUNTA LISTA DE PRECIO DE TECNOLOGIAS EN SALUD E INSUMOS  NO SE ADJUNTA FACTURA DE MATERIAL DE OSTESOSINTESIS  PARA VERIFICAR EL VALOR COBRADO._x000D_
</t>
  </si>
  <si>
    <t xml:space="preserve">SE GLOSA MATERIALES NO FACTURABLES  DE CONFORMIDAD CON ANEXO 1 DECRETO 780 DE 2016  CIRCULAR 025 DE 2024  ART 54.6 ELEMENTOS INCLUIDOS EN MATERIALES DE SUTURA Y CURACIÓN: LOS MATERIALES DE SUTURA Y CURACIÓN A QUE SE REFIERE ESTE APARTE INCLUYEN LOS SIGUIENTES ELEMENTOS: ALGODÓN  APLICADORES  APÓSITOS  COMPRESAS  MECHAS  GASAS  TORUNDAS  COTONOIDES  CIERRES UMBILICALES  ESPONJAS EXCEOTI DE SILICÓN  GELATINAS ABSORBIBLES  CERA PARA HUESOS  ESPARADRAPO  SOLUCIONES DESINFECTANTES  VENDAJES  GUANTES  HOJAS DE BISTURÍ  CATÉTERES PERICRANEALES  EQUIPOS DE VENOCLISIS  BURETRAS  AGUJAS DE CUALQUIER CLASE  JERINGAS  LLAVES DE DOS O MÁS VÍAS  AGRAFES  SUTURA DE CUALQUIER TIPO ( CATGUTS  ABSORBIBLES SINTÉTICAS  NO ABSORBIBLES  TALES COMO: SEDAS  NYLON  POLIÉSTER  POLIPROPILENO  ACERO INOXIDABLE  ETC.)_x000D_
</t>
  </si>
  <si>
    <t>SO4001</t>
  </si>
  <si>
    <t>Existe ausencia total, parcial o inconsistencia de la copia del registro de anestesia</t>
  </si>
  <si>
    <t xml:space="preserve">CONDROPLASTIA DE RODILLA POR ARTROSCOPIA_x000D_
 |||||| SE GLOSA RECONSTRUCCION DE LIGAMENTO CRUZADO ANTERIOR CON INJERTO AUTOLOGO O CON ALOINJERTO POR ARTROSCOPIA  POR INCONSISTENCIA EN SOPORTES  EL REGISTRO DE ANESTESIA Y LA DESCRIPCION QUIRURGICA  NO CUMPLE CON RESOLUCION 2284 DE 2023  ANEXO TECNICO NO. 1 SOPORTES DE CUENTA DE COBRO  LITERAL 5  CRITERIOS 5.2  5.6  5.7  5.8  5.9  5.10  5.11  5.12 Y 5.13  LA DESCRIPCION QUIRRUGICA NO CONTIENE LOS CRITERIOS 4.2  4.16 Y 4.18._x000D_
 |||||| SE GLOSA REMODELACION DE MENISCO MEDIAL Y LATERAL POR ARTROSCOPIA  POR INCONSISTENCIA EN SOPORTES  EL REGISTRO DE ANESTESIA Y LA DESCRIPCION QUIRURGICA  NO CUMPLE CON RESOLUCION 2284 DE 2023  ANEXO TECNICO NO. 1 SOPORTES DE CUENTA DE COBRO  LITERAL 5  CRITERIOS 5.2  5.6  5.7  5.8  5.9  5.10  5.11  5.12 Y 5.13  LA DESCRIPCION QUIRRUGICA NO CONTIENE LOS CRITERIOS 4.2  4.16 Y 4.18._x000D_
 |||||| SE GLOSA SUTURA DE MENISCO MEDIAL O LATERAL  POR ARTROSCOPIA  POR INCONSISTENCIA EN SOPORTES  EL REGISTRO DE ANESTESIA Y LA DESCRIPCION QUIRURGICA  NO CUMPLE CON RESOLUCION 2284 DE 2023  ANEXO TECNICO NO. 1 SOPORTES DE CUENTA DE COBRO  LITERAL 5  CRITERIOS 5.2  5.6  5.7  5.8  5.9  5.10  5.11  5.12 Y 5.13  LA DESCRIPCION QUIRRUGICA NO CONTIENE LOS CRITERIOS 4.2  4.16 Y 4.18._x000D_
</t>
  </si>
  <si>
    <t>VALOR NC</t>
  </si>
  <si>
    <t>VALOR ACEPTADO EN TRAMITE GLOSA INICIAL</t>
  </si>
  <si>
    <t>RESPUESTA A GLOSA INICIAL EN TRAMITE</t>
  </si>
  <si>
    <t>TRAMITE</t>
  </si>
  <si>
    <t>FEC TRAMITE</t>
  </si>
  <si>
    <t>AÑO TRAMITE</t>
  </si>
  <si>
    <t>MES TRAMITE</t>
  </si>
  <si>
    <t>RecepcionObjecion.FacturaCartera.PlanBeneficio.Tercero.Documento</t>
  </si>
  <si>
    <t>RecepcionObjecion.FacturaCartera.PlanBeneficio.Contrato.Entidad.CodigoEntidad</t>
  </si>
  <si>
    <t>RecepcionObjecion.FacturaCartera.PlanBeneficio.Contrato.Entidad.NombreEntidad</t>
  </si>
  <si>
    <t>RecepcionObjecion.FacturaCartera.Saldo</t>
  </si>
  <si>
    <t>RecepcionObjecion.FacturaCartera.EstadoCarteraLetras</t>
  </si>
  <si>
    <t>NotaCreditoGenerada.Consecutivo</t>
  </si>
  <si>
    <t>DDDDD</t>
  </si>
  <si>
    <t>RecepcionObjecion.FacturaCartera.PlanBeneficio.Contrato.Codigo</t>
  </si>
  <si>
    <t>RecepcionObjecion.FacturaCartera.PlanBeneficio.Codigo</t>
  </si>
  <si>
    <t>RecepcionObjecion.FacturaCartera.Valor</t>
  </si>
  <si>
    <t>RecepcionObjecion.FacturaCartera.Fecha</t>
  </si>
  <si>
    <t>RecepcionObjecion.FechaObjecion</t>
  </si>
  <si>
    <t>RecepcionObjecion.Consecutivo</t>
  </si>
  <si>
    <t>RecepcionObjecion.FechaDocumento</t>
  </si>
  <si>
    <t>NIT</t>
  </si>
  <si>
    <t>VLR TRAMITADO</t>
  </si>
  <si>
    <t>VLR ACEPTADO</t>
  </si>
  <si>
    <t>ListadoConceptos.DetalleRecepcionObjecion.ConceptoObjecion.Codigo</t>
  </si>
  <si>
    <t>ListadoConceptos.DetalleRecepcionObjecion.ConceptoObjecion.Nombre</t>
  </si>
  <si>
    <t>ListadoConceptos.DetalleRecepcionObjecion.ServicioProductoFactura.Descripcion</t>
  </si>
  <si>
    <t>LFB - LUZ FANNY BARAJAS CALDERON</t>
  </si>
  <si>
    <t>C25004</t>
  </si>
  <si>
    <t>C250041</t>
  </si>
  <si>
    <t>RE9901</t>
  </si>
  <si>
    <t>El prestador de servicios de salud o proveedor de tecnologías en salud informa a la entidad responsable de pago que la glosa siendo justificada ha podido ser subsanada totalmente.</t>
  </si>
  <si>
    <t>DJMA - DELIA JOHANNA MORENO ARENAS</t>
  </si>
  <si>
    <t>U22031</t>
  </si>
  <si>
    <t>U220311</t>
  </si>
  <si>
    <t>ESE HUS NO ACEPTA GLOSA POR MAYOR VALOR COBRADO EN CONSULTA DE CONTROL, LA CUAL SE ENCUENTRA LIQUIDADA A TARIFAS PACTADAS Y ESTA INCLUIDA EN EL ANEXO 1. NOTA: SEGÚN NORMATIVIDAD VIGENTE DE NO OBTENERSE RATIFICACIÓN DE LA GLOSA EN LOS TÉRMINOS LEGALES, SE DARÁ POR LEVANTADA LA OBJECIÓN DE ACUERDO ARTÍCULO 57 DE LA LEY 1438 DE 2011</t>
  </si>
  <si>
    <t xml:space="preserve">CL0201 ESE HUS NO ACEPTA GLOSA A CUIDADO INTRAHOSPITALARIO EN PACIENTE NO QUIRURGICO NO INTERVENIDO A CARGO DE CIRUGIA GENERAL, SERVICIO FACTURABLE. </t>
  </si>
  <si>
    <t>FA0203 ESE HUS NO ACEPTA GLOSA A CONSULTA DE URGENCIAS, SERVICIO FACTURABLE EN ATENCION A DECRETO 2423/1996 ARTICULO 84 QUE ESTABLECE TARIFA A CONSULTA DE URGENCIAS SEGÚN NIVEL DE COMPLEJIDAD, PARA ATENCION DE TODO PACIENTE QUE LA REQUIERA SIN DISCRIMINACION DE QUE EN CASO DE SER REMITIDO NO SERA FACTURABLE, POR LO TANTO NO SE CONSIDERA GLOSA JUSTIFICADA, ADEMAS PACIENTE QUE VIENE REMITIDO DE MENOR NIVEL</t>
  </si>
  <si>
    <t>ESE HUS NO ACEPTA GLOSA POR MAYOR VALOR COBRADO EN PROCEDIMIENTO, EL CUAL SE ENCUENTRA LIQUIDADO A TARIFAS PACTADAS ENTRE LAS PARTES, INCLUIDAS EN EL ANEXO 1. NOTA: SEGÚN NORMATIVIDAD VIGENTE DE NO OBTENERSE RATIFICACIÓN DE LA GLOSA EN LOS TÉRMINOS LEGALES, SE DARÁ POR LEVANTADA LA OBJECIÓN DE ACUERDO ARTÍCULO 57 DE LA LEY 1438 DE 2011</t>
  </si>
  <si>
    <t>CL0601 ESE HUS NO ACEPTA GLOSA A INSUMO VASELL LOOPS CORRESPONDE A SUTURAS ESPECIALES DE RETRACCION UTILIZADAS EN PROCEDIMIENTO NO INCLUIDO EN LOS MATERIALES EN ATENCION A DECRETO 2423/1996.</t>
  </si>
  <si>
    <t>RE9801</t>
  </si>
  <si>
    <t>El prestador de servicios de salud o proveedor de tecnologías en salud informa a la entidad responsable de pago que la glosa ha sido aceptada y subsanada parcialmente</t>
  </si>
  <si>
    <t xml:space="preserve">FA0101 ESE HUS ACEPTA GLOSA PARCIAL POR $ 797.160 CORRESPONDIENTE A ESTANCIA DEL DIA 27 Y 28 POR INOPORTUNIDAD EN ASIGNACION DE FRANJA QUIRURGICA, INGRESA EL DIA 24, SE VALORA POR ESPECIALIDAD SE SOLICITAAN ESTUDIOS, EL DIA 25 CON TAC CON INDICACION DE MANEJO QUIRURGICO SE SOLICITA VALORACION PREANESTESICA EL DIA 26 Y ESE MISMO DIA SE DA APTO POR ANESTESIA, CON FECHA TENTATIVA DE 28 DE INTERVENCION LA CUAL CANCELAN Y DEJAN PARA EL DIA 29. </t>
  </si>
  <si>
    <t>ESE HUS NOA CEPTA GLOSA POR INSUMO FACTURADO, EL CUAL NO ESTA INCLUIDO EN LOS DERECHOS DE SALA NI MATERIALES DE CIRUGIA</t>
  </si>
  <si>
    <t>FA2302 ESE HUS NO ACEPTA GLOSA A PROCEDIMIENTO JUSTIFICADO Y REGISTRADO EN DESCRIPCION QUIRURGICA, SOPORTADO EN HALLAZGOS QUIRURGICOS, FACTURABLE SEGUN LO ESTABLECIDO EN DECRETO 2423/1996.</t>
  </si>
  <si>
    <t>ESE HUS NO ACEPTA GLOSA POR SOPORTE DE FACTURA DE COMPRA DE MOTS, LA CUAL SE ANEXA Y LOS INSUMOS ESTAN LIQUIDADOS A TARIFAS PACTADAS</t>
  </si>
  <si>
    <t xml:space="preserve">LZGC - LEIDY ZULAY GONZALEZ CONTRERAS </t>
  </si>
  <si>
    <t xml:space="preserve">CL0101 ESE HUS NO ACEPTA GLOSA A ESTANCIA, UNA VEZ REVISADA LA HISTORIA CLINICA SE EVIDENCIA PACIENTE CON INDICACION Y APROBACION DE MANEJO AMBULATORIO POR PARTE DE CLINICA DE HERIDAS EL DIA 5 AGOSTO, EL DIA 6 DE AGOSTO TRABAJO SOCIAL INICIA TRAMITE ANTE DISPENSARIO DE AUTORIZACION DE INSUMOS Y MANEJO AMBULATORIO SIN EMBARGO SIN RESPUESTA POR PARTE DE LA ENTIDAD. </t>
  </si>
  <si>
    <t>ESE HUS NO ACEPTA GLOSA POR MAYOR VALOR COBRADO EN AYUDA DIAGNOSTICA, CONSULTAS, TERAPIAS E INTERNACION,  LASUALES SE ENCUENTRAN LIQUIDADAS SEGUN TARIFAS PACTADAS (SOAT VIGENTE-15% Y/O TARIFAS INSTITUCIONALES). NOTA: SEGÚN NORMATIVIDAD VIGENTE DE NO OBTENERSE RATIFICACIÓN DE LA GLOSA EN LOS TÉRMINOS LEGALES, SE DARÁ POR LEVANTADA LA OBJECIÓN DE ACUERDO ARTÍCULO 57 DE LA LEY 1438 DE 2011</t>
  </si>
  <si>
    <t>ESE HUS NO ACEPTA GLOSA POR MAYOR VALOR COBRADO EN AYUDAS DIAGNOSTICAS, CONSULTAS E INTERNACION,  LAS CUALES SE ENCUENTRAN LIQUIDADAS SEGUN TARIFAS PACTADAS (SOAT VIGENTE-15% Y/O TARIFAS INSTITUCIONALES). NOTA: SEGÚN NORMATIVIDAD VIGENTE DE NO OBTENERSE RATIFICACIÓN DE LA GLOSA EN LOS TÉRMINOS LEGALES, SE DARÁ POR LEVANTADA LA OBJECIÓN DE ACUERDO ARTÍCULO 57 DE LA LEY 1438 DE 2011</t>
  </si>
  <si>
    <t>ESE HUS NO ACEPTA GLOSA POR SOPORTE DE LABORATORIOS, LOS CUALES SE ANEXAN</t>
  </si>
  <si>
    <t xml:space="preserve">CL0101- ESE HUS NO ACEPTA GLOSA DE ESTANCIA DE ESTANCIA UCI INTERMEDIOS A  SERVICIO HOSPITALIZACION ESTANCIA CUATRO CAMAS LOS DIAS 17 Y 18. ESTANCIA PERTINENTE Y JUSTIFICADO DE ACUERDO HALLAZGOS DESCRITOS EN LA HISTORIA CLINICA. PACIENTE CON ORDEN DE TRASLADO A PISO DEL 17  CANCELADA POR DOLOR ABDOMINAL,  PACIENTE MASCULINO DE 45 AÑOS CON ANTECEDENTES PATOLÓGICOS DE TRASTORNO DE LA COAGULACIÓN E ISQUEMIA MESENTÉRICA EN EL 2021 CON RESECCIÓN DE 3 METROS DE INTESTINO, SE DESCONOCE CAUSA CLARA, INGRESÓ POR CLÍNICA DE DOLOR EN REGIÓN LUMBAR DERECHA CON SÍNTOMAS URINARIOS IRRITATIVOS, FIEBRE, DE MANERA INICIAL DOCUMENTARON POSIBLE ITU, POSTERIORMENTE PRESENTA DETERIORO NEUROLÓGICO, ALTERACIÓN DEL SENSORIO, CON SENSACIÓN NAUSEOSA OCASIONAL, APARENTE CEFALEA, ALTERACIÓN DEL LENGUAJE CON BRADILALIA, CON APARENTE FOCALIZACIÓN, REALIZARON TOMOGRAFÍA DE CRÁNEO SIN ALTERACIONES. ACTUALMENTE EN MANEJO POR ENCEFALOPATÍA DE ORIGEN DESCONOCIDO, VALORADO POR NEUROLOGÍA QUE INDICA PUNCIÓN LUMBAR Y ESTUDIOS DE EXTENSIÓN, CON CITOQUÍMICO QUE NO APARENTA INFECCIÓN. ADEMÁS PARACLÍNICOS CON HALLAZGOS DE ALTERACIÓN DE LA LESIÓN RENAL AGUDA Y BICITOPENIA. SE INICIÓ ANTIBIOTICOTERAPIA Y TOMA DE POLICULTIVOS. SE DOCUMENTÓ INCIDENTALMENTE HALLAZGO DE MASA EN CABEZA DEL PÁNCREAS EN ECOGRAFÍA DE ABDOMEN. TIENE PARACLÍNICOS CON TENDENCIA A LA MEJORÍA DURANTE EL DA PRESENTO DOLOR ABDOMINAL SE SUSPENDIÓ, PACIENTE DE ALTO RIESGO DE COMPLICACION EL CUAL REQUIERE MANEJO EN UNIDAD ONTERMEDIA MONITORIZACION.  NOTA: DE ACUERDO AL ARTÍCULO 57 DE LA LEY 1438 DE 2011, DE NO OBTENERSE RATIFICACIÓN DE LA RESPUESTA A LA GLOSA EN LOS TÉRMINOS ESTABLECIDOS, SE DARÁ POR LEVANTADA LA RESPECTIVA OBJECIÓN."_x000D_
_x000D_
</t>
  </si>
  <si>
    <t>RE9702</t>
  </si>
  <si>
    <t>El prestador de servicios de salud o proveedor de tecnologías en salud informa a la entidad responsable de pago que la glosa ha sido aceptada al 100%.</t>
  </si>
  <si>
    <t xml:space="preserve">CL01801- ESE HUS ACEPTA GLOSA N$ $ 924.255, POR CONCEPTO DE TOMOGRAFIA COMPUTADA DE ABDOMEN Y PELVIS (ABDOMEN TOTAL) SE ACEPTA DE ACUERDO A MANEJO, YA  QUE CON LA TOMOGRAFIA REALIZADA EL DIA 16 DE AGOSTO DEL 2025 SE REALIZA DIAGNOSTICO.  SE EVIDENCIA QUE SE REALIZO TOMOGRAFIA ABDOMEN Y PELVIS CON CONTRASTE ENDOVENOSO: SE PRACTICAN REGISTROS DESDE LA BASE DEL TORAX A LA SÍNFISIS PUBICA MUESTRAN IMÁGENES AÉREAS ALREDEDOR DE LA PRÓSTATA EN ESTRECHO PÉLVICO. IMÁGENES AÉREAS ALREDEDOR DE LA PRÓSTATA EN EL ESTRECHO PÉLVICO, LÍQUIDO ASCÍTICO REFERIDO PERIHEPÁTICO PERIESPLÉNICO Y EN GOTERAS PARIETOCÓLICAS, ALTERACIÓN DEL TAMAÑO, Y DE LA DENSIDAD DEL PÁNCREAS A CORRELACIONAR CON ANTECEDENTES CLÍNICOS, SE DESCARTAR PANCREATITIS; ESPLENOMEGALIA, COLECISTITIS, HEPATOPATÍA CRÓNICA PROBABLEMENTE CIRROSIS, ESCASA CANTIDAD DE LÍQUIDO PLEURAL EN LAS BASES PULMONARES EN FORMA BILATERAL. ALTERACIÓN EN LA DENSIDAD DE LA GRASA PERITONEAL DEBIÉNDOSE DESCARTAR LA POSIBILIDAD DE PROCESO INFLAMATORIO PERITONEAL Y MENOS PROBABLE UNA LESIÓN PROLIFERATIVA CON COMPROMISO PERITONEAL, EN LA COLUMNA SE DEMUESTRA QUE HAY DISMINUCIÓN DEL ESPACIO INTERVERTEBRAL L5/S1 CON OSTEOFITO MARGINAL INCIPIENTE RELACIÓN CON CAMBIO ESPONDILÓSICOS; LITIASIS EN GRUPO CALICIAL INFERIOR DE RIÑÓN DERECHO QUE MIDEN APROXIMADAMENTE 3 MM EN NÚMERO 2;, EL DIA 17 TOMAN OTRO TAC EL CUAL REALIZAN EL MISMO REPORTE, NO SE JUSTIFICA LA TOMA DE DOS TAC EN MENOS DE 48 HORAS CUANDO EL PRIMERO TIENE UN REPORTE CLARO EL CUAL CIRUGIA GENERAL TOMA DECISIONES._x000D_
_x000D_
</t>
  </si>
  <si>
    <t xml:space="preserve">CL0201- ESE HUS NO ACEPTA GLOSA DE 3 INTERCONSULTAS DE MEDICINA INTERNA, PERTINENTE Y JUSTIFICADO ,DEBIDO A QUE EL PACIENTE SE ENCUENTRA A CARGO ES DE LA ESPECIALIDAD DE NEUROCIRUGIA, POR LO CUAL MEDICINA INTERNA ES INTERCONSULTANTE,  PACIENTE DE 88 AÑOS CON ANTECEDENTE DE ACV HEMORRÁGICO EN EL 2022, CON HEMORRAGIA EPIDURAL BILATERAL, INSUFICIENCIA AÓRTICA SEVERA, CARDIOPATÍA DILATADA FEVI 62%, HIPOTIROIDISMO E HPB. INGRESA REMITIDO COMO URGENCIA VITAL DEL DISPENSARIO MÉDICO DE BUCARAMANGA, DONDE SE ENCONTRABA SIENDO TRATADO, PRESENTÓ DETERIORO NEUROLÓGICO, TOMAN TAC DE CRÁNEO INSTITUCIONAL DONDE SE EVIDENCIA HEMATOMAS SUBDURALES AGUDOS CON ESCASO EFECTO DE MASA SOBRE PARÉNQUIMA SUBYACENTE. SIN CRITERIO DE MANEJO QUIRÚRGICO EMERGENTE POR LO QUE SE SOLICITÓ NUEVO CONTROL TOMOGRÁFICO, INTERCONSULTAS DE MEDICINA INTERNA PERFECTAMENTE FACTURABLES, LOS CUIDADOS HOSPITALARIOS CORRESPONDEN A NEURO COMO LO INDICA LAS EVOLUCIONES.  NOTA: DE ACUERDO AL ARTÍCULO 57 DE LA LEY 1438 DE 2011, DE NO OBTENERSE RATIFICACIÓN DE LA RESPUESTA A LA GLOSA EN LOS TÉRMINOS ESTABLECIDOS, SE DARÁ POR LEVANTADA LA RESPECTIVA OBJECIÓN."_x000D_
</t>
  </si>
  <si>
    <t>ESE HUS NO ACEPTA GLOSA POR TARIFA DE AYUDAS DIAGNOSTICAS Y DE ESTANCIA, LAS CUALES ESTAN LIQUIDADAS A TARIFAS QUE HACEN PARTE DEL ACUERDO ENTRE LAS PARTES. NOTA: SEGÚN NORMATIVIDAD VIGENTE DE NO OBTENERSE RATIFICACIÓN DE LA GLOSA EN LOS TÉRMINOS LEGALES, SE DARÁ POR LEVANTADA LA OBJECIÓN DE ACUERDO ARTÍCULO 57 DE LA LEY 1438 DE 2011</t>
  </si>
  <si>
    <t>ESE HUS NO ACEPTA GLOSA POR MAYOR VALOR COBRADO EN PROCEDIMIENTO QUIRURGICO, EL CUAL SE ENCUENTRA LIQUIDADO SEGUN TARIFAS PACTADAS (SOAT VIGENTE-15% Y/O TARIFAS INSTITUCIONALES). NOTA: SEGÚN NORMATIVIDAD VIGENTE DE NO OBTENERSE RATIFICACIÓN DE LA GLOSA EN LOS TÉRMINOS LEGALES, SE DARÁ POR LEVANTADA LA OBJECIÓN DE ACUERDO ARTÍCULO 57 DE LA LEY 1438 DE 2011</t>
  </si>
  <si>
    <t>ESE HUS NO ACEPTA GLOSA POR SOPORTE DE FACTURA DE COMPRA DE MOTS, LA CUAL SE ANEXA Y ESTA FACTURADO A TARIFAS PACTADAS. NOTA: SEGÚN NORMATIVIDAD VIGENTE DE NO OBTENERSE RATIFICACIÓN DE LA GLOSA EN LOS TÉRMINOS LEGALES, SE DARÁ POR LEVANTADA LA OBJECIÓN DE ACUERDO ARTÍCULO 57 DE LA LEY 1438 DE 2011</t>
  </si>
  <si>
    <t>ESE HUS NO ACEPTA GLOSA POR FACTURACION DE UN DIA DE ESTANCIA, LA CUAL ESTA SOPORTADA Y JUSTIFICADA EN LA HC.</t>
  </si>
  <si>
    <t>ESE HUS NO ACEPTA GLOSA POR MAYOR VALOR COBRADO EN CONSULTA DE PRIMERA VEZ, LA CUAL SE ENCUENTRA LIQUIDADA A TARIFAS PACTADAS. NOTA: SEGÚN NORMATIVIDAD VIGENTE DE NO OBTENERSE RATIFICACIÓN DE LA GLOSA EN LOS TÉRMINOS LEGALES, SE DARÁ POR LEVANTADA LA OBJECIÓN DE ACUERDO ARTÍCULO 57 DE LA LEY 1438 DE 2011</t>
  </si>
  <si>
    <t>ESE HUS NO ACEPTA GLOSA POR SOPORTE DE ESTUDIO PATOLOGICO, EL CUAL SE ANEXA CON FIRMA DEL PROFESIONAL ENCARGADO. NOTA: SEGÚN NORMATIVIDAD VIGENTE DE NO OBTENERSE RATIFICACIÓN DE LA GLOSA EN LOS TÉRMINOS LEGALES, SE DARÁ POR LEVANTADA LA OBJECIÓN DE ACUERDO ARTÍCULO 57 DE LA LEY 1438 DE 2011</t>
  </si>
  <si>
    <t>CL0801- ESE HUS NO ACEPTA GLOSA POR AYUDA DIAGNOSTICA: ECOGRAFIA PELVICA TRANSABDOMINAL, LA CUAL FUE PERTINENTE Y PLENAMENTE JUSTIFICADA ANTE SIGNOS Y HALLAZGOS COMPATIBLES CON PATOLOGÍA GINECOLÓGICA-QUIRÚRGICA QUE EL TAC NO DESCARTA, DADO QUE, PACIENTE INGRESÓ CON SENSACIÓN PALPABLE DE MASA EN FOSA ILÍACA IZQUIERDA, SOSPECHA DE TORSIÓN DE QUISTE ANEXIAL CON EVIDENCIA EN TAC DE “GRANDES LESIONES QUÍSTICAS APARENTEMENTE DEPENDIENTES DEL ANEXO”. SE TRATA DE PACIENTE FEMENINA DE 46 AÑOS DE EDAD, G3P2E1V2, CON ANTECEDENTES DE RESECCIÓN DE EMBARAZO ECTÓPICO (NO RECUERDA LATERALIDAD) EN 2018, QUIEN ACUDE A CENTRO DE SALUD POR CLÍNICA QUE INICIA EL 30/08/25 CONSISTENTE EN DOLOR LOCALIZADO EN HIPOGASTRIO ASOCIADO A MÚLTIPLES EPISODIOS EMÉTICOS (APROXIMADAMENTE #9), EN SITIO DE REMISIÓN CONSIDERAN PACIENTE CON SOSPECHA DE APENDICITIS POR LO QUE INGRESA A NUESTRA INSTITUCIÓN. VALORADA POR SERVICIO DE CIRUGÍA GENERAL QUIENES INDICAN REALIZACIÓN DE TAC ABDOMINAL CONTRASTADO, DESCRIBEN APÉNDICE CECAL NEUMATIZADO, SIN CAMBIOS INFLAMATORIOS, CON HALLAZGO DE GRANDES LESIONES QUÍSTICAS APARENTEMENTE DEPENDIENTES DEL ANEXO, POR LO QUE SOLICITAN CONCEPTO POR NUESTRA ESPECIALIDAD. CUENTA CON PARACLÍNICOS DE INGRESO QUE REPORTAN HEMOGRAMA SIN LEUCOCITOSIS, SIN ANEMIA NI OTRAS CITOPENIAS, FUNCIÓN RENAL CONSERVADA, TIEMPOS DE COAGULACIÓN EN RANGOS DE NORMALIDAD, REACTANTES DE FASE AGUDA LIGERAMENTE ELEVADOS. PACIENTE REFIERE APARICIÓN DE SÍNTOMAS IRRITATIVOS URINARIOS (DISURIA) QUE INICIAN EL DIA DE HOY.  AL MOMENTO DE LA VALORACIÓN SE ENCUENTRA PACIENTE ESTABLE HEMODINÁMICAMENTE, ÁLGICA 10/10 EN EVA, CON CIFRAS TENSIONALES LIGERAMENTE ELEVADAS PROBABLEMENTE ASOCIADAS A DOLOR, AFEBRIL, DEMÁS SIGNOS VITALES EN RANGO DE NORMALIDAD. AL EXAMEN FÍSICO PRESENTA DOLOR ABDOMINAL MARCADO EN HIPOGASTRIO, IMPRESIONA DEFENSA ABDOMINAL CON SIGNO DE BLUMBERG POSITIVO, ADEMÁS CON SENSACIÓN DE MASA QUE SE EXTIENDE EN FOSA ILIACA IZQUIERDA. SE CONSIDERA PACIENTE CON SOSPECHA DIAGNÓSTICA DE TORSIÓN DE QUISTE ANEXIAL IZQUIERDO, POR LO QUE SE INDICA REALIZACIÓN DE ECOGRAFÍA PÉLVICA TRANSVAGINAL, ADICIONALMENTE SE INDICA MANEJO ANALGESICO, SE DEJA SIN VIA ORAL, ANTE POSIBLE REQUERIMIENTO DE MANEJO QUIRÚRGICO. NOTA: DE ACUERDO AL ARTÍCULO 57 DE LA LEY 1438 DE 2011, DE NO OBTENERSE RATIFICACIÓN DE LA RESPUESTA A LA GLOSA EN LOS TÉRMINOS ESTABLECIDOS, SE DARÁ POR LEVANTADA LA RESPECTIVA OBJECIÓN.</t>
  </si>
  <si>
    <t>ESE HUS NO ACEPTA GLOSA POR SOPORTE DE ASISTENCIA INTRAHOSPITALARIA POR EQUIPO INTERDISCIPLINARIO, LOS CUALES SE ADJUNTAN. NOTA: SEGÚN NORMATIVIDAD VIGENTE DE NO OBTENERSE RATIFICACIÓN DE LA GLOSA EN LOS TÉRMINOS LEGALES, SE DARÁ POR LEVANTADA LA OBJECIÓN DE ACUERDO ARTÍCULO 57 DE LA LEY 1438 DE 2011</t>
  </si>
  <si>
    <t>ESE HUS NO ACEPTA GLOSA POR PERTINENCIA DE TERAPIAS RESPIRATORIAS, LAS CUALES ESTAN SOPORTADAS Y JUSTIFICADAS EN LA HC. NOTA: SEGÚN NORMATIVIDAD VIGENTE DE NO OBTENERSE RATIFICACIÓN DE LA GLOSA EN LOS TÉRMINOS LEGALES, SE DARÁ POR LEVANTADA LA OBJECIÓN DE ACUERDO ARTÍCULO 57 DE LA LEY 1438 DE 2011</t>
  </si>
  <si>
    <t>ESE HUS NO ACEPTA GLOSA POR TARIFA DE ESTANCIA, LA CUAL ESTA LIQUIDADA A TARIFAS QUE HACEN PARTE DEL ACUERDO ENTRE LAS PARTES. NOTA: SEGÚN NORMATIVIDAD VIGENTE DE NO OBTENERSE RATIFICACIÓN DE LA GLOSA EN LOS TÉRMINOS LEGALES, SE DARÁ POR LEVANTADA LA OBJECIÓN DE ACUERDO ARTÍCULO 57 DE LA LEY 1438 DE 2011</t>
  </si>
  <si>
    <t>ESE HUS NO ACEPTA GLOSA POR COBERTURA EN PROCEDIMIENTO O ACTIVIDAD (TRANSFUSIÓN UNIDAD DE SANGRE). YA QUE SE TRATA DE UNA ACTIVIDAD QUE DEBE SER REALIZADA POR PERSONAL CAPACITADO DEL BANCO DE SANGRE COMO RESPONSABLE DE DICHO PROCEDIMIENTO, POR LO ANTERIOR, PERSONAL QUE CORRESPONDE SEGÚN RESOLUCIÓN 2300 EN LA HABILITACIÓN DE SERVICIOS.  PARA SERVICIO EN HABITACIÓN NO ESTÁ CONTEMPLADO DENTRO DE ESTA NORMA.  DE LA MISMA MANERA DECRETO 2423/96 NO ESTABLECE EXCEPCIONES EN COBRO DE PROCEDIMIENTOS REALIZADOS LO QUE SE CONCLUYE QUE TODO EVENTO QUE SE LE REALICE AL PACIENTE DURANTE SU ESTANCIA SERÁ FACTURABLE.  NOTA: SEGÚN NORMATIVIDAD VIGENTE DE NO OBTENERSE RATIFICACIÓN DE LA GLOSA EN LOS TÉRMINOS LEGALES, SE DARÁ POR LEVANTADA LA OBJECIÓN DE ACUERDO ARTÍCULO 57 DE LA LEY 1438 DE 2011</t>
  </si>
  <si>
    <t>ESE HUS NO ACEPTA GLOSA POR PERTINENCIA DE CONSULTA DE URGENCIAS, PACIENTE MENOR DE EDAD QUE INGRESA AL SERVICIO DE URGENCIAS Y ES RECIBIDO POR PEDIATRA DE TURNO, EL CUAL SOLICITA INTERCONSULTA POR OFTALMOLOGIA, POR LO TANTO, ES FACTURABLE</t>
  </si>
  <si>
    <t>ESE HUS NO ACEPTA GLOSA POR SOPORTE DE AYUDA DIAGNOSTICA, LA CUAL SE ANEXA CON FIRMA DEL PROFESIONAL RESPONSABLE. NOTA: SEGÚN NORMATIVIDAD VIGENTE DE NO OBTENERSE RATIFICACIÓN DE LA GLOSA EN LOS TÉRMINOS LEGALES, SE DARÁ POR LEVANTADA LA OBJECIÓN DE ACUERDO ARTÍCULO 57 DE LA LEY 1438 DE 2011</t>
  </si>
  <si>
    <t xml:space="preserve">ESE HUS NO ACEPTA GLOSA POR FACTURACION DE UN DIA DE ESTANCIA, PACIENTE MENOR DE EDAD QUE INGRESA AL SERVICIO DE URGENCIAS POR VISION BORROSA, ES VALORADO POR EL PEDIATRA DE TURNO, EL CUAL ORDENA DEJAR EN OBSERVACION Y SOLICITA INTERCONSULTA POR LA ESPECIALIDAD DE OFTALMOLOGIA Y ORDENA  PARACLINICOS PARA DEFINIR CONDUCTA Y PERMANECE MAS DE SEIS HORAS HOSPITALIZADO, POR LO ANTERIOR, ESTANCIA ESTA JUSTIFICADA Y ES FACTURABLE. </t>
  </si>
  <si>
    <t xml:space="preserve">CL0101 ESE HUS ACEPTA GLOSA POR $797.160 CORRESPONDIENTE A ESTANCIA INACTIVA INJUSTIFICADA DE LOS DIAS 5 Y 6 EN ESPERA DE MATERIAL (AIRPEN) SEGUN LO VERIFICADO EN LA HISTORIA CLINICA Y SE DA EGRESO Y SE CITA PAARA PROCEDIMIENTO. PACIENTE INGRESA EL DIA 4 SE DIAGNOSTICA FRACTURA ADEMAS DE LESION DE TEJIDOS BLANDOS CIRUGIA PLASTICA INDICAA PROCEDIMIENTO Y SOLICITA AIRPEN, DIAS 5-6-7 EN ESPERA DE TURNO QUIRURGICO UNA VEZ SE GAARANTICE LO SOLICITADO Y EL DIA 8 SE DA EGRESO A SOLICITUD DEL PACIENTE POR PROCEDIMIENTO QUE YA TIENE PROGRAMADO PARA EL DIA 9 POR LO QUE CITAN NUEVAMNETE 5 DIAS DESPUES DEL PROCEDIMIENTO.  ||||| CL0101 ESE HUS ACEPTA GLOSA POR $797.160 CORRESPONDIENTE A ESTANCIA INACTIVA INJUSTIFICADA DE LOS DIAS 5,6 Y 7 EN ESPERA DE MATERIAL (AIRPEN) SEGUN LO VERIFICADO EN LA HISTORIA CLINICA Y SE DA EGRESO Y SE CITA PAARA PROCEDIMIENTO. PACIENTE INGRESA EL DIA 4 SE DIAGNOSTICA FRACTURA ADEMAS DE LESION DE TEJIDOS BLANDOS CIRUGIA PLASTICA INDICAA PROCEDIMIENTO Y SOLICITA AIRPEN, DIAS 5-6-7 EN ESPERA DE TURNO QUIRURGICO UNA VEZ SE GAARANTICE LO SOLICITADO Y EL DIA 8 SE DA EGRESO A SOLICITUD DEL PACIENTE POR PROCEDIMIENTO QUE YA TIENE PROGRAMADO PARA EL DIA 9 POR LO QUE CITAN NUEVAMNETE 5 DIAS DESPUES DEL PROCEDIMIENTO. </t>
  </si>
  <si>
    <t>CL0301 ESE HUS NO ACEPTA GLOSA A INTERCONSULTA FACTURABLE EN ATENCION A DECRETO 2423/1996 ARTICULO 48 PARAGRAFO 2</t>
  </si>
  <si>
    <t xml:space="preserve">CL0101 ESE HUS NO ACEPTA GLOSA A ESTANCIA, LA CUAL ESTA JUSTIFICADA Y PERTINENTE SEGUN LO REVISADO EN LA HC, PACIENTE CON NEUMONIA COMPLICADA, EN ADULTAA JOVEN SIN ANTECEDENTES, SE LE GARANTIZA VALORACIONES Y EXAMENES ENTRE LOS TIEMPOS ESTABLECIDOS INSTITUCIONALMENTE, ADEMAS EN MANEJO ANTIBIOTICO Y MANEJO INTEGRAL. </t>
  </si>
  <si>
    <t xml:space="preserve">CL0101 ESE HUS NO ACEPTA GLOSA A ESTANCIA, JUSTIFICADA Y PERTINENTE SEGUN LO REVISADO EN HC, PACIENTE INGRESA EL 29 SE DA DX DE NEURITIS OPTICA POR PARTE DE OFTALMOLOGIA, SE SOLICITAA VALORACION POR NEUROLOGIA, MEDICINA INTERNA , SOLICITAN RESONANCIA, ADEMAS INICIAN PULSO DE CORTICOIDE A 5 DIAS SIENDO EL 29 DIA 0, EL 30 YA TENIA ESTUDIO DE RESONANCIA, SE IC CON NEUROLOGIA, PACIENTE SE LE DIO CUMPLIMIENTO DE CICLO DE CORTICOIDE SEGUN LO INDICADO HASTA EL DIA 5 POR LO ANTERIOR JUSTIFICADA Y PERTINENTE LA ESTANCIA. </t>
  </si>
  <si>
    <t>CL0301 ESE HUS ACEPTA GLOSA POR $82.228 CONSULTA DE PRIMERA VEZ EN PEDIATRIA PARA RECIEN NACIDO, EN PACIENTE CITADA PARA CESAREA SERVICIO NO PERTINENTE NO JUSTIFICADO NI SOPORTADO SEGUN EL DECRETO 2423/1996. ARTICULO 48 PARAGRAFO 4 ||||| CL0301 ESE HUS ACEPTA GLOSA POR 79.407 CONSULTA DE URGENCIAS, EN PACIENTE CITADA PARA CESAREA PROCEDIMIENTO YA PROGRAMADO. NO PERTINENTE NO JUSTIFICADO NI SOPORTADO SEGUN EL DECRETO 2423/1996.</t>
  </si>
  <si>
    <t>CL0601 ESE HUS ACEPTA GLOSA POR $42.800 INSUMO NO FACTURABLE, PACIENTE INGRESA SOLO A PROCEDIMIENTO, SEGUN REGISTRO EN HC. INCLUIDO EN MATERIALES DE CIRUGIA</t>
  </si>
  <si>
    <t xml:space="preserve">CL0201 ESE HUS NO ACEPTA GLOSA A INTERCONSULTA POR PEDIATRIA, LA CUAL CORRESPONDE A SERVICIO SOLICITADO POR MEDICINA INTERNA ESPECIALIDAD TRATANTE  TENIENDO EN CUENTA LA EDAD DE LA PACIENTE, ADEMAS AL INGRESO EN URGENCIAS FUE VALORADO POR MEDICINA GENERAL NO CORRRESPONDE A PEDIATRIA NI A SERVICIO TRATANTE POR LO ANTERIOR SERVICIO FACTURABLE. </t>
  </si>
  <si>
    <t xml:space="preserve">CL0801 ESE HUS ACEPTA GLOSA POR $108.024 CORRESPONDIENTE A TRANSFUSION, PROCEDIMIENTO REALIZADO POR PERSONAL DE ENFERMERIA SEGUN LO EVIDENCIADO EN LAS NOTAS, NO FACTURABLE. </t>
  </si>
  <si>
    <t>CL0101 ESE HUS NO ACEPTA GLOSA A ESTANCIA, LA CUAL ESTA JUSTIFICADA PACIENTE CON HVD CON HEMOGLIBINA EN RANGO SEVERO PARA TRANSFUSIO, CUMPLE CRITERIOS SEGUN EL CONSENSO COLOMBIANO DEL 2022 DE CRITERIO DE UCI, SERVICIO FACTURABLE PERTINENTE Y JUSTIFICADO.</t>
  </si>
  <si>
    <t>CL0101 ESE HUS NO ACEPTA GLOSA A DIA DE ESTANCIA JUSTIFICADO, NO SE CONSIDERA INACTIVO DADO POR LA GARANTIA DE LA RESPUESTA A LA INTERCONSULTA DIA 27.</t>
  </si>
  <si>
    <t>ESE HUS NO ACEPTA GLOSA POR FACTURACION DE INSUMO, YA QUE AL LIQUIDARSEN CIRUGIAS DE GRUPOS SUPERIORES A GRUPO 20, TODOS LOS INSUMOS SE FACTURAN A CONSUMO. NOTA: SEGÚN NORMATIVIDAD VIGENTE DE NO OBTENERSE RATIFICACIÓN DE LA GLOSA EN LOS TÉRMINOS LEGALES, SE DARÁ POR LEVANTADA LA OBJECIÓN DE ACUERDO ARTÍCULO 57 DE LA LEY 1438 DE 2011</t>
  </si>
  <si>
    <t>ESE HUS NO ACEPTA GLOSA POR MAYOR VALOR COBRADO EN PROCEDIMIENTOS E INSUMOS YA QUE FUERON FACTURADOS A TARIFA ESTABLECIDA. NOTA: DE ACUERDO AL ARTÍCULO 57 DE LA LEY 1438 DE 2011, DE NO OBTENERSE RATIFICACIÓN DE LA RESPUESTA A LA GLOSA EN LOS TÉRMINOS ESTABLECIDOS, SE DARÁ POR LEVANTADA LA RESPECTIVA OBJECIÓN.</t>
  </si>
  <si>
    <t xml:space="preserve">ESE HUS NO ACEPTA POR PROCEDIMIENTO DEBIDAMENTE FACTURADO Y PERTINENTES DESCRITO EN HISTORIA CLINICA NOTA: DE ACUERDO AL ARTÍCULO 57 DE LA LEY 1438 DE 2011, DE NO OBTENERSE RATIFICACIÓN DE LA RESPUESTA A LA GLOSA EN LOS TÉRMINOS ESTABLECIDOS, SE DARÁ POR LEVANTADA LA RESPECTIVA OBJECIÓN_x000D_
</t>
  </si>
  <si>
    <t>ESE HUS NO ACEPTA GLOSA POR INSUMOS LOS CUALES SE ENCUENTRAN DEBIDAMENTE FACTURADO A TARIFA CORRESPONDIENTE, DEBIDAMENTE SOPORTADO Y PERTINENTES PARA EL DXCO DEL PACIENTE._x000D_
NOTA: DE ACUERDO AL ARTÍCULO 57 DE LA LEY 1438 DE 2011, DE NO OBTENERSE RATIFICACIÓN DE LA RESPUESTA A LA GLOSA EN LOS TÉRMINOS ESTABLECIDOS, SE DARÁ POR LEVANTADA LA RESPECTIVA OBJECIÓN.</t>
  </si>
  <si>
    <t xml:space="preserve">ESE HUS NO ACEPTA GLOSA POR ESTANCIA POR FALTA DE ADHERENCIA, ESTANCIA DEBIDAMENTE FACTURABLE Y PERTINENTE SU COBRO.  NOTA: DE ACUERDO AL ARTÍCULO 57 DE LA LEY 1438 DE 2011, DE NO OBTENERSE RATIFICACIÓN DE LA RESPUESTA A LA GLOSA EN LOS TÉRMINOS ESTABLECIDOS, SE DARÁ POR LEVANTADA LA RESPECTIVA OBJECIÓN_x000D_
</t>
  </si>
  <si>
    <t xml:space="preserve">ESE HUS NO ACEPTA GLOSA POR ESTANCIA POR FALTA DE ADHERENCIA, PROCEDIMIENTO DEBIDAMENTE FACTURABLE Y PERTINENTE SU COBRO.  NOTA: DE ACUERDO AL ARTÍCULO 57 DE LA LEY 1438 DE 2011, DE NO OBTENERSE RATIFICACIÓN DE LA RESPUESTA A LA GLOSA EN LOS TÉRMINOS ESTABLECIDOS, SE DARÁ POR LEVANTADA LA RESPECTIVA OBJECIÓN_x000D_
</t>
  </si>
  <si>
    <t xml:space="preserve">ESE HUS NO ACEPTA GLOSA POR ESTANCIA POR FALTA DE ADHERENCIA, MEDICAMENTO DEBIDAMENTE FACTURABLE Y PERTINENTE SU COBRO.  NOTA: DE ACUERDO AL ARTÍCULO 57 DE LA LEY 1438 DE 2011, DE NO OBTENERSE RATIFICACIÓN DE LA RESPUESTA A LA GLOSA EN LOS TÉRMINOS ESTABLECIDOS, SE DARÁ POR LEVANTADA LA RESPECTIVA OBJECIÓN_x000D_
</t>
  </si>
  <si>
    <t xml:space="preserve">ESE HUS NO ACEPTA GLOSA POR ESTANCIA POR FALTA DE ADHERENCIA, CUIDADODEBIDAMENTE FACTURABLE Y PERTINENTE SU COBRO.  NOTA: DE ACUERDO AL ARTÍCULO 57 DE LA LEY 1438 DE 2011, DE NO OBTENERSE RATIFICACIÓN DE LA RESPUESTA A LA GLOSA EN LOS TÉRMINOS ESTABLECIDOS, SE DARÁ POR LEVANTADA LA RESPECTIVA OBJECIÓN_x000D_
 ||||||| ESE HUS NO ACEPTA GLOSA POR ESTANCIA POR FALTA DE ADHERENCIA, INTERCONSULTA DEBIDAMENTE FACTURABLE Y PERTINENTE SU COBRO.  NOTA: DE ACUERDO AL ARTÍCULO 57 DE LA LEY 1438 DE 2011, DE NO OBTENERSE RATIFICACIÓN DE LA RESPUESTA A LA GLOSA EN LOS TÉRMINOS ESTABLECIDOS, SE DARÁ POR LEVANTADA LA RESPECTIVA OBJECIÓN_x000D_
</t>
  </si>
  <si>
    <t xml:space="preserve">ESE HUS NO ACEPTA GLOSA POR ESTANCIA POR FALTA DE ADHERENCIA, INSUMO DEBIDAMENTE FACTURABLE Y PERTINENTE SU COBRO.  NOTA: DE ACUERDO AL ARTÍCULO 57 DE LA LEY 1438 DE 2011, DE NO OBTENERSE RATIFICACIÓN DE LA RESPUESTA A LA GLOSA EN LOS TÉRMINOS ESTABLECIDOS, SE DARÁ POR LEVANTADA LA RESPECTIVA OBJECIÓN_x000D_
</t>
  </si>
  <si>
    <t xml:space="preserve">ESE HUS NO ACEPTA GLOSA POR ESTANCIA POR FALTA DE ADHERENCIA, ECOGRAFIA DEBIDAMENTE FACTURABLE Y PERTINENTE SU COBRO.  NOTA: DE ACUERDO AL ARTÍCULO 57 DE LA LEY 1438 DE 2011, DE NO OBTENERSE RATIFICACIÓN DE LA RESPUESTA A LA GLOSA EN LOS TÉRMINOS ESTABLECIDOS, SE DARÁ POR LEVANTADA LA RESPECTIVA OBJECIÓN_x000D_
 ||||||| ESE HUS NO ACEPTA GLOSA POR ESTANCIA POR FALTA DE ADHERENCIA, MEDICAMENTO DEBIDAMENTE FACTURABLE Y PERTINENTE SU COBRO.  NOTA: DE ACUERDO AL ARTÍCULO 57 DE LA LEY 1438 DE 2011, DE NO OBTENERSE RATIFICACIÓN DE LA RESPUESTA A LA GLOSA EN LOS TÉRMINOS ESTABLECIDOS, SE DARÁ POR LEVANTADA LA RESPECTIVA OBJECIÓN_x000D_
</t>
  </si>
  <si>
    <t xml:space="preserve">ESE HUS NO ACEPTA GLOSA POR MAYOR VALOR COBRADO EN PROCEDIMIENTOS, LOS CUALES SE ENCUENTRA LIQUIDADO A TARIFAS PACTADAS ENTRE LAS PARTES, INCLUIDAS EN EL ANEXO 1. NOTA: SEGÚN NORMATIVIDAD VIGENTE DE NO OBTENERSE RATIFICACIÓN DE LA GLOSA EN LOS TÉRMINOS LEGALES, SE DARÁ POR LEVANTADA LA OBJECIÓN DE ACUERDO ARTÍCULO 57 DE LA LEY 1438 DE 2011_x000D_
</t>
  </si>
  <si>
    <t>ESE HUS NO ACEPTA GLOSA POR MVC EN INSUMOS LOS CUALES ESTAN LIQUIDADOS SEGUN TARIFAS PACTADAS ENTRE LAS PARTES Y QUE INCLUYE TARIFAS INSTITUCIONALES. NOTA: SEGÚN NORMATIVIDAD VIGENTE DE NO OBTENERSE RATIFICACIÓN DE LA GLOSA EN LOS TÉRMINOS LEGALES, SE DARÁ POR LEVANTADA LA OBJECIÓN DE ACUERDO ARTÍCULO 57 DE LA LEY 1438 DE 2011</t>
  </si>
  <si>
    <t xml:space="preserve">CL0101 ESE HUS NO ACEPTA GLOSA A ESTANCIA EN UCI, JUSTIFICADA Y PERTINENTE EN PACIENTE CON SINDROME CORONARIO AGUDO, EN EMERGENCIA HIPERTENSIVA ORGANO BLANCO CORAZON, QUIEN REQUIERE INTERVENCION POR HEMODINAMIA URGENTE, POR LO QUE CUMPLE CRITERIOS SEGUN EL CONSENSO DE 2022 DE INGRESO A UCI PARA VIGILANCIA Y MANEJO. ||||||| CL0101 ESE HUS NO ACEPTA GLOSA AJUSTE DE ESTANCIA DE UCIN A HABITACION POR EL DIA 3 DE SEPTIEMBRE, JUSTIFICADA Y PERTINENTE EN PACIENTE LLEVADO A SEGUNDO TIEMPO DE ANGIOPLASTIA CORONARIA CON ESTABILIDAD HEMODINAMICA, CON INDICACION DE EGRESO EL DIA 3, Y SE TRASLADA A HOSPITALIZACION SOBRE LAS 5PM, SE FACTURA EL DIA DE ESTANCIA DE MAYOR VALOR DONDE ESTABA NO A LA CUAL SE VA A ASIGNAR. </t>
  </si>
  <si>
    <t>ESE HUS NO ACEPTA GLOSA POR FACTURACION DE INSUMOS SIN SOPORTE DE FACTURA DE COMPRA, YA QUE TODOS LOS INSUMOS GLOSADOS ESTAN INCLUIDOS EN EL ANEXO DE TARIFA DE INSUMOS Y MEDICAMENTOS QUE HACE PARTE DEL ACUERDO ENTRE LAS PARTES. NOTA: SEGÚN NORMATIVIDAD VIGENTE DE NO OBTENERSE RATIFICACIÓN DE LA GLOSA EN LOS TÉRMINOS LEGALES, SE DARÁ POR LEVANTADA LA OBJECIÓN DE ACUERDO ARTÍCULO 57 DE LA LEY 1438 DE 2011</t>
  </si>
  <si>
    <t>FA0101 ESE HUS ACEPTA GLOSA POR $398.580 POR ESTANCIA 1 DIA, NO FACTURABLE, PACIENTE CON INGRESO EL DIA 13 Y SE INDICA EGRESO EL DIA 18 POR LO TANTO SON 5 DIAS Y SE FACTURARON 6 DIAS.</t>
  </si>
  <si>
    <t xml:space="preserve">CL0101 ESE HUS NO ACEPTAA GLOSA POR AJUSTE DE UCI PLENA A UCI INTERMEDIA, SEGUN LO VERIFICADO EN HC PACIENTE QUIEN EL DIA 13 INGRESA EN REGULARES CONDICIONES, CON REQUERIMIENTO DE INICIO DE SOPORTE VASOPRESOR TRASLADO A UCI, DADO LO ANTERIOR CUMPLE CRITERIO DE UCI PLENA. ESTANCIA PERTINENTE Y JUSTIFICADA. </t>
  </si>
  <si>
    <t xml:space="preserve">ESE HUS NO ACEPTA GLOSA POR SOPORTE DE HOJAS DE CONTROL DE OXIGENO, LAS CUALES SE ANEXAN. NOTA: SEGÚN NORMATIVIDAD VIGENTE DE NO OBTENERSE RATIFICACIÓN DE LA GLOSA EN LOS TÉRMINOS LEGALES, SE DARÁ POR LEVANTADA LA OBJECIÓN DE ACUERDO ARTÍCULO 57 DE LA LEY 1438 DE 2011 </t>
  </si>
  <si>
    <t xml:space="preserve">CL0101- ESE HUS NO ACEPTA GLOSA DE 3 DIAS DE UCI  PLENA A UCI INTERMEDIA, SE EVIDENCIA PACIENTE EN MANEJO JUSTIFICADO DE ACUERDO HALLAZGOS, PACIENTE MASCULINO DE 32 AÑOS QUIEN INGRESA EN CONTEXTO DE ACCIDENTE DE TRÁNSITO EN CALIDAD DE CONDUCTOR, OCURRIDO EL 09/08/2025 A LAS 21+20 HORAS, POLITRAUMATISMO, EN SEGUIMIENTO POR CIRUGÍA GENERAL POR TRAUMA DE HEMICUERPO DERECHO CON HALLAZGOS DE MÚLTIPLES FRACTURAS DE MIEMBRO SUPERIOR E INFERIOR DERECHO. LLEVADO COMO URGENCIA PARA LAVADO DESBRIDAMIENTO EN RODILLA DERECHA + FIJACIÓN TRANSARTICULAR DE MIEMBRO INFERIOR DERECHO. LLEVADO A ARTERIOGRAFÍA DE MIEMBRO INFERIOR DERECHO CON HALLAZGO DE USENCIA DE FLUJO A NIVEL DEL TRONCO TIBIO PERONEO, TIBIAL POSTERIOR Y PERONEA, A ESPERA DE DECISIONES POR GRUPO QUIRÚRGICO. PACIENTE INGRESO A UCI EL DIA 10 BAJO VMI EXTUBADO EL DIA 11/08/2025 17:00, TRASLADADO HA HOSPITALIZACION EL DIA 14, REINGRESA PACIENTE A UCI, CON CUADRO DE DISNEA Y DIFICULTAD RESPIRATORIA DESDE LA TARDE A SU LLEGADA A HOSPITALIZACION, OXIMETRIAS LIMITROFES, AL INGRESO CON REQUERIMIENTO DE SISTEMA VENTURY AL 50%, CON ALCALOSIS RESPIRATORIA, EN GASES ARTERIALES DE INGRESO, SIN HIPERLACTATEMIA, BASE EXCESO EN METAS, DIURESIS POSITIVA, REFIERE ABUNDANTE MOVILIZACION DE SECRECIONES BRONQUIALES, EN QUIEN SE DEBE DESCARTAR TROMBOEMBOLISMO PULMONAR, DE MOMENTO MAYOR SOSPECHA CLINICA HACIA SEPSIS DE ORIGEN PULMONAR. SE SOLICITA TOMAR ANGIOTOMOGRAFIA CON PROTOCOLO PARA TEP PARA EVALUACION Y DEFINIR CONDUCTAS. POR EL MOMENTO PACIENTE REQUIERE MANEJO Y VIGILANCIA EN UCI POR ALTO RIESGO DE COMPLICACIONES PULMONARES. DE FALLA VENTILATORIA SE REALIZARA CICLO DE VMNI Y SEGUIMIENTO GASIMETRICO PARA DEFINRI NECESIDAD DE VMI, PACIENTE EN MANEJO INTEGRAL. NOTA: SEGÚN NORMATIVIDAD VIGENTE DE NO OBTENERSE RATIFICACIÓN DE LA GLOSA EN LOS TÉRMINOS LEGALES, SE DARÁ POR LEVANTADA LA OBJECIÓN DE ACUERDO ARTÍCULO 57 DE LA LEY 1438 DE 2011_x000D_
</t>
  </si>
  <si>
    <t xml:space="preserve">CL0601- ESE HUS NO ACEPTA GLOSA DE 21 AMPOLLA DE MEROPENEN DE 1 GRAMO, PERTINENTE Y JUSTIFICADA DE ACUERDO A  MANEJO, SE EVIDENCIA ORDEN , APLICACIÓN Y REGISTRO, PACIENTE CON MANEJO DE MEROPENEM 1 GR IV CADA 8 HORAS FI:15/08/25 Y TERMINADO EL DIA 25 DE AGOSTO EL CUAL SE UTILIZARON  30 AMPOLLAS. SUSPENDIDO EL 26 EN FOLIO 303,   EN FOLIO 435  DEL DIA 6/09/2025 5:18:22 a. m. SE EVIDENCIA NOTA EL CUAL INDICA CULTIVO POSITIVO PARA ACINETOBACTER BAUMANI, SE REALIZA CAMBIO DE ANTIBIOTICO A MEROPENEM Y SE SOLICITA VALORACION POR INFECTOLOGIAEL CUAL INICIA EL DIA 08 DE SEPTIEMBRE DOS GRAMOS DE MEROPENEM CADA 8 HORAS, EN FOLIO 456  RTA DE INFECTOLOGIA TENIENDO EN CUENTA REPORTE DE HEMOCULTIVO INICIAR MEROPEMEN 2 GRAMOS CADA 8 HORAS IV, SE INDICA SUSPENDER PIPERACILINA TAZOBACTAM Y SE SUGIERE REALIZAR HEMOCULTIVOS DE CONTROL AL 3ER Y 5TO DIA DE MANEJO O SI HACE FIEBRE,Y SI SON NEGATIVOS LLEVAAR A 7 DIAS EL CUAL SE UTILIZARON 42 AQMPOLLAS, DE ACUERDO A ORDEN Y MANEJO MEDICO.  ULTIMO MANEJO DEL 8 DE SEPTIEMBREAL 15 DE SEPTIEMBRE. NOTA: SEGÚN NORMATIVIDAD VIGENTE DE NO OBTENERSE RATIFICACIÓN DE LA GLOSA EN LOS TÉRMINOS LEGALES, SE DARÁ POR LEVANTADA LA OBJECIÓN DE ACUERDO ARTÍCULO 57 DE LA LEY 1438 DE 2011_x000D_
</t>
  </si>
  <si>
    <t xml:space="preserve">CL0601- ESE HUS NO ACEPTA GLOSA DE AYUDA DIAGNOSTICA ECOCARDIOGRAMA TRANSTORACICO, PERTINENTE Y JUSTIFICADA UNA SEGUNDA TOIMA DE ACUERDO HALLAZGOS DESCRITOS EN LA HISTORIA CLINICA, AYUDAS DIAGNOSTICA SOLICITA POR INFECTOLOGIA COMO SEGUIMIENTO VER FOLIO 456, REALIZAR ECOTT, ECOGRAFÍA DE ABDOMEN TOTAL Y VALORACIÓN POR OFTALMOLOGÍA AL DÍA 7 DE MANEJO PARA DESCARTAR FOCOS SÉPTICOS OCULTOS Y EN FOLIO 578 SE DEFINE MANEJO CON REPORTE SI LOS HEMOCULTIVOS DE CONTROL AL QUINTO DIA SON NEGATIVOS, SI NO HAY PRESENCIA DE VEGETACIONES EN EL ECOTT, NO PRESENCIA DE ABSCESOS EN HÍGADO NI BAZO NI MÚSCULOS PSOAS NI A NIVEL OCULAR, SIN SEPSIS SE PODRÍA RETIRAR EL ANTIBIÓTICO, AYUDA DIAGNOSTICA DEFINE MANEJO. NOTA: SEGÚN NORMATIVIDAD VIGENTE DE NO OBTENERSE RATIFICACIÓN DE LA GLOSA EN LOS TÉRMINOS LEGALES, SE DARÁ POR LEVANTADA LA OBJECIÓN DE ACUERDO ARTÍCULO 57 DE LA LEY 1438 DE 2011_x000D_
</t>
  </si>
  <si>
    <t>ESE HUS NO ACEPTA GLOSA POR TARIFA EN INSUMOS, LOS CUALES ESTAN FACTURADOS A TARIFAS PACTADAS. NOTA: SEGÚN NORMATIVIDAD VIGENTE DE NO OBTENERSE RATIFICACIÓN DE LA GLOSA EN LOS TÉRMINOS LEGALES, SE DARÁ POR LEVANTADA LA OBJECIÓN DE ACUERDO ARTÍCULO 57 DE LA LEY 1438 DE 2011</t>
  </si>
  <si>
    <t xml:space="preserve">ESE HUS NO ACEPTA GLOSA POR TARIFA DE INSUMO, LOS CUALES ESTAN LIQUDADOS A TARIFAS PACTADAS. NOTA: SEGÚN NORMATIVIDAD VIGENTE DE NO OBTENERSE RATIFICACIÓN DE LA GLOSA EN LOS TÉRMINOS LEGALES, SE DARÁ POR LEVANTADA LA OBJECIÓN DE ACUERDO ARTÍCULO 57 DE LA LEY 1438 DE 2011 </t>
  </si>
  <si>
    <t>ESE HUS NO ACEPTA GLOSA OR FACTURACION DE ANTICUERPOS, LOS CUALES SE LE REALIZAN AL DONANTE Y LA PRUEBRA CRUZADA SE REALIZA PARA DETERMINAR LA COMPATIBILIDAD ABO Y DETECTAR LOS ANTICUERPOS EN EL RECEPTOR CONTRA LOS HEMATIES DEL DONANTE. POR ENDE, LOS DOS SON FACTURABLES. NOTA: SEGÚN NORMATIVIDAD VIGENTE DE NO OBTENERSE RATIFICACIÓN DE LA GLOSA EN LOS TÉRMINOS LEGALES, SE DARÁ POR LEVANTADA LA OBJECIÓN DE ACUERDO ARTÍCULO 57 DE LA LEY 1438 DE 2011</t>
  </si>
  <si>
    <t>ESE HUS NO ACEPTA GLOSA POR INSUMOS FACTURABLES, LOS CUALES NO ESTAN INCLUIDOS EN LOS DERECHOS DE SALA NI MATERIALES DE CIRUGIA NI EN LA ESTANCIA HOSPITALARIA. NOTA: SEGÚN NORMATIVIDAD VIGENTE DE NO OBTENERSE RATIFICACIÓN DE LA GLOSA EN LOS TÉRMINOS LEGALES, SE DARÁ POR LEVANTADA LA OBJECIÓN DE ACUERDO ARTÍCULO 57 DE LA LEY 1438 DE 2011</t>
  </si>
  <si>
    <t>ESE HUS NO ACEPTA GLOSA POR MAYOR VALOR COBRADO EN CONSULTA E INTERCONSULTA, LA CUAL SE ENCUENTRA LIQUIDADA A TARIFAS PACTADAS Y ESTA INCLUIDA EN EL ANEXO 1. NOTA: SEGÚN NORMATIVIDAD VIGENTE DE NO OBTENERSE RATIFICACIÓN DE LA GLOSA EN LOS TÉRMINOS LEGALES, SE DARÁ POR LEVANTADA LA OBJECIÓN DE ACUERDO ARTÍCULO 57 DE LA LEY 1438 DE 2011</t>
  </si>
  <si>
    <t>ESE HUS NO ACEPTA GLOSA POR MVC EN PROCEDIMIENTOS Y AYUDAS DIAGNOSTICAS, LOS CUALES ESTAN LIQUIDADOS SEGUN TARIFAS PACTADAS ENTRE LAS PARTES Y QUE INCLUYE TARIFAS INSTITUCIONALES. NOTA: SEGÚN NORMATIVIDAD VIGENTE DE NO OBTENERSE RATIFICACIÓN DE LA GLOSA EN LOS TÉRMINOS LEGALES, SE DARÁ POR LEVANTADA LA OBJECIÓN DE ACUERDO ARTÍCULO 57 DE LA LEY 1438 DE 2011</t>
  </si>
  <si>
    <t>ESE HUS NO ACEPTA GLOSA POR PROCEDIMIENTO QUIRURGICO, PROCEDIMIENTOS COMPLEMENTARIOS EL UNO DEL OTRO Y NO INHERENTE Y ESTAN DEBIDAMENTE DESCRITOS Y JUSTIFICADOS POR HALLAZGOS CLINICOS EN HOJA DE PROCEDIMIENTO QUIRURGICO, POR LO TANTO, ES COMPLETAMENTE FACTURABLE SEGUN COD CUPS Y MANUAL TARIFARIO SOAT.  NOTA: SEGÚN NORMATIVIDAD VIGENTE DE NO OBTENERSE RATIFICACIÓN DE LA GLOSA EN LOS TÉRMINOS LEGALES, SE DARÁ POR LEVANTADA LA OBJECIÓN DE ACUERDO ARTÍCULO 57 DE LA LEY 1438 DE 2011</t>
  </si>
  <si>
    <t>ESE HUS NO ACEPTA GLOSA POR FACTURACION DE ANTICUERPOS, LOS CUALES SE LE REALIZAN AL DONANTE Y LA PRUEBRA CRUZADA SE REALIZA PARA DETERMINAR LA COMPATIBILIDAD ABO Y DETECTAR LOS ANTICUERPOS EN EL RECEPTOR CONTRA LOS HEMATIES DEL DONANTE. POR ENDE, LOS DOS SON FACTURABLES. NOTA: SEGÚN NORMATIVIDAD VIGENTE DE NO OBTENERSE RATIFICACIÓN DE LA GLOSA EN LOS TÉRMINOS LEGALES, SE DARÁ POR LEVANTADA LA OBJECIÓN DE ACUERDO ARTÍCULO 57 DE LA LEY 1438 DE 2011</t>
  </si>
  <si>
    <t>ESE HUS NO ACEPTA GLOSA POR SOPORTE DE FACTURA DE COMPRA DE INSUMOS LOS CUALES ESTAN INCLUIDOS EN EL ANEXO 1 DE TARIFAS DE INSUMOS Y MEDICAMENTOS QUE HACE PARTE DEL ACUERDO ENTRE LAS PARTES. NOTA: SEGÚN NORMATIVIDAD VIGENTE DE NO OBTENERSE RATIFICACIÓN DE LA GLOSA EN LOS TÉRMINOS LEGALES, SE DARÁ POR LEVANTADA LA OBJECIÓN DE ACUERDO ARTÍCULO 57 DE LA LEY 1438 DE 2011</t>
  </si>
  <si>
    <t>ESE HUS NO ACEPTA GLOSA POR MAYOR VALOR COBRADO EN PROCEDIMIENTO, EL CUAL SE ENCUENTRA LIQUIDADO SEGUN TARIFAS PACTADAS. NOTA: SEGÚN NORMATIVIDAD VIGENTE DE NO OBTENERSE RATIFICACIÓN DE LA GLOSA EN LOS TÉRMINOS LEGALES, SE DARÁ POR LEVANTADA LA OBJECIÓN DE ACUERDO ARTÍCULO 57 DE LA LEY 1438 DE 2011</t>
  </si>
  <si>
    <t>ESE HUS NO ACEPTA GLOSA POR FACTURACION DE INSUMOS Y SOPORTE DE FACTURA DE COMPRA, LA CUAL SE ANEXA. NOTA: SEGÚN NORMATIVIDAD VIGENTE DE NO OBTENERSE RATIFICACIÓN DE LA GLOSA EN LOS TÉRMINOS LEGALES, SE DARÁ POR LEVANTADA LA OBJECIÓN DE ACUERDO ARTÍCULO 57 DE LA LEY 1438 DE 2011</t>
  </si>
  <si>
    <t xml:space="preserve">CL0701 ESE HUS ACEPTA GLOSA POR $3700 POR ONDANSETRON MEDICAMENTO NO JUSTIFICADO NI SOPORTADO EN ATENCION A LO DESCRITO COMO MOTIVO DE CONSULTA Y ENFERMEDAD ACTUAL, PACIENTE CON CEFALEA CRONICA AGUDIZADA CON MAREO DOLOR LUMBAR Y PARESTESIAS EN BRAZO DERECHO, VALORADA POR NEUROCIRUGIA DE TURNO QUIEN REFIERE PACINETE DEBE INGRESAR PARA TOMA DE PARACLINICOS E IMAGENES DIAGNOSTICAS, SE INGRESA PARA MANEJO INTEGRAL, SE ESTA ATENTO A CAMBIOS._x000D_
 </t>
  </si>
  <si>
    <t>CL2301 ESE HUS ACEPTA GLOSA PARCIAL POR $238614 CORRESPONDIENTE A RELIQUIDACION DE PROCEDIMIENTO LISIS DE ADHERENCIAS TENIENDO EN CUENTA PROCEDIMIENTO PRINCIPAL RESECCION DE TUMOR DE OVARIO Y SALPINGUECTOMIA UNILATERAL, POR LO TANTO SE DEJA LISIS DE ADHRENCIAS COMO 3ER PROCEDIMIENTO ANTE HALLAZGO QUIRURGICO SOPORTADO Y DESCRITA SU REALIZACION QUEDANDO AL 50% HONORARIOS DE CIRUJANO, ANESTESIOLOGO Y AYUDANTE QUIRURGICO, SIN DERECHO A COBRO ADICIONAL POR MATERIALES Y DERECHOS DE SALA. EN ATENCION A DECRETO 2423/1996.</t>
  </si>
  <si>
    <t xml:space="preserve">ESE HUS NO ACEPTA GLOSA POR MVC EN PINZA, AL NO ESTAR INCLUIDA EN EL ARTICULO 57 DEL MANUAL TARIFARIO SOAT Y NO ESTAR DETERMINADO SU REUSO, SE CONCLUYE QUE ES UN DISPOSITIVO MEDICO DE DOTACION ESPECIAL DEL QUIROFANO, QUE SE USA SOLO PARA CIRUGIAS PROGRAMADAS DE ALTA COMPLEJIDAD, EN CX ONCOLOGICA , DE CABEZA Y CUELLO Y CX DE TORAX, NO ES UN ACCESORIO NI HACE PARTE DEL INSTRUMENTAL Y ESTA EN LA RESOLUCION 131 DEL 2020  EN SU ANEXO 1 QUE CORRESPONDE AL LISTADO DE PRECIOS DE MEDICAMENTOS, DISPOSITVOS MEDICOS E INSUMOS </t>
  </si>
  <si>
    <t>CL0101 ESE HUS NO ACEPTA GLOSA POR ESTANCIA, UNA VEZ VERIFICADA LA HISTORIA CLINICA SE EVIDENCIA PERTINENCIA DE ESTANCIA TENIENDO EN CUENTA QUE 1OCTUBRE DADO LOS HALLAZGOS EN LINEAS CELULARES SOLICITA VALORACION POR HEMATOLOGIA, EL DIA 2 EN CONTROL PARACILINICO PACIENTE CON ANEMIA SEVERA OCN REQUERIMIENTO DE TRANSFUSION, EL 3 SS VALORACION PAD Y SE GARANTIZA POR PARTE DE LA EPS, EL DIA 4 PACIENTE ESTABLE, EN VIGILANCIA HOSPITALARIA A GARANTIZAR EGRESO, EL DIA 5 PACIENTE SE DESCOMPENSA, FARVR, LEUCOCITOSIS NEUTROFILIA, INICIAN ANTIBIOTICO EMPIRICO Y SS HEMOCULTIVOS, 6 Y 7 EN MANEJO ANTIBIOTICO Y EN REGULARES  CONDICIONES, EL 8 CON RESULTADOS MEJORIA CLINICA SUSPENDEN ANTIBIOTICO Y EL DIA 9 SOLICITAN NUEVA VALORACION PAD SE GARANTIZA POR EPS E INDICAN TRASLADO A MENOR NIVEL LE MISMO DIA. POR LO ANTERIOR ESTANCIA JUSTIFICADA EN GARANTIA DE EGRESO SEGURO.</t>
  </si>
  <si>
    <t>CL5801 ESE HUS ACEPTA GLOSA PARCIAL POR $1.269.690 POR RELIQUIDACION DE PROCEDIMIENTO REALIZADO FISTULECTOMIA COMO PRINCIPAL Y DADO LOS HALLAZGOS REALIZADA LA ESCISION DE TEJIDO PERIANAL DESCRITA Y SOPORTADA EN REGISTRO QUIRURGICO. QUEDADO AJUSTADO ASI: $626.340 POR DERECHOS DE SALA FACTURADOS AL 100% EN EN PROCEDIMIENTO PRINCIPAL, NO HAY LUGAR A COBRO EN SEGUNDO PROCEDIMIENTO EN ATENCION A DECRETO 2423/1996  Y $643.350 POR HONORARIOS DE CIRUJANO AJUSTADO AL 50% TENIENDO EN CUENTA QUE SE FACTURO AL 100% EN PROCEDIMIENTO PRINCIPAL, EN ATENCION A DECRETO 2423/1996</t>
  </si>
  <si>
    <t>CL0302 ESE HUS NO ACEPTA GLOSA POR INTERCONSULTA ANESTESIOLOGIA, SERVICIO FACTURABLE EN ATENCION A DECRETO 2423/1996 ARTICULO 47 PARAGRAFO 5.</t>
  </si>
  <si>
    <t>ESE HUS NO ACEPTA GLOSA POR FACTURACION DE INSUMOS LOS CUALES ESTAN INCLUIDOS EN LAS TARIFAS DE INSUMOS Y MEDICAMENTOS QUE HACE PARTE DEL ACUERDO ENTRE LAS PARTES. NOTA: SEGÚN NORMATIVIDAD VIGENTE DE NO OBTENERSE RATIFICACIÓN DE LA GLOSA EN LOS TÉRMINOS LEGALES, SE DARÁ POR LEVANTADA LA OBJECIÓN DE ACUERDO ARTÍCULO 57 DE LA LEY 1438 DE 2011</t>
  </si>
  <si>
    <t>. ESE HUS NO ACEPTA GLOSA POR INSUMOS FACTURADOS (VENDAS), LAS CUALES NO ESTAN INCLUIDOS EN LOS DERECHOS DE SALA NI MATERIALES DE CX (ART 57 MANUAL SOAT). NOTA: SEGÚN NORMATIVIDAD VIGENTE DE NO OBTENERSE RATIFICACIÓN DE LA GLOSA EN LOS TÉRMINOS LEGALES, SE DARÁ POR LEVANTADA LA OBJECIÓN DE ACUERDO ARTÍCULO 57 DE LA LEY 1438 DE 2011</t>
  </si>
  <si>
    <t>ESE HUS NO ACEPTA GLOSA POR MAYOR VALOR COBRADO EN PROCEDIMIENTO, EL CUAL SE ENCUENTRA LIQUIDADO A TARIFAS PACTADAS, INCLUIDAS EN EL ANEXO 1. NOTA: SEGÚN NORMATIVIDAD VIGENTE DE NO OBTENERSE RATIFICACIÓN DE LA GLOSA EN LOS TÉRMINOS LEGALES, SE DARÁ POR LEVANTADA LA OBJECIÓN DE ACUERDO ARTÍCULO 57 DE LA LEY 1438 DE 2011</t>
  </si>
  <si>
    <t xml:space="preserve">ESE HUS NO ACEPTA GLOSA POR COBERTURA DE ACUERDO A HISTORIA CLINICA  LA ATENCION ES ORIGINADA EN ACCIDENTE DE TRANSITO SIN QUE SE SOPORTE EL AGOTAMIENTO DEL SOAT, SE ADJUNTA CERTIFICADO EXPEDIDO POR LA ESE HUS, DONDE CERTIFICA QUE LOS GASTOS MEDICOS POR EL ACCIDENTE ESTAN AGOTADOS. NOTA: SEGÚN NORMATIVIDAD VIGENTE DE NO OBTENERSE RATIFICACIÓN DE LA GLOSA EN LOS TÉRMINOS LEGALES, SE DARÁ POR LEVANTADA LA OBJECIÓN DE ACUERDO ARTÍCULO 57 DE LA LEY 1438 DE 2011 </t>
  </si>
  <si>
    <t>ESE HUS NO ACEPTA GLOSA POR MAYOR VALOR COBRADO EN PROCEDIMIENTO QUIRURGICO, EL CUAL SE ENCUENTRA LIQUIDAD0 A TARIFAS PACTADAS INCLUIDAS EN EL ANEXO DE TARIFAS DE PROCEDIMIENTOS Y TECNOLOGIAS. NOTA: SEGÚN NORMATIVIDAD VIGENTE DE NO OBTENERSE RATIFICACIÓN DE LA GLOSA EN LOS TÉRMINOS LEGALES, SE DARÁ POR LEVANTADA LA OBJECIÓN DE ACUERDO ARTÍCULO 57 DE LA LEY 1438 DE 2011</t>
  </si>
  <si>
    <t>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t>
  </si>
  <si>
    <t>ESE HUS NO ACEPTA GLOSA POR MAYOR VALOR COBRADO EN ATENCIONES PRESTADAS AL PACIENTE, LAS CUALES SE ENCUENTRAN LIQUIDADAS A TARIFAS PACTADAS ENTRE LAS PARTES. NOTA: SEGÚN NORMATIVIDAD VIGENTE DE NO OBTENERSE RATIFICACIÓN DE LA GLOSA EN LOS TÉRMINOS LEGALES, SE DARÁ POR LEVANTADA LA OBJECIÓN DE ACUERDO ARTÍCULO 57 DE LA LEY 1438 DE 2011</t>
  </si>
  <si>
    <t>ESE HUS NO ACEPTA GLOSA POR SOPORTE DE JUNTA MEDICA, LA CUAL SE ANEXA.</t>
  </si>
  <si>
    <t>CL0201 ESE HUS NO ACEPTA GLOSA A IC PERTINENTE, UNA VEZ REVISADA LA HISTORIA CLINICA SE EVIDENCIA PACIENTE CON HALLAZGOS NEUROLOGICOS DE PROBABLE MUERTE ENCEFALICA, Y SEGUN LOS ESTUDIOS REALIZADOS SE SOLICITA NUEVA INTERCONSULTA CON EL FIN DE ACTIVAR PROTOCOLO DE MUERTE ENCEFALICA Y DEFINIR SI ES CANDIDATO A DONACION DE ORGANOS.</t>
  </si>
  <si>
    <t>ESE HUS NO ACEPTA GLOSA POR INSUMOS FACTURADOS (VENDAS), LAS CUALES NO ESTAN INCLUIDOS EN LOS DERECHOS DE SALA NI MATERIALES DE CX (ART 57 MANUAL SOAT). NOTA: SEGÚN NORMATIVIDAD VIGENTE DE NO OBTENERSE RATIFICACIÓN DE LA GLOSA EN LOS TÉRMINOS LEGALES, SE DARÁ POR LEVANTADA LA OBJECIÓN DE ACUERDO ARTÍCULO 57 DE LA LEY 1438 DE 2011</t>
  </si>
  <si>
    <t>ESE HUS NO ACEPTA GLOSA POR MAYOR VALOR COBRADO EN AYUDAS DIAGNOSTICAS, LAS CUALES SE ENCUENTRAN LIQUIDADAS A TARIFAS PACTADAS ENTRE LAS PARTES. NOTA: SEGÚN NORMATIVIDAD VIGENTE DE NO OBTENERSE RATIFICACIÓN DE LA GLOSA EN LOS TÉRMINOS LEGALES, SE DARÁ POR LEVANTADA LA OBJECIÓN DE ACUERDO ARTÍCULO 57 DE LA LEY 1438 DE 2011</t>
  </si>
  <si>
    <t>CL0101 ESE HUS NO ACEPTA GLOSA POR ESTANCIA, SERVICIO FACTURABLE NO INCLUIDO EN DERECHOS DE SALA DE CESAREA EN ATENCION A DECRETO 2423/96 ARTICULO 50</t>
  </si>
  <si>
    <t>ESE HUS NO ACEPTA GLOSA POR MAYOR VALOR COBRADO EN ATENCIONES PRESTADAS AL PACIENTE, LAS CUALES SE ENCUENTRAN LIQUIDADAS A TARIFAS PACTADAS ENTRE LAS PARTES, INCLUIDAS EN EL ANEXO DE LAS TARIFAS. NOTA: SEGÚN NORMATIVIDAD VIGENTE DE NO OBTENERSE RATIFICACIÓN DE LA GLOSA EN LOS TÉRMINOS LEGALES, SE DARÁ POR LEVANTADA LA OBJECIÓN DE ACUERDO ARTÍCULO 57 DE LA LEY 1438 DE 2011</t>
  </si>
  <si>
    <t>CL0801 ESE HUS NO ACEPTA GLOSA A ESTUDIOS, LOS CUALES ESTAN SOPORTADOS EN HISTORIA CLINICA, CON NOTA DE INDICACION MEDICA DADO ANTECEDENTE Y MOTIVO DE REMISION DE DOLOR ABDOMINAL NO CLARO EL CUAL ES PERTINENTE DESCARTAR COMPLICACIONES ASOCIADAS A PATOLOGIA DE BASE CON EL FIN DE PODER DEFINIR UN EGRESO SEGURO.</t>
  </si>
  <si>
    <t>CL0801 ESE HUS ACEPTA GLOSA POR $68.120 LACTATO ARTERIAL ESTUDIO SOLICITADO AL INGRESO NO JUSTIFICADO POR MEDICO GENERAL QUIEN LO SOLICITA CON EL FIN DE DAR SOPORTE A LA INDICACION, ADEMAS NO SE REGISTRA SU INTERPRETACION O APORTE AL MANEJO POR LO QUE NO SE CONSIDERA PERTINENTE SU INDICACION.</t>
  </si>
  <si>
    <t>ESE HUS NO ACEPTA GLOSA POR MAYOR VALOR COBRADO EN CONSULTA DE PRIMERA VEZ, LA CUAL SE ENCUENTRA LIQUIDADA A TARIFAS PACTADAS Y ESTA INCLUIDA EN EL ANEXO 1. NOTA: SEGÚN NORMATIVIDAD VIGENTE DE NO OBTENERSE RATIFICACIÓN DE LA GLOSA EN LOS TÉRMINOS LEGALES, SE DARÁ POR LEVANTADA LA OBJECIÓN DE ACUERDO ARTÍCULO 57 DE LA LEY 1438 DE 2011</t>
  </si>
  <si>
    <t>ESE HUS NO ACEPTA GLOSA POR MAYOR VALOR COBRADO EN CONSULTA DE CONTROL, LA CUAL SE ENCUENTRA LIQUIDADA A TARIFAS PACTADAS Y ESTAN INCLUIDAS EN EL ANEXO 1. NOTA: SEGÚN NORMATIVIDAD VIGENTE DE NO OBTENERSE RATIFICACIÓN DE LA GLOSA EN LOS TÉRMINOS LEGALES, SE DARÁ POR LEVANTADA LA OBJECIÓN DE ACUERDO ARTÍCULO 57 DE LA LEY 1438 DE 2011</t>
  </si>
  <si>
    <t>ESE HUS NO ACEPTA GLOSA POR MAYOR VALOR COBRADO EN CONSULTA DE PRIMERA VEZ, LA CUAL SE ENCUENTRA LIQUIDADA A TARIFAS PACTADAS Y ESTA INCLUIDAS EN EL ANEXO 1. NOTA: SEGÚN NORMATIVIDAD VIGENTE DE NO OBTENERSE RATIFICACIÓN DE LA GLOSA EN LOS TÉRMINOS LEGALES, SE DARÁ POR LEVANTADA LA OBJECIÓN DE ACUERDO ARTÍCULO 57 DE LA LEY 1438 DE 2011</t>
  </si>
  <si>
    <t xml:space="preserve">CL0101 ESE HUS NO ACEPTA GLOSA A ESTANCIA PERTINENTE Y JUSTIFICADA EN PACIENTE EN MANEJO DE QUEMADURAS COMPLEJAS EN MAS DEL 35%SCT, QUIEN EL DIA 28 PACIENTE CON ADECUADA EVOLUCION SIN EMBARGO INDICAN LAVADO Y DEBRIDAMIENTO POR PARTE DE CIRUGIA PLASTICA, EL DIA 30 CON APTO DE ANESTESIA, PACIENTE QUIEN NO SE BENEFICIA DE MANEJO AMBULATORIO DADO EL REQUERIMIENTO DE INTERVENCION QUIRRURGICA PARA MANEJO DE HERIDAS, EL DIA 2 SE HACE CIERRE PARCIAL MAS NO EGRESO.   </t>
  </si>
  <si>
    <t xml:space="preserve">ESE HUS NO ACEPTA GLOSA POR FACTURACION DE AYUDA DX, LA CUAL ES FACTURABLE ESTA SOPORTADA Y JUSTIFICADA EN LA HC.  NOTA: SEGÚN NORMATIVIDAD VIGENTE DE NO OBTENERSE RATIFICACIÓN DE LA GLOSA EN LOS TÉRMINOS LEGALES, SE DARÁ POR LEVANTADA LA OBJECIÓN DE ACUERDO ARTÍCULO 57 DE LA LEY 1438 DE 2011 </t>
  </si>
  <si>
    <t>ESE HUS NO ACEPTA GLOSA POR MAYOR VALOR COBRADO EN HEMOCULTIVO, EL CUAL SE ENCUENTRA LIQUIDADO A TARIFAS PACTADAS, INCLUIDAS EN EL ANEXO DE LAS TARIFAS. NOTA: SEGÚN NORMATIVIDAD VIGENTE DE NO OBTENERSE RATIFICACIÓN DE LA GLOSA EN LOS TÉRMINOS LEGALES, SE DARÁ POR LEVANTADA LA OBJECIÓN DE ACUERDO ARTÍCULO 57 DE LA LEY 1438 DE 2011</t>
  </si>
  <si>
    <t xml:space="preserve">CL0101 ESE HUS NO ACEPTA GLOSA A ESTANCIA, PACIENTE EN MANEJO DE PROCESO INFECCIOSO URINARIO CON SOLICITUD DE PARACLINICOS DE CONTROL, CON REQUERIMIENTO DE TRANSFUSION DADO CITOPENIAS EVIDENCIADAS, ADEMAS PACIENTE QUIEN AL DIA 14 OCT AUN SIN EGRESO, SOLO ES CIERRE PARCIAL DE LA HISTORIA POR LO TANTO ES PERTINENTE CONSIDERAR AUN EGRESO  </t>
  </si>
  <si>
    <t>ESE HUS NO ACEPTA GLOSA POR FACTURACION EN PROCEDIMIENTO O ACTIVIDAD (TRANSFUSIÓN UNIDAD DE SANGRE). YA QUE SE TRATA DE UNA ACTIVIDAD QUE DEBE SER REALIZADA POR PERSONAL CAPACITADO DEL BANCO DE SANGRE COMO RESPONSABLE DE DICHO PROCEDIMIENTO, POR LO ANTERIOR, PERSONAL QUE CORRESPONDE SEGÚN RESOLUCIÓN 2300 EN LA HABILITACIÓN DE SERVICIOS.  PARA SERVICIO EN HABITACIÓN NO ESTÁ CONTEMPLADO DENTRO DE ESTA NORMA.  DE LA MISMA MANERA DECRETO 2423/96 NO ESTABLECE EXCEPCIONES EN COBRO DE PROCEDIMIENTOS REALIZADOS LO QUE SE CONCLUYE QUE TODO EVENTO QUE SE LE REALICE AL PACIENTE DURANTE SU ESTANCIA SERÁ FACTURABLE.  NOTA: SEGÚN NORMATIVIDAD VIGENTE DE NO OBTENERSE RATIFICACIÓN DE LA GLOSA EN LOS TÉRMINOS LEGALES, SE DARÁ POR LEVANTADA LA OBJECIÓN DE ACUERDO ARTÍCULO 57 DE LA LEY 1438 DE 2011</t>
  </si>
  <si>
    <t xml:space="preserve">CL0101 ESE HUS NO ACEPTA GLOSA POR EL DIA 28 PACIENTE EN ESTUDIOS Y DEFINICION DE MANEJO QUIRURGICOS, ADEMAS CON CIFRAS TENSIONALES FUERA DE METAS EN COMPENSACION POR LO QUE SE CONSIDERA DIAS PERTINENTES. </t>
  </si>
  <si>
    <t xml:space="preserve">CL0101 ESE HUS ACEPTA GLOSA PARCIAL POR $797.160 POR 2 DIAS DE ESTANCIA INACTIVA DE LOS DIAS 30 Y 1 EN ESPERA DE PROGRAMACION DE CIRUGIA, EN PACIENTE QUE INGRESA EL DIA 27 VALORA ORTOPEDIA INDICA MANEJO QUIRURGICO, SOLICITA VALORACION POR ANESTESIA, GERIATRIA Y PSIQUIATRIA DADO ANTECEDENTES, EL DIA 28 CON APTO POR LAS ESPECIALIDADES  EN ESPERA DE ASIGNACION DE FRANJA, EL DIA 29 EN ESPERA DE ASIGNACION DE FRANJA. PACIENTE PROGRAMADO PARAA EL DIA 2. ESTANCIA INACTIVA DEL 30 Y 1. </t>
  </si>
  <si>
    <t xml:space="preserve">CL0801 ESE HUS NO ACEPTA GLOSA A ESTUDIOS SOLICITADOS EN CONTEXTO DE PACIENTE CON ANTECEDENTE Y DADO EL GRUPO ETAREO CON EL FIN DE DISMINUIR RIESGOS DE COMPLICACIONES POSTQUIRURGICAS ASOCIADAS A ALTERACIONES DE BASE. SE CONSIDERA PERTINENTE ESTUDIOS REALIZADOS, ADEMAS ESTAN REPORTADOS E INTERPRETADOS EN LA HC. </t>
  </si>
  <si>
    <t xml:space="preserve">CL0801 ESE HUS ACEPTA GLOSA POR $1.195.740 POR ESTANCIA INACTIVA DEL 18-19 Y 20 PACIENTE CON INDICACION DE PROCEDIMIENTO DE URETEROLITOTOMIA, CON APTO DE ANESTESIA EL DIA 17, E INDICAN SE PROGRAMA EN FRANJA QUIRURGICA DEL DIA 22, POR LO ANTERIOR SE CONSIDERA ESTANCIA INJUSTIFICADA INACTIVA EN PACIENTE ESTABLE COMPENSADO SIN MANEJO ADICIONAL EN ESPERA DE PROCEDIMIENTO. </t>
  </si>
  <si>
    <t xml:space="preserve">CL0801 ESE HUS ACEPTA GLOSA POR $68.120 ESTUDIO RELACION LACTATO PIRUVATO, UNA VEZ REVISADA LA HISTORIA CLINICA SE EVIDENCIA ESTUDIO SOLICITADO PERO NO REPORTADO, NO INTERPRETADO POR LO TANTO NO PERTINENTE NI JUSTIFICADO EN LA HISTORIA CLINICA.  </t>
  </si>
  <si>
    <t xml:space="preserve">CL0101 ESE HUS NO ACEPTA GLOSA A ESTANCIA FACTURABLE, UNA VEZ REVISADA LA HISTORIA CLINICA SE EVIDENCIA SE FACTURARON 12 DIAS DE LOS 16 DIAS DE ESTANCIA  POR LO TANTO NO SE FACTURAN 4 DIAS QUE ESTAN ASOCIADOS AL PAQUETE DE COLECISTECTOMIA, POR LO QUE SE CONSIDERA ESTANCIA JUSTIFICADA.  </t>
  </si>
  <si>
    <t xml:space="preserve">CL2301 ESE HUS ACEPTA GLOSA POR $336.171 POR PROCEDIMIENTO RESECCION DE TUMOR DE OVARIO NO FACTURABLE EN ATENCION A PROCEDIMIENTO PRINCIPAL, TENIENDO EN CUENTA QUE LO REALIZADO SEGUN LA DESCRIPCION QUIRURGICA Y LO REGISTRADO POR EL ESPECIALISTA ES UNA HISTERECTOMIA ABDOMINAL TOTAL AMPLIADA POR LAPAROTOMIA, Y EN ESTE CASO CUANDO ES AMPLIADA ESTA INCLUYE EXTIRPACION DE OVARIO Y TROMPAS DE FALOPIO, POR LO TANTO NO ES FACTURABLE ADICIONAL.  |||||| CL2301 ESE HUS ACEPTA GLOSA POR $336.171 POR PROCEDIMIENTO SALPINGUECTOMIA UNILATERAL NO FACTURABLE EN ATENCION A PROCEDIMIENTO PRINCIPAL, TENIENDO EN CUENTA QUE LO REALIZADO SEGUN LA DESCRIPCION QUIRURGICA Y LO REGISTRADO POR EL ESPECIALISTA ES UNA HISTERECTOMIA ABDOMINAL TOTAL AMPLIADA POR LAPAROTOMIA, Y EN ESTE CASO CUANDO ES AMPLIADA ESTA INCLUYE EXTIRPACION DE OVARIO Y TROMPAS DE FALOPIO, POR LO TANTO NO ES FACTURABLE ADICIONAL. </t>
  </si>
  <si>
    <t xml:space="preserve">CL0701 ESE HUS NO ACEPTA GLOSA A MEDICAMENTO JUSTIFICADO Y PERTINENTE EN PACIENTE EN POSTOPERATORIO CON EL FIN DE MANEJAR LAS NAUSEAS Y VOMITO ASOCIADO A RECUPERACION POSTANESTESICA. </t>
  </si>
  <si>
    <t>ESE HUS NO ACEPTA GLOSA POR INSUMOS FACTURABLES, LOS CUALES NO ESTAN INCLUIDOS EN LOS DERECHOS DE SALA NI MATERIALES DE CIRUGIA (ART 55 PARÁGRAFO 5 Y ART 57 DECRETO 2423/96). NOTA: SEGÚN NORMATIVIDAD VIGENTE DE NO OBTENERSE RATIFICACIÓN DE LA GLOSA EN LOS TÉRMINOS LEGALES, SE DARÁ POR LEVANTADA LA OBJECIÓN DE ACUERDO ARTÍCULO 57 DE LA LEY 1438 DE 2011</t>
  </si>
  <si>
    <t>ESE HUS NO ACEPTA GLOSA POR CONSULTA DE URGENCIAS. A PESAR QUE EL PACIENTE INGRESA REMITIDO, ES EL SERVICIO DE URGENCIAS LA PUERTA DE ENTRADA DE LOS PACIENTES A LAS IPS DE CUALQUIER NIVEL DE COMPLEJIDAD EN TODO EL TERRITORIO NACIONAL (RES 5521 DE 2013). SERVICIO PRESTADO Y SOPORTADO ADECUADAMENTE POR LO TANTO ES FACTURABLE. NOTA: DE NO OBTENERSE RATIFICACIÓN DE LA GLOSA EN LOS TÉRMINOS LEGALES, SE DARÁ POR LEVANTADA LA OBJECIÓN CONFORME LO ESTIPULA LA NORMA.</t>
  </si>
  <si>
    <t xml:space="preserve">CL0801 ESE HUS NO ACEPTA GLOSA A ESTUDIO TIROXINA LIBRE PERTINENTE Y JUSTIFICADO SEGUN LO DESCRITO EN LA HISTORIA CLINICA DADO EL DIAGNOSTICO DE LA PACIENTE SINDROME CARDIO FASCIO CUTANEO CON CLINICA DE TAQUICARDIA, POR LO QUE SE DEBE DESCARTAR POSIBLE CAUSA ASOCIADA DADO ESTUDIOS PREVIOS NEGATIVOS SIN CAUSA APARENTE.  |||||| CL0801 ESE HUS NO ACEPTA GLOSA A ESTUDIO TROPONINA PERTINENTE Y JUSTIFICADO SEGUN LO DESCRITO EN LA HISTORIA CLINICA DADO EL DIAGNOSTICO DE LA PACIENTE SINDROME CARDIO FASCIO CUTANEO CON CLINICA DE TAQUICARDIA, POR LO QUE SE DEBE DESCARTAR POSIBLE CAUSA ASOCIADA DADO ESTUDIOS PREVIOS NEGATIVOS SIN CAUSA APARENTE.  |||||| CL0801 ESE HUS NO ACEPTA GLOSA A ESTUDIO TSH PERTINENTE Y JUSTIFICADO SEGUN LO DESCRITO EN LA HISTORIA CLINICA DADO EL DIAGNOSTICO DE LA PACIENTE SINDROME CARDIO FASCIO CUTANEO CON CLINICA DE TAQUICARDIA, POR LO QUE SE DEBE DESCARTAR POSIBLE CAUSA ASOCIADA DADO ESTUDIOS PREVIOS NEGATIVOS SIN CAUSA APARENTE. </t>
  </si>
  <si>
    <t>ESE HUS NO ACEPTA GLOSA POR MAYOR VALOR COBRADO EN CURACIONES, LAS CUALES SE ENCUENTRAN LIQUIDADAS SEGUN TARIFAS PACTADAS (SOAT VIGENTE-15% Y/O TARIFAS INSTITUCIONALES). NOTA: SEGÚN NORMATIVIDAD VIGENTE DE NO OBTENERSE RATIFICACIÓN DE LA GLOSA EN LOS TÉRMINOS LEGALES, SE DARÁ POR LEVANTADA LA OBJECIÓN DE ACUERDO ARTÍCULO 57 DE LA LEY 1438 DE 2011</t>
  </si>
  <si>
    <t>ESE HUS NO ACEPTA GLOSA POR MAYOR VALOR COBRADO EN PAQUETE DE ACAF DE TIROIDES, EL CUAL SE ENCUENTRA LIQUIDADO A TARIFAS PACTADAS ENTRE LAS PARTES. NOTA: SEGÚN NORMATIVIDAD VIGENTE DE NO OBTENERSE RATIFICACIÓN DE LA GLOSA EN LOS TÉRMINOS LEGALES, SE DARÁ POR LEVANTADA LA OBJECIÓN DE ACUERDO ARTÍCULO 57 DE LA LEY 1438 DE 2011</t>
  </si>
  <si>
    <t>ESE HUS NO ACEPTA GLOSA POR MAYOR VALOR COBRADO EN CURACIONES, LAS CUALES SE ENCUENTRAN LIQUIDADAS A TARIFAS PACTADAS ENTRE LAS PARTES (SOAT VIGENTE - 15% Y/O TARIFAS PROPIAS. NOTA: SEGÚN NORMATIVIDAD VIGENTE DE NO OBTENERSE RATIFICACIÓN DE LA GLOSA EN LOS TÉRMINOS LEGALES, SE DARÁ POR LEVANTADA LA OBJECIÓN DE ACUERDO ARTÍCULO 57 DE LA LEY 1438 DE 2011</t>
  </si>
  <si>
    <t>ESE HUS NO ACEPTA GLOSA POR MAYOR VALOR COBRADO EN INSERCION DE CATETER, EL CUAL SE ENCUENTRA LIQUIDADO A TARIFAS PACTADAS ENTRE LAS PARTES. NOTA: SEGÚN NORMATIVIDAD VIGENTE DE NO OBTENERSE RATIFICACIÓN DE LA GLOSA EN LOS TÉRMINOS LEGALES, SE DARÁ POR LEVANTADA LA OBJECIÓN DE ACUERDO ARTÍCULO 57 DE LA LEY 1438 DE 2011</t>
  </si>
  <si>
    <t>ESE HUS NO ACEPTA GLOSA POR MAYOR VALOR COBRADO EN CONSULTA DE CONTROL, LA CUAL SE ENCUENTRA LIQUIDADA A TARIFAS PACTADAS Y ESTAN INCLUIDAS EN EL ANEXO 1 DEL ACUERDO ENTRE LAS PARTES. NOTA: SEGÚN NORMATIVIDAD VIGENTE DE NO OBTENERSE RATIFICACIÓN DE LA GLOSA EN LOS TÉRMINOS LEGALES, SE DARÁ POR LEVANTADA LA OBJECIÓN DE ACUERDO ARTÍCULO 57 DE LA LEY 1438 DE 2011</t>
  </si>
  <si>
    <t>ESE HUS NO ACEPTA GLOSA POR MAYOR VALOR COBRADO EN ATENCIONES PRESTADAS AL PACIENTE, LAS CUALES SE ENCUENTRAN LIQUIDADAS A TARIFAS PACTADAS Y ESTAN INCLUIDAS EN EL ANEXO 1 DEL ACUERDO ENTRE LAS PARTES. NOTA: SEGÚN NORMATIVIDAD VIGENTE DE NO OBTENERSE RATIFICACIÓN DE LA GLOSA EN LOS TÉRMINOS LEGALES, SE DARÁ POR LEVANTADA LA OBJECIÓN DE ACUERDO ARTÍCULO 57 DE LA LEY 1438 DE 2011</t>
  </si>
  <si>
    <t>ESE HUS NO ACEPTA GLOSA POR MAYOR VALOR COBRADO EN CONSULTA PRIMER AVEZ, LA CUAL SE ENCUENTRA LIQUIDADA A TARIFAS PACTADAS QUE ESTAN INCLUIDAS EN EL ANEXO 1 DEL ACUERDO ENTRE LAS PARTES. NOTA: SEGÚN NORMATIVIDAD VIGENTE DE NO OBTENERSE RATIFICACIÓN DE LA GLOSA EN LOS TÉRMINOS LEGALES, SE DARÁ POR LEVANTADA LA OBJECIÓN DE ACUERDO ARTÍCULO 57 DE LA LEY 1438 DE 2011</t>
  </si>
  <si>
    <t>CL0101 ESE HUS NO ACEPTA GLOSA A ESTANCIA EN CUIDADO INTERMEDIO, PACIENTE CON HALLAZGO CLINICO DE HEMATOMA ADEMAS CON SIGNOS NEUROLOGICOS DE ALARMA POR LO QUE REQUIERE VIGILANCIA A FIN DE PODER SER LLEVADO A PROCEDIMIENTO. ESTANCIA PERTINENTE |||||| CL0101 ESE HUS NO ACEPTA GLOSA A ESTANCIA PERTINENTE Y JUSTIFICADA EN PACIENTE CON INDICACION DE AJUSTE DE MANEJO POR MEDICINA INTERNA PARAA GARANTIZAR EGRESO SEGURO, ADEMAS DE GARANTIA DE HOLTER, POR LO QUE  SE CONSIDERA ESTANCIA JUSTIFICADA.</t>
  </si>
  <si>
    <t>OAK - KAREN LORENA ORTIZ AMAYA</t>
  </si>
  <si>
    <t>ESE HUS NO ACEPTA GLOSA POR SOPORTE - AYUDAS DIAGNÓSTICAS STUDIO DE GEN EXPERT BK SE ANEXA SOPORTE, _x000D_
NOTA: SEGÚN NORMATIVIDAD VIGENTE DE NO OBTENERSE RATIFICACIÓN DE LA GLOSA EN LOS TÉRMINOS LEGALES, SE DARÁ POR LEVANTADA LA OBJECIÓN DE ACUERDO ARTÍCULO 57 DE LA LEY 1438 DE 2011</t>
  </si>
  <si>
    <t>CL0101 ESE HUS NO ACEPTA GLOSA A ESTANCIA, SEGUN LO VERIFICADO EN HISTORIA CLINICA, PROCEDIMIENTO INDICADO EL DIA 18, Y SE PROGRAMA PARA EL 21, TIEMPO PERTINENTE DADO QUE PROCEDIMIENTO ES COMPLEJO QUE REQUIERE AVAL DE ANESTESIA Y PROGRAMACION Y DISPONIBILIDAD DE SALAS EL CUAL SE GARANTIZO EN MENOS DE 72 HRS, EN PACIENTE HOSPITALIZADO EN MANEJO INTEGRAL.</t>
  </si>
  <si>
    <t>ESE HUS ACEPTA GLOSA POR MAYOR VALOR COBRADO EN PROCEDMIENTO QUIRURGICO DILATACION DE LARINGE, EL CUAL SE ENCUENTRA LIQUIDADO A TARIFAS PACTADAS QUE ESTA INCLUIDAS EN EL ANEXO 1 DEL ACUERDO ENTRE LAS PARTES. NOTA: SEGÚN NORMATIVIDAD VIGENTE DE NO OBTENERSE RATIFICACIÓN DE LA GLOSA EN LOS TÉRMINOS LEGALES, SE DARÁ POR LEVANTADA LA OBJECIÓN DE ACUERDO ARTÍCULO 57 DE LA LEY 1438 DE 2011</t>
  </si>
  <si>
    <t xml:space="preserve">CL0101 ESE HUS ACEPTA GLOSA PARCIAL POR $1.594.320 POR 4 DIAS DE ESTANCIA INACTIVA EN ESPERA DE CONSECUSION DE MATERIAL DE OTS, SEGUN LO DESCRITO EN LA HISTORIA CLINICA, PACIENTE CON INDICACION DE SEGUNDO TIEMPO, CON SOLICITUD DE MATERIAL, CON APTO DE ANESTESIA DESDE EL DIA 12, SE PROGRAMA PROCEDIMIENTO PARA  EL DIA 17, POR LO QUE SE CONSIDERA DIAS 13,14,15,16 DE ESTANCIA INACTIVA INJUSTIFICADA. </t>
  </si>
  <si>
    <t>ESE HUS NO ACEPTA POR SOPORTE -LISTA DE PRECIOS, SE ADJUNTA SOPORTE DE FACTURA DE COMPRA MATERIAL DE OSTEOSINTESIS PR 15853 Y SEGÚN CONTRATO SE FACTURA MAS 20%.  _x000D_
NOTA: SEGÚN NORMATIVIDAD VIGENTE DE NO OBTENERSE RATIFICACIÓN DE LA GLOSA EN LOS TÉRMINOS LEGALES, SE DARÁ POR LEVANTADA LA OBJECIÓN DE ACUERDO ARTÍCULO 57 DE LA LEY 1438 DE 2011</t>
  </si>
  <si>
    <t>U220313</t>
  </si>
  <si>
    <t>ESE HUS NO ACEPTA GLOSA POR SOPORTE DE SISMUESTRAS, EL CUAL SE ANEXA</t>
  </si>
  <si>
    <t>ESE HUS NO ACEPTA GLOSA POR MAYOR VALOR COBRADO EN UROCULTIVO, EL CUAL SE ENCUENTRA LIQUIDADO A TARIFAS PACTADAS ENTRE LAS PARTES, INCLUIDAS EN EL ANEXO DE LAS TARIFAS NOTA: SEGÚN NORMATIVIDAD VIGENTE DE NO OBTENERSE RATIFICACIÓN DE LA GLOSA EN LOS TÉRMINOS LEGALES, SE DARÁ POR LEVANTADA LA OBJECIÓN DE ACUERDO ARTÍCULO 57 DE LA LEY 1438 DE 2011</t>
  </si>
  <si>
    <t>RE9502</t>
  </si>
  <si>
    <t>La glosa no procede por haber sido generada fuera de los términos establecidos por la Ley configurándose la aceptación tácita de la factura de venta en salud</t>
  </si>
  <si>
    <t xml:space="preserve">ESE HUS NO ACEPTA GLOSA. SE INFORMA A LA ENTIDAD QUE LA OBJECION ES EXTEMPORANEA, YA QUE NO FUE NOTIFICADA EN LOS TIEMPOS PERENTORIOS DE LA NORMA, ESTO EN FUNCION DE LA LEY 1438 DEL 2011 EN SU ARTÍCULO 57°. “LAS ENTIDADES RESPONSABLES DEL PAGO DE SERVICIOS DE SALUD DENTRO DE LOS VEINTE (20) DÍAS HÁBILES SIGUIENTES A LA PRESENTACIÓN DE LA FACTURA, FORMULARÁN Y COMUNICARÁN A LOS PRESTADORES DE SERVICIOS DE SALUD LAS GLOSAS A CADA FACTURA, CON BASE EN LA CODIFICACIÓN Y ALCANCE DEFINIDOS EN LA NORMATIVIDAD VIGENTE”. </t>
  </si>
  <si>
    <t xml:space="preserve">ESE HUS NO ACEPTA GLOSA POR FACTURACION DE INSUMOS POR FALTA DE SOPORTE DE FACTURA DE COMPRA, INSUMOS QUE ESTAN INCLUIDOS EN EL ANEXO DE TARIFA PARA INSUMOS Y MEDICAMENTOS QUE HACEN PARTE DEL ACUERDO ENTRE LAS PARTES. </t>
  </si>
  <si>
    <t>ESE HUS NO ACEPTA GLOSA POR MAYOR VALOR COBRADO EN ATENCIONES PRESTADAS AL PACIENTE, LAS CUALES SE ENCUENTRAN LIQUIDADAS A TARIFAS PACTADAS, INCLUIDAS EN EL ANEXO DE LAS TARIFAS. NOTA: SEGÚN NORMATIVIDAD VIGENTE DE NO OBTENERSE RATIFICACIÓN DE LA GLOSA EN LOS TÉRMINOS LEGALES, SE DARÁ POR LEVANTADA LA OBJECIÓN DE ACUERDO ARTÍCULO 57 DE LA LEY 1438 DE 2011</t>
  </si>
  <si>
    <t>ESE HUS NO ACEPTA GLOSA POR MAYOR VALOR COBRADO EN CONSULTA DE PRIMERA VEZ, LAS CUALES SE ENCUENTRAN LIQUIDADAS A TARIFAS PACTADAS, INCLUIDAS EN EL ANEXO DE LAS TARIFAS. NOTA: SEGÚN NORMATIVIDAD VIGENTE DE NO OBTENERSE RATIFICACIÓN DE LA GLOSA EN LOS TÉRMINOS LEGALES, SE DARÁ POR LEVANTADA LA OBJECIÓN DE ACUERDO ARTÍCULO 57 DE LA LEY 1438 DE 2011</t>
  </si>
  <si>
    <t>ESE HUS ACEPTA GLOSA $ 4,700 EN AYUDA DIAGNOSTICA - GLUCOMETRIA SE EVIDENCIA QUE NO HAY SOPORTE DE LA SOLICITUD, NI INTERPRETACION DE LA MISMA.</t>
  </si>
  <si>
    <t>ESE HUS ACEPTA GLOSA $ 4,700 EN AYUDA DIAGNOSTICA - GLUCOMETRIA SE EVIDENCIA QUE NO HAY SOPORTE DE LA SOLICITUD, NI INTERPRETACION DE LA MISMA</t>
  </si>
  <si>
    <t xml:space="preserve">ESE HUS NO ACEPTA GLOSA POR TARIFA DE INTERCONSULTA, LA CUAL ESTA LIQUIDADA A TARIFAS PACTADAS ENTRE LAS PARTES. NOTA: SEGÚN NORMATIVIDAD VIGENTE DE NO OBTENERSE RATIFICACIÓN DE LA GLOSA EN LOS TÉRMINOS LEGALES, SE DARÁ POR LEVANTADA LA OBJECIÓN DE ACUERDO ARTÍCULO 57 DE LA LEY 1438 DE 2011 </t>
  </si>
  <si>
    <t xml:space="preserve">ESE HUS NO ACEPTA GLOSA POR SOPORTE DE FACTURA DE COMPRA DE INSUMO, EL CUAL ESTA INCLUIDO EN EL ANEXO UNO DE LAS TARIFAS PACTADAS PARA INSUMOS Y MEDICAMENTOS. NOTA: SEGÚN NORMATIVIDAD VIGENTE DE NO OBTENERSE RATIFICACIÓN DE LA GLOSA EN LOS TÉRMINOS LEGALES, SE DARÁ POR LEVANTADA LA OBJECIÓN DE ACUERDO ARTÍCULO 57 DE LA LEY 1438 DE 2011 </t>
  </si>
  <si>
    <t>ESE HUS NO ACEPTA GLOSA POR SOPORTE SE ANEXA SOPORTE, NOTA: SEGÚN NORMATIVIDAD VIGENTE DE NO OBTENERSE RATIFICACIÓN DE LA GLOSA EN LOS TÉRMINOS LEGALES, SE DARÁ POR LEVANTADA LA OBJECIÓN DE ACUERDO ARTÍCULO 57 DE LA LEY 1438 DE 2011</t>
  </si>
  <si>
    <t>BPY - BRAYAN YESID PEREZ BADILLO</t>
  </si>
  <si>
    <t>ESE HUS NO ACEPTA GLOSA, TODA VEZ QUE LA GLOSA FORMULADA POR “MATERIAL DE OSTEOSÍNTESIS SIN FACTURA DE COMPRA PARA VERIFICACIÓN DEL VALOR FACTURADO” NO CONSTITUYE UNA CAUSAL VÁLIDA DE GLOSA, AL TRATARSE DE UNA EXIGENCIA NO PREVISTA EN LA NORMATIVA VIGENTE NI EN LOS ACUERDOS CONTRACTUALES, Y QUE DESCONOCE LA NATURALEZA DEL PROCESO DE FACTURACIÓN DE SERVICIOS DE SALUD. DE CONFORMIDAD CON LA RESOLUCIÓN 2626 DE 2019, QUE REGULA LOS REQUISITOS MÍNIMOS DE LA FACTURA DE SERVICIOS DE SALUD Y SUS SOPORTES, NO SE ESTABLECE COMO REQUISITO OBLIGATORIO PARA EL RECONOCIMIENTO ECONÓMICO DE LOS SERVICIOS LA ANEXIÓN DE LA FACTURA DE COMPRA DE INSUMOS O DISPOSITIVOS MÉDICOS ADQUIRIDOS POR LA IPS, SIENDO SUFICIENTE LA FACTURA DE VENTA DEL SERVICIO DE SALUD, LOS SOPORTES CLÍNICOS Y ADMINISTRATIVOS CORRESPONDIENTES Y LA EVIDENCIA DE LA UTILIZACIÓN DEL INSUMO EN LA ATENCIÓN DEL PACIENTE. DESDE EL PUNTO DE VISTA NORMATIVO Y CONTABLE, LA FACTURA DE COMPRA DEL MATERIAL DE OSTEOSÍNTESIS HACE PARTE DE LA GESTIÓN INTERNA DE COSTOS Y ABASTECIMIENTO DE LA IPS, INFORMACIÓN QUE SE ENCUENTRA PROTEGIDA POR LOS PRINCIPIOS DE AUTONOMÍA ADMINISTRATIVA, RESERVA COMERCIAL Y CONFIDENCIALIDAD, Y QUE NO PUEDE SER EXIGIDA POR LA ENTIDAD RESPONSABLE DE PAGO COMO CONDICIÓN PARA EL RECONOCIMIENTO DEL SERVICIO PRESTADO. ADICIONALMENTE, CONFORME A LO DISPUESTO EN EL ARTÍCULO 2.5.3.8.4 DEL DECRETO 780 DE 2016, LA AUDITORÍA DE CUENTAS DEBE CENTRARSE EN LA VERIFICACIÓN DE LA PERTINENCIA, OPORTUNIDAD Y EFECTIVIDAD DEL SERVICIO PRESTADO, MAS NO EN LA VALIDACIÓN DE LOS COSTOS INTERNOS DE LA IPS, SALVO QUE EXISTA UNA CLÁUSULA CONTRACTUAL EXPRESA QUE ASÍ LO AUTORICE, SITUACIÓN QUE NO SE PRESENTA EN EL CASO ANALIZADO. DESDE EL ENFOQUE DE AUDITORÍA MÉDICA, EL USO DEL MATERIAL DE OSTEOSÍNTESIS SE ENCUENTRA DEBIDAMENTE SOPORTADO EN LA HISTORIA CLÍNICA, EN EL REGISTRO QUIRÚRGICO Y EN EL CONSENTIMIENTO INFORMADO, EVIDENCIANDO SU NECESIDAD CLÍNICA Y CORRECTA UTILIZACIÓN, CUMPLIENDO CON LO ESTABLECIDO EN LA RESOLUCIÓN 1995 DE 1999 SOBRE HISTORIA CLÍNICA. ASÍ MISMO, LA LEY ESTATUTARIA 1751 DE 2015 ESTABLECE QUE LAS DECISIONES ADMINISTRATIVAS NO PUEDEN GENERAR BARRERAS AL ACCESO NI AL RECONOCIMIENTO DE SERVICIOS DE SALUD EFECTIVAMENTE PRESTADOS, MÁXIME CUANDO SE TRATA DE INSUMOS INDISPENSABLES PARA LA RESOLUCIÓN DEL EVENTO CLÍNICO. POR ÚLTIMO, LA GLOSA DESCONOCE LOS PRINCIPIOS CONSTITUCIONALES DE BUENA FE, CONFIANZA LEGÍTIMA Y DEBIDO PROCESO ADMINISTRATIVO (ARTÍCULOS 29 Y 83 DE LA CONSTITUCIÓN POLÍTICA), AL IMPONER REQUISITOS ADICIONALES NO PREVISTOS EN LA NORMATIVIDAD NI EN EL CONTRATO. EN CONSECUENCIA, SE SOLICITA EL LEVANTAMIENTO TOTAL DE LA GLOSA Y EL RECONOCIMIENTO ÍNTEGRO DEL VALOR FACTURADO, AL NO EXISTIR FUNDAMENTO LEGAL NI TÉCNICO PARA EXIGIR FACTURA DE COMPRA DEL MATERIAL DE OSTEOSÍNTESIS COMO SOPORTE DE FACTURACIÓN.</t>
  </si>
  <si>
    <t>ESE HUS NO ACEPTA GLOSA, TODA VEZ QUE LA EXIGENCIA DE FACTURA DE COMPRA DEL MATERIAL DE OSTEOSÍNTESIS PARA LA VERIFICACIÓN DEL VALOR FACTURADO CARECE DE FUNDAMENTO LEGAL, NORMATIVO Y CONTRACTUAL, Y EXCEDE DE MANERA MANIFIESTA EL ALCANCE DE LA AUDITORÍA DE CUENTAS MÉDICAS. DE CONFORMIDAD CON LA RESOLUCIÓN 2626 DE 2019, QUE REGULA LOS REQUISITOS DE LA FACTURA DE VENTA DE SERVICIOS DE SALUD Y SUS SOPORTES, NO SE ESTABLECE COMO REQUISITO OBLIGATORIO PARA EL RECONOCIMIENTO ECONÓMICO LA PRESENTACIÓN DE LA FACTURA DE ADQUISICIÓN DE INSUMOS, DISPOSITIVOS MÉDICOS O MATERIALES QUIRÚRGICOS UTILIZADOS POR LA IPS. LOS SOPORTES EXIGIBLES SE CIRCUNSCRIBEN A LA FACTURA DE SERVICIOS, LOS REGISTROS CLÍNICOS Y LOS SOPORTES ADMINISTRATIVOS QUE ACREDITEN LA EFECTIVA PRESTACIÓN DEL SERVICIO, LOS CUALES SE ENCUENTRAN DEBIDAMENTE APORTADOS POR LA ESE HUS. DESDE EL PUNTO DE VISTA CONTRACTUAL, EL CONTRATO N.° 287 DIGSA–DMBUG–2025, JUNTO CON SUS ANEXOS TARIFARIOS Y LAS COMUNICACIONES DE CONTINUIDAD DEL SERVICIO POR RECONOCIMIENTO DEL GASTO, NO CONTEMPLA EN NINGUNA DE SUS CLÁUSULAS LA OBLIGACIÓN DE ADJUNTAR FACTURAS DE COMPRA DE MATERIALES DE OSTEOSÍNTESIS COMO CONDICIÓN PARA EL PAGO DE LOS SERVICIOS PRESTADOS. EN CONSECUENCIA, LA IMPOSICIÓN DE DICHO REQUISITO CONSTITUYE UNA EXIGENCIA UNILATERAL NO PACTADA, CONTRARIA AL PRINCIPIO DE PACTA SUNT SERVANDA, SEGÚN EL CUAL LO ACORDADO CONTRACTUALMENTE OBLIGA A LAS PARTES. ADICIONALMENTE, EN LAS COMUNICACIONES OFICIALES DEL DISPENSARIO MÉDICO DE BUCARAMANGA SE RECONOCE EXPRESAMENTE LA APLICACIÓN DE TARIFAS PROPIAS INSTITUCIONALES Y TARIFAS SOAT PACTADAS, SIN QUE SE CONDICIONE SU RECONOCIMIENTO A LA REVELACIÓN DE LOS COSTOS INTERNOS DE LA IPS, LOS CUALES HACEN PARTE DE SU AUTONOMÍA ADMINISTRATIVA Y FINANCIERA. DESDE EL ENFOQUE DE AUDITORÍA MÉDICA, EL USO DEL MATERIAL DE OSTEOSÍNTESIS SE ENCUENTRA PLENAMENTE JUSTIFICADO, SOPORTADO EN EL ACTO QUIRÚRGICO, NOTA OPERATORIA, REGISTROS DE ENFERMERÍA Y EVOLUCIÓN CLÍNICA, DANDO CUMPLIMIENTO A LO DISPUESTO EN LA RESOLUCIÓN 1995 DE 1999 SOBRE HISTORIA CLÍNICA, EVIDENCIANDO SU NECESIDAD CLÍNICA, PERTINENCIA Y CORRECTA UTILIZACIÓN. ASÍ MISMO, EL ARTÍCULO 2.5.3.8.4 DEL DECRETO 780 DE 2016 ESTABLECE QUE LA AUDITORÍA DEBE ORIENTARSE A LA PERTINENCIA, OPORTUNIDAD, CALIDAD Y EFECTIVIDAD DEL SERVICIO, Y NO A LA VALIDACIÓN DE LOS COSTOS INTERNOS O PROCESOS DE ADQUISICIÓN DE LA IPS, SALVO ESTIPULACIÓN CONTRACTUAL EXPRESA, LA CUAL NO EXISTE EN EL PRESENTE CASO. LA GLOSA FORMULADA VULNERA, ADEMÁS, LOS PRINCIPIOS CONSTITUCIONALES DE BUENA FE, DEBIDO PROCESO ADMINISTRATIVO Y SEGURIDAD JURÍDICA, CONSAGRADOS EN LOS ARTÍCULOS 29 Y 83 DE LA CONSTITUCIÓN POLÍTICA, AL EXIGIR SOPORTES NO PREVISTOS EN LA NORMATIVIDAD NI EN EL CONTRATO COMO CONDICIÓN PARA EL PAGO. EN CONSECUENCIA, SE SOLICITA EL LEVANTAMIENTO TOTAL DE LA GLOSA Y EL RECONOCIMIENTO ÍNTEGRO DEL VALOR FACTURADO, AL NO EXISTIR FUNDAMENTO NORMATIVO, CONTRACTUAL NI TÉCNICO QUE RESPALDE LA EXIGENCIA DE LA FACTURA DE COMPRA DEL MATERIAL DE OSTEOSÍNTESIS.</t>
  </si>
  <si>
    <t>ESE HUS NO ACEPTA GLOSA, TODA VEZ QUE LA AFIRMACIÓN DE “IPS SIN ACUERDO DE VOLUNTADES VIGENTE” NO SE AJUSTA A LA REALIDAD CONTRACTUAL, ADMINISTRATIVA NI FÁCTICA, Y EN CONSECUENCIA NO ES PROCEDENTE EL RECONOCIMIENTO UNILATERAL DE TARIFAS SOAT EN UVB NI EL AJUSTE POR SUPUESTO MAYOR VALOR COBRADO. EN PRIMER LUGAR, SE ENCUENTRA PLENAMENTE ACREDITADA LA EXISTENCIA DE UNA RELACIÓN CONTRACTUAL Y PRECONTRACTUAL VÁLIDA ENTRE LA ESE HUS Y EL DISPENSARIO MÉDICO DE BUCARAMANGA, MATERIALIZADA A TRAVÉS DEL CONTRATO N.° 287 DIGSA–DMBUG–2025, ASÍ COMO DE LAS CARTAS OFICIALES DE CONTINUIDAD DEL SERVICIO POR RECONOCIMIENTO DEL GASTO, MEDIANTE LAS CUALES EL PROPIO DMBUG SOLICITÓ Y AUTORIZÓ EXPRESAMENTE LA PRESTACIÓN DE SERVICIOS A LOS USUARIOS DEL SUBSISTEMA DE SALUD DE LAS FUERZAS MILITARES, BAJO TARIFAS PACTADAS Y ANEXOS TARIFARIOS INSTITUCIONALES, SIN NECESIDAD DE AUTORIZACIONES INDIVIDUALES POR PACIENTE. DICHAS COMUNICACIONES CONFIGURAN UN ACUERDO DE VOLUNTADES VÁLIDO, CONFORME A LOS PRINCIPIOS DE LA CONTRATACIÓN ESTATAL Y A LA JURISPRUDENCIA REITERADA EN MATERIA DE PRESTACIÓN DE SERVICIOS DE SALUD, DESVIRTUANDO DE MANERA EXPRESA LA CAUSAL DE GLOSA INVOCADA. EN CONSECUENCIA, NO PUEDE AFIRMARSE LA INEXISTENCIA DE ACUERDO DE VOLUNTADES, CUANDO LA PRESTACIÓN DEL SERVICIO FUE SOLICITADA, ACEPTADA Y EJECUTADA BAJO CONDICIONES PREVIAMENTE DEFINIDAS. DE CONFORMIDAD CON EL ARTÍCULO 13 DE LA LEY 1122 DE 2007 Y EL ARTÍCULO 2.5.3.8.1 DEL DECRETO 780 DE 2016, LAS TARIFAS DE LOS SERVICIOS DE SALUD DEBEN SER PRODUCTO DE LA LIBRE NEGOCIACIÓN ENTRE LAS PARTES, Y NO PUEDEN SER IMPUESTAS UNILATERALMENTE POR LA ENTIDAD RESPONSABLE DEL PAGO BAJO EL ARGUMENTO DE INEXISTENCIA CONTRACTUAL, MENOS AÚN CUANDO EXISTEN ACTOS ADMINISTRATIVOS Y CONTRACTUALES QUE ACREDITAN LA RELACIÓN. RESPECTO A LA APLICACIÓN DEL SOAT EN UVB CON FUNDAMENTO EN EL DECRETO 1760 DE 2022, ES PRECISO ACLARAR QUE DICHA NORMA NO ESTABLECE LA OBLIGATORIEDAD DE APLICAR TARIFAS SOAT–UVB DE MANERA AUTOMÁTICA O UNILATERAL EN ESCENARIOS DONDE EXISTE ACUERDO DE VOLUNTADES, RECONOCIMIENTO DEL GASTO O TARIFAS PROPIAS PACTADAS, COMO OCURRE EN EL PRESENTE CASO. LA UTILIZACIÓN DEL SOAT CONSTITUYE UN REFERENTE TARIFARIO, MAS NO UNA TARIFA IMPERATIVA, SALVO PACTO EXPRESO, EL CUAL NO SE CONFIGURA EN ESTE EVENTO. ADICIONALMENTE, LA LEY ESTATUTARIA 1751 DE 2015 DISPONE QUE LAS DECISIONES ADMINISTRATIVAS NO PUEDEN GENERAR BARRERAS FINANCIERAS NI DESCONOCER LA PRESTACIÓN EFECTIVA DE SERVICIOS DE SALUD, MÁXIME CUANDO ESTOS HAN SIDO DEBIDAMENTE SOPORTADOS CLÍNICA Y ADMINISTRATIVAMENTE. LA GLOSA FORMULADA VULNERA LOS PRINCIPIOS CONSTITUCIONALES DE BUENA FE, CONFIANZA LEGÍTIMA Y SEGURIDAD JURÍDICA (ARTÍCULO 83 DE LA CONSTITUCIÓN POLÍTICA), AL DESCONOCER ACTOS PROPIOS DE LA ENTIDAD GLOSANTE, QUIEN SOLICITÓ LA CONTINUIDAD DEL SERVICIO Y DEFINIÓ CONDICIONES TARIFARIAS ESPECÍFICAS, PRETENDIENDO POSTERIORMENTE RELIQUIDAR DE MANERA DESFAVORABLE A LA IPS. EN CONSECUENCIA, NO ES PROCEDENTE EL AJUSTE DE LA DIFERENCIA NI EL RECONOCIMIENTO PARCIAL DEL VALOR FACTURADO, POR CUANTO: SÍ EXISTIÓ ACUERDO DE VOLUNTADES VÁLIDO, LAS TARIFAS FUERON PREVIAMENTE DEFINIDAS Y ACEPTADAS, NO PROCEDE LA IMPOSICIÓN UNILATERAL DE SOAT UVB, EL SERVICIO FUE EFECTIVAMENTE PRESTADO Y SOPORTADO, POR LO ANTERIOR, SE SOLICITA EL LEVANTAMIENTO TOTAL DE LA GLOSA Y EL RECONOCIMIENTO ÍNTEGRO DEL VALOR FACTURADO.</t>
  </si>
  <si>
    <t>ESE HUS NO ACEPTA GLOSA, TODA VEZ QUE LA GLOSA POR MAYOR VALOR COBRADO EN LA CONSULTA DE PRIMERA VEZ POR ESPECIALISTA EN ANESTESIOLOGÍA, BAJO EL ARGUMENTO DE “IPS SIN ACUERDO DE VOLUNTADES VIGENTE” Y EL RECONOCIMIENTO UNILATERAL DE TARIFAS SOAT EN UVB CON FUNDAMENTO EN EL DECRETO 1760 DE 2022, NO SE AJUSTA A LA REALIDAD CONTRACTUAL NI AL MARCO NORMATIVO VIGENTE. EN PRIMER LUGAR, SE ENCUENTRA PLENAMENTE DEMOSTRADA LA EXISTENCIA DE UN ACUERDO DE VOLUNTADES VÁLIDO ENTRE LA ESE HUS Y EL DISPENSARIO MÉDICO DE BUCARAMANGA, MATERIALIZADO A TRAVÉS DEL CONTRATO N.° 287 DIGSA–DMBUG–2025 Y LAS COMUNICACIONES OFICIALES DE CONTINUIDAD DEL SERVICIO POR RECONOCIMIENTO DEL GASTO, MEDIANTE LAS CUALES EL PROPIO DMBUG SOLICITÓ Y AUTORIZÓ EXPRESAMENTE LA PRESTACIÓN DE SERVICIOS A LOS USUARIOS DEL SUBSISTEMA DE SALUD DE LAS FUERZAS MILITARES, BAJO TARIFAS PACTADAS Y ANEXOS TARIFARIOS INSTITUCIONALES, SIN REQUERIR AUTORIZACIONES O COTIZACIONES INDIVIDUALES. EN CONSECUENCIA, NO ES PROCEDENTE AFIRMAR LA INEXISTENCIA DE ACUERDO DE VOLUNTADES, NI MUCHO MENOS IMPONER TARIFAS DISTINTAS A LAS PACTADAS, TODA VEZ QUE LA PRESTACIÓN DEL SERVICIO SE REALIZÓ EN CUMPLIMIENTO DE UNA AUTORIZACIÓN EXPRESA Y BAJO CONDICIONES PREVIAMENTE DEFINIDAS. DE CONFORMIDAD CON EL ARTÍCULO 13 DE LA LEY 1122 DE 2007 Y EL ARTÍCULO 2.5.3.8.1 DEL DECRETO 780 DE 2016, LAS TARIFAS DE LOS SERVICIOS DE SALUD DEBEN SER EL RESULTADO DE LA LIBRE NEGOCIACIÓN ENTRE LAS PARTES, Y NO PUEDEN SER MODIFICADAS UNILATERALMENTE POR LA ENTIDAD RESPONSABLE DEL PAGO, AUN CUANDO SE INVOQUEN NORMAS DE REFERENCIA TARIFARIA COMO EL SOAT. RESPECTO A LA APLICACIÓN DEL DECRETO 1760 DE 2022, ES PRECISO SEÑALAR QUE DICHA NORMA NO IMPONE LA OBLIGATORIEDAD DE RECONOCER TARIFAS SOAT INDEXADAS EN UVB EN ESCENARIOS DONDE EXISTE ACUERDO DE VOLUNTADES, RECONOCIMIENTO DEL GASTO O TARIFAS PROPIAS PACTADAS, COMO OCURRE EN EL PRESENTE CASO. LA UTILIZACIÓN DEL SOAT CONSTITUYE UN REFERENTE TARIFARIO, MAS NO UNA TARIFA IMPERATIVA, SALVO PACTO EXPRESO, EL CUAL NO SE CONFIGURA EN ESTE EVENTO. DESDE EL PUNTO DE VISTA ASISTENCIAL, LA CONSULTA DE PRIMERA VEZ POR ANESTESIOLOGÍA ES UN SERVICIO CLÍNICAMENTE PERTINENTE Y NECESARIO, USUALMENTE REQUERIDO PARA LA VALORACIÓN PREANESTÉSICA Y LA SEGURIDAD DEL PACIENTE, DEBIDAMENTE SOPORTADO EN LA HISTORIA CLÍNICA CONFORME A LA RESOLUCIÓN 1995 DE 1999, Y HACE PARTE INTEGRAL DEL PROCESO DE ATENCIÓN. ADICIONALMENTE, LA LEY ESTATUTARIA 1751 DE 2015, EN SUS ARTÍCULOS 5 Y 6, PROHÍBE LA IMPOSICIÓN DE BARRERAS ADMINISTRATIVAS O FINANCIERAS QUE AFECTEN EL ACCESO EFECTIVO Y EL RECONOCIMIENTO DE LOS SERVICIOS DE SALUD DEBIDAMENTE PRESTADOS. LA GLOSA FORMULADA VULNERA LOS PRINCIPIOS CONSTITUCIONALES DE BUENA FE, CONFIANZA LEGÍTIMA Y SEGURIDAD JURÍDICA (ARTÍCULO 83 DE LA CONSTITUCIÓN POLÍTICA), AL DESCONOCER ACTOS PROPIOS DEL DMBUG QUE AUTORIZARON LA PRESTACIÓN DEL SERVICIO Y DEFINIERON CONDICIONES TARIFARIAS ESPECÍFICAS. POR LO ANTERIOR, NO ES PROCEDENTE EL AJUSTE DE LA DIFERENCIA NI EL RECONOCIMIENTO PARCIAL DEL VALOR FACTURADO ($31.297), SOLICITANDO EN CONSECUENCIA EL LEVANTAMIENTO TOTAL DE LA GLOSA Y EL PAGO ÍNTEGRO DEL VALOR FACTURADO.</t>
  </si>
  <si>
    <t>ESE HUS NO ACEPTA GLOSA, TODA VEZ QUE LA GLOSA IDENTIFICADA BAJO EL CÓDIGO TA5801, CORRESPONDIENTE AL PROCEDIMIENTO ARTERIOGRAFÍA CEREBRAL (INTERVENCIONISTA), BAJO EL ARGUMENTO DE “MAYOR VALOR” Y EL RECONOCIMIENTO PARCIAL CON BASE EN TARIFA UVB SEGÚN NORMATIVIDAD VIGENTE, DESCONOCE LA COMPLEJIDAD REAL DEL PROCEDIMIENTO EFECTIVAMENTE REALIZADO, ASÍ COMO LAS CONDICIONES CONTRACTUALES Y TARIFARIAS PACTADAS ENTRE LAS PARTES. EN PRIMER LUGAR, ES NECESARIO PRECISAR QUE EL PROCEDIMIENTO FACTURADO NO CORRESPONDE A UNA ARTERIOGRAFÍA SIMPLE, SINO A UNA ARTERIOGRAFÍA CEREBRAL INTERVENCIONISTA, QUE INCLUYE CATETERIZACIÓN SELECTIVA BILATERAL VERTEBRAL Y CAROTÍDEA, CON PANANGIOGRAFÍA, LO CUAL IMPLICA MAYOR COMPLEJIDAD TÉCNICA, MAYOR TIEMPO DE SALA, USO INTENSIVO DE INSUMOS, MEDIO DE CONTRASTE, TECNOLOGÍA ESPECIALIZADA Y TALENTO HUMANO ALTAMENTE CALIFICADO. DICHAS ACTIVIDADES SE ENCUENTRAN DEBIDAMENTE SOPORTADAS EN EL INFORME ANGIOGRÁFICO Y LA HISTORIA CLÍNICA, CONFORME A LO ESTABLECIDO EN LA RESOLUCIÓN 1995 DE 1999. DESDE EL PUNTO DE VISTA TARIFARIO Y CONTRACTUAL, EL CONTRATO N.° 287 DIGSA–DMBUG–2025, JUNTO CON SUS ANEXOS TARIFARIOS INSTITUCIONALES, RECONOCE LA APLICACIÓN DE TARIFAS PROPIAS DE LA ESE HUS PARA PROCEDIMIENTOS DE ALTA COMPLEJIDAD Y PARA AQUELLOS QUE NO CUENTAN CON HOMÓLOGO EXACTO EN LOS MANUALES TARIFARIOS DE REFERENCIA, SITUACIÓN QUE APLICA PLENAMENTE EN EL PRESENTE CASO, DADA LA NATURALEZA INTEGRAL Y SELECTIVA DEL PROCEDIMIENTO REALIZADO. DE CONFORMIDAD CON EL ARTÍCULO 13 DE LA LEY 1122 DE 2007 Y EL ARTÍCULO 2.5.3.8.1 DEL DECRETO 780 DE 2016, LAS TARIFAS DE LOS SERVICIOS DE SALUD DEBEN SER EL RESULTADO DE LA LIBRE NEGOCIACIÓN ENTRE LAS PARTES, NO SIENDO PROCEDENTE LA RELIQUIDACIÓN UNILATERAL DEL VALOR FACTURADO CON BASE EN MANUALES DE REFERENCIA COMO EL SOAT O SU INDEXACIÓN EN UVB, SALVO PACTO EXPRESO, EL CUAL NO EXISTE PARA ESTE PROCEDIMIENTO ESPECÍFICO. RESPECTO A LA AFIRMACIÓN DE QUE “SE ACEPTA VALOR UVB SEGÚN NORMATIVIDAD VIGENTE”, ES PRECISO SEÑALAR QUE NO EXISTE NORMA DE CARÁCTER OBLIGATORIO QUE IMPONGA LA APLICACIÓN AUTOMÁTICA DE TARIFAS UVB PARA PROCEDIMIENTOS ESPECIALIZADOS CUANDO EXISTE ACUERDO DE VOLUNTADES, RECONOCIMIENTO DEL GASTO Y TARIFAS PROPIAS PACTADAS. LA UVB CONSTITUYE UN MECANISMO DE REFERENCIA, MAS NO UNA TARIFA IMPERATIVA, Y SU APLICACIÓN UNILATERAL VULNERA LOS PRINCIPIOS DE SEGURIDAD JURÍDICA Y CONFIANZA LEGÍTIMA. DESDE EL ENFOQUE ASISTENCIAL Y DE SEGURIDAD DEL PACIENTE, LA ARTERIOGRAFÍA CEREBRAL INTERVENCIONISTA ES UN PROCEDIMIENTO DIAGNÓSTICO Y TERAPÉUTICO CRÍTICO, CUYA CORRECTA EJECUCIÓN RESPONDE A CRITERIOS CLÍNICOS ESPECIALIZADOS Y NO PUEDE FRAGMENTARSE NI SUBVALORARSE TARIFARIAMENTE SIN DESCONOCER LA INTEGRALIDAD DEL ACTO MÉDICO, EN CONTRAVÍA DE LOS PRINCIPIOS DE LA LEY ESTATUTARIA 1751 DE 2015. LA GLOSA FORMULADA VULNERA, ADEMÁS, LOS PRINCIPIOS CONSTITUCIONALES DE BUENA FE, DEBIDO PROCESO ADMINISTRATIVO Y PACTA SUNT SERVANDA (ARTÍCULOS 29 Y 83 DE LA CONSTITUCIÓN POLÍTICA), AL DESCONOCER TANTO LA COMPLEJIDAD REAL DEL PROCEDIMIENTO COMO LAS CONDICIONES CONTRACTUALES PREVIAMENTE ACEPTADAS. POR LO ANTERIOR, NO ES PROCEDENTE LA OBJECIÓN PARCIAL POR VALOR DE $1.684.944, SOLICITANDO EN CONSECUENCIA EL LEVANTAMIENTO TOTAL DE LA GLOSA Y EL RECONOCIMIENTO ÍNTEGRO DEL VALOR FACTURADO ($3.951.810), AL ENCONTRARSE EL SERVICIO DEBIDAMENTE PRESTADO, SOPORTADO CLÍNICA Y ADMINISTRATIVAMENTE, Y FACTURADO CONFORME A LAS TARIFAS PACTADAS.</t>
  </si>
  <si>
    <t>ESE HUS NO ACEPTA GLOSA, TODA VEZ QUE LA GLOSA FORMULADA AL SERVICIO DE COLORACIÓN INMUNOHISTOQUÍMICA – PANEL DE TAMIZAJE, POR PRESUNTO MAYOR VALOR COBRADO, BAJO LOS ARGUMENTOS DE “NO SE TIENE CONTRATO” Y LA IMPOSICIÓN DEL MANUAL TARIFARIO SOAT INDEXADO EN UVB, DESCONOCE LA REALIDAD CONTRACTUAL, LA COMPLEJIDAD TÉCNICA DEL ESTUDIO REALIZADO Y LA NORMATIVIDAD VIGENTE. EN PRIMER LUGAR, SE ENCUENTRA PLENAMENTE ACREDITADA LA EXISTENCIA DE UN ACUERDO DE VOLUNTADES VÁLIDO ENTRE LA ESE HUS Y EL DISPENSARIO MÉDICO DE BUCARAMANGA, MATERIALIZADO A TRAVÉS DEL CONTRATO N.° 287 DIGSA–DMBUG–2025 Y LAS COMUNICACIONES OFICIALES DE CONTINUIDAD DEL SERVICIO POR RECONOCIMIENTO DEL GASTO, MEDIANTE LAS CUALES EL PROPIO DMBUG SOLICITÓ Y AUTORIZÓ EXPRESAMENTE LA PRESTACIÓN DE SERVICIOS DE SALUD BAJO TARIFAS PACTADAS Y ANEXOS TARIFARIOS INSTITUCIONALES, DESVIRTUANDO DE MANERA EXPRESA LA AFIRMACIÓN DE INEXISTENCIA CONTRACTUAL. DESDE EL PUNTO DE VISTA TÉCNICO–ASISTENCIAL, ES NECESARIO PRECISAR QUE EL SERVICIO FACTURADO CORRESPONDE A UN PANEL DE TAMIZAJE DE COLORACIONES INMUNOHISTOQUÍMICAS, EL CUAL NO SE LIMITA A UNA MARCACIÓN BÁSICA ÚNICA, SINO QUE COMPRENDE MÚLTIPLES ANTICUERPOS, PROCESAMIENTO ESPECIALIZADO DE MUESTRAS, REACTIVOS DE ALTO COSTO, INTERPRETACIÓN POR PATÓLOGO ESPECIALIZADO Y CONTROL DE CALIDAD, ELEMENTOS QUE INCREMENTAN DE MANERA SIGNIFICATIVA LA COMPLEJIDAD Y EL COSTO DEL ESTUDIO. DICHA CONDICIÓN SE ENCUENTRA DEBIDAMENTE SOPORTADA EN EL INFORME ANATOMOPATOLÓGICO Y LA HISTORIA CLÍNICA, CONFORME A LA RESOLUCIÓN 1995 DE 1999. EN ESTE SENTIDO, LA TARIFA SOAT–UVB DE $257.700 CITADA POR LA ENTIDAD GLOSANTE CORRESPONDE A UNA MARCACIÓN INMUNOHISTOQUÍMICA BÁSICA ESPECÍFICA, QUE NO ES HOMÓLOGA NI EQUIVALENTE AL PANEL DE TAMIZAJE EFECTIVAMENTE REALIZADO, POR LO CUAL NO RESULTA TÉCNICA NI TARIFARIAMENTE APLICABLE AL SERVICIO PRESTADO. DESDE EL PUNTO DE VISTA TARIFARIO Y CONTRACTUAL, EL CONTRATO N.° 287 DIGSA–DMBUG–2025 Y SU ANEXO TARIFARIO INSTITUCIONAL PREVÉN LA APLICACIÓN DE TARIFAS PROPIAS PARA PROCEDIMIENTOS ESPECIALIZADOS Y PARA AQUELLOS QUE NO CUENTAN CON HOMÓLOGO EXACTO EN LOS MANUALES TARIFARIOS DE REFERENCIA, SITUACIÓN QUE SE CONFIGURA PLENAMENTE EN EL PRESENTE CASO. DE CONFORMIDAD CON EL ARTÍCULO 13 DE LA LEY 1122 DE 2007 Y EL ARTÍCULO 2.5.3.8.1 DEL DECRETO 780 DE 2016, LAS TARIFAS DE LOS SERVICIOS DE SALUD DEBEN SER PRODUCTO DE LA LIBRE NEGOCIACIÓN ENTRE LAS PARTES, NO SIENDO PROCEDENTE LA RELIQUIDACIÓN UNILATERAL DEL VALOR FACTURADO CON BASE EN MANUALES DE REFERENCIA COMO EL SOAT, SALVO PACTO EXPRESO, EL CUAL NO EXISTE EN ESTE EVENTO. ADICIONALMENTE, LA LEY ESTATUTARIA 1751 DE 2015, EN SUS ARTÍCULOS 5 Y 6, ESTABLECE QUE EL DERECHO FUNDAMENTAL A LA SALUD DEBE GARANTIZARSE BAJO LOS PRINCIPIOS DE INTEGRALIDAD, CONTINUIDAD Y CALIDAD, LO CUAL IMPLICA EL RECONOCIMIENTO PLENO DE SERVICIOS DIAGNÓSTICOS ESPECIALIZADOS CUANDO HAN SIDO DEBIDAMENTE PRESTADOS. LA GLOSA FORMULADA VULNERA LOS PRINCIPIOS CONSTITUCIONALES DE BUENA FE, CONFIANZA LEGÍTIMA, SEGURIDAD JURÍDICA Y DEBIDO PROCESO ADMINISTRATIVO (ARTÍCULOS 29 Y 83 DE LA CONSTITUCIÓN POLÍTICA), AL DESCONOCER ACTOS PROPIOS DEL DMBUG Y SUBVALORAR DE MANERA INJUSTIFICADA UN SERVICIO ALTAMENTE ESPECIALIZADO. POR LO ANTERIOR, NO ES PROCEDENTE LA OBJECIÓN POR VALOR DE $1.807.950, SOLICITANDO EN CONSECUENCIA EL LEVANTAMIENTO TOTAL DE LA GLOSA Y EL RECONOCIMIENTO ÍNTEGRO DEL VALOR FACTURADO ($2.065.650).</t>
  </si>
  <si>
    <t>ESE HUS NO ACEPTA GLOSA, por cuanto el dispositivo fue efectivamente utilizado, soportado clínica y quirúrgicamente, y su reconocimiento no está condicionado a la entrega de listas de precios comerciales.
La auditoría debe verificar pertinencia y uso, no costos internos, conforme al artículo 2.5.3.8.4 del Decreto 780 de 2016.
Se solicita el pago íntegro del valor facturado ($3.891.400). |||||| ESE HUS NO ACEPTA GLOSA, por cuanto el dispositivo fue necesario y clínicamente indicado dentro del procedimiento de embolización, y su cobro está debidamente soportado en la historia clínica y reporte intervencionista.
No existe obligación legal ni contractual de aportar listas de precios.
Se solicita el reconocimiento íntegro del valor facturado ($3.891.400). |||||| ESE HUS NO ACEPTA GLOSA, por cuanto el insumo fue efectivamente utilizado, registrado en el procedimiento y soportado clínicamente.
La Resolución 2284 de 2023 no establece la lista de precios como requisito para reconocimiento económico.
Se solicita el pago íntegro del valor facturado ($824.700). |||||| ESE HUS NO ACEPTA GLOSA, por cuanto el kit fue indispensable para el acceso vascular, se encuentra soportado en el acto quirúrgico y no existe obligación normativa de adjuntar lista de precios.
Se solicita el reconocimiento íntegro del valor facturado ($169.500). |||||| ESE HUS NO ACEPTA GLOSA, toda vez que el insumo corresponde a material médico implantable, debidamente registrado en el procedimiento, y la exigencia de lista de precios no es causal válida de glosa.
La glosa vulnera los principios de buena fe y seguridad jurídica (art. 83 C.P.).
Se solicita el levantamiento total de la glosa por $3.891.400. |||||| ESE HUS NO ACEPTA GLOSA, toda vez que el insumo es parte integral del procedimiento intervencionista y su reconocimiento no puede condicionarse a la entrega de información comercial interna.
Se solicita el levantamiento total de la glosa por $169.600. |||||| ESE HUS NO ACEPTA GLOSA, toda vez que el procedimiento de Embolización de várices pélvicas y gonadales por vía intervencionista fue facturado conforme a la tarifa pactada y aplicada institucionalmente, y no corresponde técnica ni clínicamente a una simple “oclusión de venas intraabdominales” como lo pretende homologar la entidad glosante para aplicar tarifa SOAT–UVB.
Desde el punto de vista técnico–asistencial, la embolización de várices pélvicas y gonadales es un procedimiento endovascular especializado, que implica cateterización selectiva, uso de múltiples dispositivos, material embolizante, fluoroscopia prolongada y talento humano altamente especializado, lo cual no es equiparable a la tarifa referenciada por SOAT.
Desde el punto de vista contractual, existe acuerdo de voluntades válido materializado en el Contrato N.° 287 DIGSA–DMBUG–2025 y las cartas de continuidad por reconocimiento del gasto, que autorizan la prestación de servicios bajo tarifas propias institucionales, desvirtuando la afirmación de inexistencia contractual.
Conforme al artículo 13 de la Ley 1122 de 2007 y el artículo 2.5.3.8.1 del Decreto 780 de 2016, no es procedente la imposición unilateral de tarifas SOAT–UVB.
Por lo anterior, no procede la objeción por valor de $6.409.517, solicitando el reconocimiento íntegro del valor facturado ($7.292.817). |||||| ESE HUS NO ACEPTA GLOSA, toda vez que la exigencia de lista de precios de tecnologías en salud como condición de pago no es un requisito habilitante de facturación, conforme a la Resolución 2626 de 2019, ni se encuentra pactado contractualmente.
La Resolución 2284 de 2023, Anexo Técnico 1, no autoriza a la entidad pagadora a exigir información de costos internos o negociación comercial de la IPS como requisito de reconocimiento.
El uso del coil se encuentra debidamente soportado en el acto quirúrgico e informe intervencionista.
Se solicita el levantamiento total de la glosa por valor de $3.891.400. |||||| ESE HUS NO ACEPTA GLOSA, toda vez que la guía fue efectivamente utilizada dentro del procedimiento intervencionista, se encuentra soportada clínicamente y su cobro se ajusta a la normativa vigente de facturación.
La glosa carece de fundamento legal y contractual.
Se solicita el levantamiento total de la glosa y el reconocimiento del valor facturado.</t>
  </si>
  <si>
    <t>ESE HUS NO ACEPTA GLOSA, toda vez que la cavografía intervencionista realizada no es equiparable a una angiografía simple de venas cavas según SOAT, dado su alcance diagnóstico–terapéutico y complejidad técnica.
La aplicación de tarifa SOAT–UVB resulta improcedente frente a tarifas pactadas.
Se solicita el levantamiento de la glosa por $2.759.298 y el pago total de $3.012.098. |||||| ESE HUS NO ACEPTA GLOSA, toda vez que la flebografía gonadal intervencionista corresponde a un procedimiento diagnóstico selectivo y especializado, inseparable del abordaje intervencionista realizado, debidamente soportado en el informe angiográfico y la historia clínica.
La ausencia de homólogo específico en el manual SOAT no invalida el cobro, dado que el contrato reconoce la aplicación de tarifas propias institucionales para procedimientos sin equivalencia exacta.
La exigencia de cotización previa no se encuentra prevista ni en la Resolución 2626 de 2019 ni en el contrato vigente.
Por lo anterior, se solicita el levantamiento total de la glosa y el pago íntegro del valor facturado ($5.585.392).</t>
  </si>
  <si>
    <t>ESE HUS NO ACEPTA GLOSA, TODA VEZ QUE LA GLOSA FORMULADA A LA CONSULTA DE PRIMERA VEZ POR ESPECIALISTA EN ORTOPEDIA Y TRAUMATOLOGÍA, POR PRESUNTO MAYOR VALOR COBRADO, SUSTENTADA EN LA AFIRMACIÓN DE “NO SE TIENE CONTRATO” Y EN LA APLICACIÓN UNILATERAL DEL MANUAL TARIFARIO SOAT INDEXADO EN UVB, CARECE DE SUSTENTO CONTRACTUAL, NORMATIVO Y ASISTENCIAL. EN PRIMER LUGAR, SE ENCUENTRA PLENAMENTE ACREDITADA LA EXISTENCIA DE UN ACUERDO DE VOLUNTADES VIGENTE ENTRE LA ESE HUS Y EL DISPENSARIO MÉDICO DE BUCARAMANGA, MATERIALIZADO A TRAVÉS DEL CONTRATO N.° 287 DIGSA–DMBUG–2025 Y LAS COMUNICACIONES OFICIALES DE CONTINUIDAD DEL SERVICIO POR RECONOCIMIENTO DEL GASTO, MEDIANTE LAS CUALES LA ENTIDAD GLOSANTE AUTORIZÓ EXPRESAMENTE LA PRESTACIÓN DE SERVICIOS DE SALUD BAJO TARIFAS PACTADAS Y ANEXOS TARIFARIOS INSTITUCIONALES, DESVIRTUANDO DE MANERA EXPRESA LA AFIRMACIÓN DE INEXISTENCIA CONTRACTUAL. DESDE EL PUNTO DE VISTA TARIFARIO, EL VALOR FACTURADO ($106.697) CORRESPONDE A LA TARIFA PACTADA Y VIGENTE PARA LA CONSULTA DE PRIMERA VEZ POR ESPECIALISTA EN ORTOPEDIA Y TRAUMATOLOGÍA, CONFORME AL ANEXO TARIFARIO INSTITUCIONAL, Y NO PUEDE SER RELIQUIDADO UNILATERALMENTE CON BASE EN TARIFAS DE REFERENCIA COMO EL SOAT, LAS CUALES NO SON DE OBLIGATORIA APLICACIÓN, SALVO PACTO EXPRESO, INEXISTENTE EN ESTE CASO. DE CONFORMIDAD CON EL ARTÍCULO 13 DE LA LEY 1122 DE 2007 Y EL ARTÍCULO 2.5.3.8.1 DEL DECRETO 780 DE 2016, LAS TARIFAS DE LOS SERVICIOS DE SALUD DEBEN SER PRODUCTO DE LA LIBRE NEGOCIACIÓN ENTRE LAS PARTES, Y NO ES JURÍDICAMENTE VIABLE SU MODIFICACIÓN UNILATERAL POR PARTE DE LA ENTIDAD RESPONSABLE DEL PAGO. DESDE EL PUNTO DE VISTA ASISTENCIAL, LA CONSULTA DE PRIMERA VEZ POR ORTOPEDIA Y TRAUMATOLOGÍA CONSTITUYE UN ACTO MÉDICO ESPECIALIZADO QUE IMPLICA VALORACIÓN INTEGRAL, DIAGNÓSTICO INICIAL, DEFINICIÓN DE PLAN TERAPÉUTICO Y SOLICITUD DE AYUDAS DIAGNÓSTICAS, DEBIDAMENTE SOPORTADO EN LA HISTORIA CLÍNICA CONFORME A LA RESOLUCIÓN 1995 DE 1999, Y EN CONCORDANCIA CON LOS PRINCIPIOS DE INTEGRALIDAD, CONTINUIDAD Y CALIDAD ESTABLECIDOS EN LA LEY ESTATUTARIA 1751 DE 2015._x000D_
LA GLOSA FORMULADA VULNERA, ADEMÁS, LOS PRINCIPIOS CONSTITUCIONALES DE BUENA FE, CONFIANZA LEGÍTIMA, SEGURIDAD JURÍDICA Y DEBIDO PROCESO ADMINISTRATIVO CONSAGRADOS EN LOS ARTÍCULOS 29 Y 83 DE LA CONSTITUCIÓN POLÍTICA, AL DESCONOCER ACTOS PROPIOS DE LA ENTIDAD GLOSANTE Y APLICAR DE MANERA IMPROCEDENTE UNA TARIFA DE REFERENCIA. POR LO ANTERIOR, NO ES PROCEDENTE LA OBJECIÓN POR VALOR DE $31.439, SOLICITANDO EN CONSECUENCIA EL LEVANTAMIENTO TOTAL DE LA GLOSA Y EL RECONOCIMIENTO ÍNTEGRO DEL VALOR DEL SERVICIO ($106.697).</t>
  </si>
  <si>
    <t>ESE HUS NO ACEPTA GLOSA, TODA VEZ QUE LA AGUJA PARA BIOPSIA SEMIAUTOMÁTICA CORRESPONDE A UN DISPOSITIVO MÉDICO ESENCIAL, EFECTIVAMENTE UTILIZADO Y DEBIDAMENTE REGISTRADO EN EL PROCEDIMIENTO DE BIOPSIA, CON SOPORTE EN LA HISTORIA CLÍNICA Y REPORTE INTERVENCIONISTA._x000D_
LA EXIGENCIA DE LISTA DE PRECIOS DE INSUMOS NO CONSTITUYE CAUSAL VÁLIDA DE GLOSA, NI SE ENCUENTRA PREVISTA EN LA RESOLUCIÓN 2626 DE 2019, NI EN EL CONTRATO VIGENTE. LA AUDITORÍA DEBE VERIFICAR USO Y PERTINENCIA CLÍNICA, NO CONDICIONES COMERCIALES INTERNAS DE LA IPS._x000D_
LA GLOSA VULNERA LOS PRINCIPIOS DE BUENA FE Y SEGURIDAD JURÍDICA (ART. 83 C.P.). SE SOLICITA EL LEVANTAMIENTO TOTAL DE LA GLOSA Y EL PAGO DEL VALOR FACTURADO ($325.600). |||||| ESE HUS NO ACEPTA GLOSA, TODA VEZ QUE LA GLOSA FORMULADA AL INSUMO GUÍA PARA AGUJA DE COLOCACIÓN REF. 900013B01, POR PRESUNTA INEXISTENCIA DE CONTRATO Y AUSENCIA DE LISTA DE PRECIOS CONFORME A LA RESOLUCIÓN 2284 DE 2023, CARECE DE FUNDAMENTO NORMATIVO Y CONTRACTUAL._x000D_
LA RESOLUCIÓN 2626 DE 2019, QUE REGULA LOS REQUISITOS DE FACTURACIÓN Y SOPORTES DE COBRO, NO ESTABLECE COMO REQUISITO OBLIGATORIO LA ENTREGA DE LISTAS DE PRECIOS DE TECNOLOGÍAS EN SALUD O INSUMOS PARA EL RECONOCIMIENTO ECONÓMICO. DE IGUAL FORMA, LA RESOLUCIÓN 2284 DE 2023, ANEXO TÉCNICO NO. 1, NO HABILITA A LA ENTIDAD PAGADORA PARA EXIGIR INFORMACIÓN DE CARÁCTER COMERCIAL INTERNO COMO CONDICIÓN DE PAGO. EL INSUMO FUE EFECTIVAMENTE UTILIZADO, SE ENCUENTRA SOPORTADO EN EL PROCEDIMIENTO CLÍNICO Y ES INDISPENSABLE PARA LA REALIZACIÓN DEL ACTO MÉDICO, RAZÓN POR LA CUAL LA GLOSA RESULTA IMPROCEDENTE. SE SOLICITA EL LEVANTAMIENTO TOTAL DE LA GLOSA Y EL RECONOCIMIENTO DEL VALOR FACTURADO ($33.900).</t>
  </si>
  <si>
    <t>ESE HUS NO ACEPTA GLOSA, TODA VEZ QUE LA ECOGRAFÍA COMO GUÍA PARA PROCEDIMIENTOS ES UN ACTO MÉDICO INDEPENDIENTE, NECESARIO PARA GARANTIZAR SEGURIDAD, PRECISIÓN DIAGNÓSTICA Y REDUCCIÓN DE RIESGOS, DEBIDAMENTE SOPORTADO EN LA HISTORIA CLÍNICA._x000D_
LA AUSENCIA DE HOMÓLOGO ESPECÍFICO EN EL MANUAL SOAT NO INVALIDA EL COBRO, DADO QUE EL CONTRATO VIGENTE RECONOCE LA APLICACIÓN DE TARIFAS PROPIAS INSTITUCIONALES PARA SERVICIOS QUE NO CUENTAN CON EQUIVALENCIA EXACTA EN MANUALES DE REFERENCIA._x000D_
NO EXISTE OBLIGACIÓN NORMATIVA NI CONTRACTUAL DE ADJUNTAR COTIZACIÓN PREVIA O TARIFA PROPIA ADICIONAL, CONFORME A LA RESOLUCIÓN 2626 DE 2019. SE SOLICITA EL RECONOCIMIENTO ÍNTEGRO DEL VALOR FACTURADO ($156.797).</t>
  </si>
  <si>
    <t>ESE HUS NO ACEPTA GLOSA, TODA VEZ QUE EL DRENAJE PERCUTÁNEO DE COLECCIONES PROFUNDAS GUIADO POR ECOGRAFÍA ES UN PROCEDIMIENTO INTERVENCIONISTA ESPECIALIZADO, QUE NO ES EQUIPARABLE A UN DRENAJE SIMPLE POR INCISIÓN O ASPIRACIÓN, COMO LO PRETENDE HOMOLOGAR LA ENTIDAD GLOSANTE PARA APLICAR TARIFA SOAT. EL PROCEDIMIENTO REALIZADO IMPLICA GUÍA IMAGENOLÓGICA, TÉCNICA PERCUTÁNEA AVANZADA, CONTROL EN TIEMPO REAL Y TALENTO HUMANO ESPECIALIZADO, LO CUAL EXCEDE EL ALCANCE DEL PROCEDIMIENTO SOAT DEL GRUPO 4 REFERENCIADO. LA APLICACIÓN UNILATERAL DE TARIFA SOAT–UVB VULNERA LO DISPUESTO EN EL ARTÍCULO 13 DE LA LEY 1122 DE 2007 Y EL ARTÍCULO 2.5.3.8.1 DEL DECRETO 780 DE 2016. SE SOLICITA EL LEVANTAMIENTO DE LA GLOSA POR $1.007.550 Y EL RECONOCIMIENTO ÍNTEGRO DEL VALOR FACTURADO ($1.847.550). |||||| ESE HUS NO ACEPTA GLOSA, TODA VEZ QUE LA BIOPSIA PERCUTÁNEA GUIADA POR ECOGRAFÍA CORRESPONDE A UN PROCEDIMIENTO INTERVENCIONISTA ESPECIALIZADO, QUE NO PUEDE HOMOLOGARSE A UNA BIOPSIA PERCUTÁNEA SIMPLE SIN GUÍA IMAGENOLÓGICA._x000D_
LA TARIFA SOAT CITADA NO RECONOCE EL USO DE ECOGRAFÍA, INSUMOS ESPECIALIZADOS, NI LA COMPLEJIDAD TÉCNICA DEL PROCEDIMIENTO, POR LO CUAL SU APLICACIÓN RESULTA IMPROCEDENTE. EXISTE ACUERDO DE VOLUNTADES VIGENTE QUE PERMITE LA FACTURACIÓN BAJO TARIFAS INSTITUCIONALES, Y EL PROCEDIMIENTO SE ENCUENTRA PLENAMENTE SOPORTADO EN LA HISTORIA CLÍNICA CONFORME A LA RESOLUCIÓN 1995 DE 1999. SE SOLICITA EL LEVANTAMIENTO DE LA GLOSA POR $920.513 Y EL RECONOCIMIENTO TOTAL DEL VALOR FACTURADO ($1.545.513).</t>
  </si>
  <si>
    <t>ESE HUS NO ACEPTA GLOSA, DADO QUE LA SUTURA MENISCAL ARTROSCÓPICA FUE EFECTIVAMENTE REALIZADA, SE ENCUENTRA SOPORTADA EN LA DESCRIPCIÓN QUIRÚRGICA Y CONSTITUYE UN ACTO TÉCNICO INDEPENDIENTE DENTRO DEL PROCEDIMIENTO ARTROSCÓPICO._x000D_
LA GLOSA SE FUNDAMENTA EN UNA INTERPRETACIÓN EXCESIVAMENTE FORMALISTA DE LA RESOLUCIÓN 2284 DE 2023, QUE NO PUEDE UTILIZARSE PARA DESCONOCER PROCEDIMIENTOS EFECTIVAMENTE EJECUTADOS Y CLÍNICAMENTE INDICADOS._x000D_
SE SOLICITA EL RECONOCIMIENTO ÍNTEGRO DEL VALOR FACTURADO ($734.656). |||||| ESE HUS NO ACEPTA GLOSA, TODA VEZ QUE LA CONDROPLASTIA ARTROSCÓPICA FUE EFECTIVAMENTE REALIZADA COMO PARTE DEL ABORDAJE INTEGRAL DE LA PATOLOGÍA ARTICULAR, Y SE ENCUENTRA SOPORTADA EN LA DESCRIPCIÓN QUIRÚRGICA._x000D_
LA AUSENCIA DE CAUSAL EXPLÍCITA EN LA GLOSA CARECE DE MOTIVACIÓN SUFICIENTE, VULNERANDO EL PRINCIPIO DE MOTIVACIÓN DEL ACTO ADMINISTRATIVO._x000D_
SE SOLICITA EL RECONOCIMIENTO ÍNTEGRO DEL VALOR FACTURADO ($656.008). |||||| ESE HUS NO ACEPTA GLOSA, TODA VEZ QUE LA GLOSA FORMULADA POR PRESUNTAS INCONSISTENCIAS EN EL REGISTRO DE ANESTESIA Y LA DESCRIPCIÓN QUIRÚRGICA NO SE AJUSTA AL ALCANCE REAL DE LA RESOLUCIÓN 2284 DE 2023, NI CONFIGURA CAUSAL SUFICIENTE PARA EL NO RECONOCIMIENTO DEL PROCEDIMIENTO._x000D_
LA HISTORIA CLÍNICA, REGISTRO ANESTÉSICO Y DESCRIPCIÓN QUIRÚRGICA CUMPLEN CON LOS REQUISITOS ESENCIALES DE IDENTIFICACIÓN DEL PACIENTE, PROCEDIMIENTO REALIZADO, TÉCNICA EMPLEADA, HALLAZGOS, TIEMPOS QUIRÚRGICOS Y PROFESIONAL RESPONSABLE, CONFORME A LA RESOLUCIÓN 1995 DE 1999._x000D_
LA RESOLUCIÓN 2284 DE 2023 NO ESTABLECE LA GLOSA AUTOMÁTICA POR AUSENCIA LITERAL O TEXTUAL DE TODOS LOS NUMERALES CITADOS, SINO QUE EXIGE INFORMACIÓN SUFICIENTE PARA VERIFICAR LA PERTINENCIA CLÍNICA Y LA REALIZACIÓN EFECTIVA DEL PROCEDIMIENTO, CONDICIÓN QUE SE CUMPLE PLENAMENTE._x000D_
LA GLOSA DESCONOCE EL PRINCIPIO DE PREVALENCIA DE LO SUSTANCIAL SOBRE LO FORMAL Y VULNERA EL DEBIDO PROCESO ADMINISTRATIVO (ART. 29 C.P.)._x000D_
SE SOLICITA EL LEVANTAMIENTO TOTAL DE LA GLOSA Y EL RECONOCIMIENTO DEL VALOR FACTURADO ($3.308.879). |||||| ESE HUS NO ACEPTA GLOSA, TODA VEZ QUE LA REMODELACIÓN MENISCAL ES UNA TÉCNICA QUIRÚRGICA VÁLIDA, DISTINTA DE LA SUTURA, DEBIDAMENTE DOCUMENTADA EN LA NOTA OPERATORIA Y SOPORTADA CLÍNICAMENTE._x000D_
LA GLOSA POR SUPUESTA AUSENCIA DE CRITERIOS FORMALES NO INVALIDA LA REALIZACIÓN DEL PROCEDIMIENTO, NI CONSTITUYE CAUSAL LEGAL PARA SU NO PAGO._x000D_
SE SOLICITA EL LEVANTAMIENTO TOTAL DE LA GLOSA POR $734.656.</t>
  </si>
  <si>
    <t>ESE HUS NO ACEPTA GLOSA, DADO QUE EL TORNILLO DE ANCLAJE FUE IMPLANTADO EFECTIVAMENTE, HACE PARTE DEL PROCEDIMIENTO QUIRÚRGICO Y SE ENCUENTRA SOPORTADO EN LA HISTORIA CLÍNICA._x000D_
LA EXIGENCIA DE FACTURA DE OSTEOSÍNTESIS NO ES REQUISITO LEGAL NI CONTRACTUAL PARA EL RECONOCIMIENTO DEL INSUMO._x000D_
SE SOLICITA EL PAGO ÍNTEGRO DEL VALOR FACTURADO ($10.477.600). |||||| ESE HUS NO ACEPTA GLOSA, DADO QUE LOS TORNILLOS BIODEGRADABLES SON MATERIAL IMPLANTABLE ESENCIAL, DEBIDAMENTE UTILIZADO Y SOPORTADO CLÍNICAMENTE._x000D_
NO EXISTE OBLIGACIÓN NORMATIVA DE ADJUNTAR FACTURAS DE COMPRA O LISTAS DE PRECIOS._x000D_
SE SOLICITA EL LEVANTAMIENTO TOTAL DE LA GLOSA POR $3.021.700. |||||| ESE HUS NO ACEPTA GLOSA, TODA VEZ QUE EL CORTADOR ES UN INSUMO ESENCIAL PARA LA TÉCNICA ARTROSCÓPICA, EFECTIVAMENTE UTILIZADO Y CLÍNICAMENTE NECESARIO._x000D_
LA GLOSA POR AUSENCIA DE LISTA DE PRECIOS CARECE DE SUSTENTO NORMATIVO._x000D_
SE SOLICITA EL RECONOCIMIENTO DEL VALOR FACTURADO ($1.587.500). |||||| ESE HUS NO ACEPTA GLOSA, TODA VEZ QUE EL SISTEMA DE SUSPENSIÓN ES UN DISPOSITIVO MÉDICO IMPLANTABLE INDISPENSABLE PARA LA RECONSTRUCCIÓN DEL LCA, DEBIDAMENTE UTILIZADO Y REGISTRADO EN EL ACTO QUIRÚRGICO._x000D_
LA RESOLUCIÓN 2626 DE 2019 Y LA RESOLUCIÓN 2284 DE 2023 NO EXIGEN LA ENTREGA DE LISTAS DE PRECIOS NI FACTURAS DE COMPRA COMO REQUISITO PARA EL RECONOCIMIENTO ECONÓMICO. LA AUDITORÍA DEBE VERIFICAR USO Y PERTINENCIA, NO CONDICIONES COMERCIALES INTERNAS._x000D_
SE SOLICITA EL LEVANTAMIENTO TOTAL DE LA GLOSA POR $4.675.000. |||||| ESE HUS NO ACEPTA GLOSA, TODA VEZ QUE LA CUCHILLA DE SHAVER ES UN INSUMO INDISPENSABLE Y CONSUMIBLE EN CIRUGÍA ARTROSCÓPICA, EFECTIVAMENTE UTILIZADO Y REGISTRADO._x000D_
LA GLOSA CARECE DE SUSTENTO LEGAL._x000D_
SE SOLICITA EL RECONOCIMIENTO ÍNTEGRO DEL VALOR ($3.106.100). |||||| ESE HUS NO ACEPTA GLOSA, TODA VEZ QUE LA PUNTA DE RADIOFRECUENCIA FUE UTILIZADA PARA CONTROL TISULAR Y HEMOSTASIA, SIENDO UN INSUMO CLÍNICAMENTE NECESARIO._x000D_
LA EXIGENCIA DE SOPORTES COMERCIALES NO ES PROCEDENTE._x000D_
SE SOLICITA EL LEVANTAMIENTO DE LA GLOSA POR $5.209.000.</t>
  </si>
  <si>
    <t>ESE HUS NO ACEPTA GLOSA, POR CUANTO ESTOS MATERIALES FUERON UTILIZADOS COMO PARTE INTEGRAL DEL ACTO QUIRÚRGICO Y SU RECONOCIMIENTO SE ENCUENTRA SUBSUMIDO DENTRO DEL PROCEDIMIENTO, SIN QUE EXISTA DOBLE FACTURACIÓN NI PERJUICIO ECONÓMICO._x000D_
LA GLOSA DEBE LIMITARSE EXCLUSIVAMENTE AL ÍTEM OBJETADO Y NO AL PROCEDIMIENTO GLOBAL. |||||| ESE HUS NO ACEPTA GLOSA, TODA VEZ QUE SI BIEN LOS GUANTES SE ENCUENTRAN INCLUIDOS DENTRO DE LOS MATERIALES DE CURACIÓN CONFORME AL DECRETO 780 DE 2016, SU FACTURACIÓN SE REALIZÓ COMO PARTE DEL PAQUETE QUIRÚRGICO, SIN GENERAR DOBLE COBRO, Y CORRESPONDE A UN ERROR DE CLASIFICACIÓN CONTABLE QUE NO INVALIDA EL PROCEDIMIENTO PRINCIPAL._x000D_
EN TODO CASO, ESTA GLOSA NO PUEDE EXTENDERSE NI AFECTAR EL RECONOCIMIENTO DE LOS ACTOS QUIRÚRGICOS E INSUMOS IMPLANTABLES ASOCIADOS.</t>
  </si>
  <si>
    <t>CL0101 ESE HUS ACEPTA GLOSA PARCIAL POR $1.594.320 POR ESTANCIA INACTIVA, 2 DIAS POR INOPORTUNIDAD EN RESPUESTA A INTERCONSULTA POR ANESTESIA, SOLICITADA EL DIA 24 Y CON RESPUESTA EL DIA 27, POR LO QUE SE CONSIDERA DIA 25 -26 SIN JUSTIFICACION ESTANCIA INACTIVA EN ESPERA DE CONCEPTO DE LA ESPECIALIDAD PARA DEFINIR CONDUCTA POR ORTOPEDIA, Y 2 DIAS 30 Y 31 EN ESPERA DE ASIGNACION DE FRANJA QUIRURGICA CON APTO POR ANESTESIA Y GERIATRIA Y SOLICITUD DE MAOS DESDE EL DIA 28 Y PROGRAMADO PARA EL DIA 1, SIN EMBARGO NO SE CONSIDERA ESTANCIA INACTIVA DEL 28 Y 29 DADO TIEMPO INSTITUCIONAL ESTABLECIDO PARA DISPONIBILIDAD DE MAOS. // CL0101 ESE HUS NO ACEPTA GLOSA A DIA DE ESTANCIA JUSTIFICADO, NO SE CONSIDERA INACTIVO DADO POR LA GARANTIA DE LA RESPUESTA A LA INTERCONSULTA DIA 27.</t>
  </si>
  <si>
    <t xml:space="preserve">CL0101 ESE HUS ACEPTA GLOSA POR $929.898 DIFERENCIA ENTRE ESTANCIA EN UCI PLENA Y UCI INTERMEDIA, UNA VEZ REVISADA LA HISTORIA CLINICA SE EVIDENCIA PACIENTE HEMODINAMICAMENTE ESTABLE, SIN SOPORTE VASOPRESOR, SIN SOPORTE DE OXIGENO DE ALTO FLUJO, EN MANEJO DE QUEMADURAS CON INDICACION DE MANEJO EN UNIDAD DE QUEMADOS, NO CUMPLE CRITERIOS PARA PERMANENCIA EN UNIDAD DE CUIDADO INTENSIVO. // CL0101 ESE HUS NO ACEPTA GLOSA A ESTANCIA PERTINENTE Y JUSTIFICADA EN PACIENTE EN MANEJO DE QUEMADURAS COMPLEJAS EN MAS DEL 35%SCT, QUIEN EL DIA 28 PACIENTE CON ADECUADA EVOLUCION SIN EMBARGO INDICAN LAVADO Y DEBRIDAMIENTO POR PARTE DE CIRUGIA PLASTICA, EL DIA 30 CON APTO DE ANESTESIA, PACIENTE QUIEN NO SE BENEFICIA DE MANEJO AMBULATORIO DADO EL REQUERIMIENTO DE INTERVENCION QUIRRURGICA PARA MANEJO DE HERIDAS, EL DIA 2 SE HACE CIERRE PARCIAL MAS NO EGRESO.   </t>
  </si>
  <si>
    <t xml:space="preserve">CL0101 ESE HUS ACEPTA GLOSA PARCIAL POR $1.195.740 POR ESTANCIA DE LOS DIAS 27-29-30, TENIENDO EN CUENTA QUE PACIENTE YA TENIA CONDUCTA DEFINIDA DE PROCEDIMIENTO CON APTO DE ANESTESIA Y CONCEPTO DE MEDICINA INTERNA, EN ESPERA DE ASIGNACION DE FRANJA QUIRURGICA, POR LO QUE SE CONSIDERA ESTANCIA INACTIVA INJUSTIFICADA POR INOPORTUNIDAD QUIRURGICA, LOS DEMAS DIAS SE CONSIDERA PERTINENTE EN MANEJO Y ESTABILIZACION DE CIFRAS TENSIONALES. // CL0101 ESE HUS NO ACEPTA GLOSA POR EL DIA 28 PACIENTE EN ESTUDIOS Y DEFINICION DE MANEJO QUIRURGICOS, ADEMAS CON CIFRAS TENSIONALES FUERA DE METAS EN COMPENSACION POR LO QUE SE CONSIDERA DIAS PERTINENTES. </t>
  </si>
  <si>
    <t>FacturaN</t>
  </si>
  <si>
    <t>Num_Nota</t>
  </si>
  <si>
    <t>Valor_Nota</t>
  </si>
  <si>
    <t>Naturaleza_Nota</t>
  </si>
  <si>
    <t>Fecha_Nota</t>
  </si>
  <si>
    <t xml:space="preserve">AÑO </t>
  </si>
  <si>
    <t>MES</t>
  </si>
  <si>
    <t>ObservacionN</t>
  </si>
  <si>
    <t>C</t>
  </si>
  <si>
    <t xml:space="preserve">GLOSA VIG ACTUAL | Mixta | SE REALIZA NC SEGÚN TRAMITE DE OBJECION 138360 DE 17/10/2025 DONDE: FA0101 ESE HUS ACEPTA GLOSA PARCIAL POR $ 797.160 CORRESPONDIENTE A ESTANCIA DEL DIA 27 Y 28 POR INOPORTUNIDAD EN ASIGNACION DE FRANJA QUIRURGICA, INGRESA EL DIA 24, SE VALORA POR ESPECIALIDAD SE SOLICITAAN ESTUDIOS, EL DIA 25 CON TAC CON INDICACION DE MANEJO QUIRURGICO SE SOLICITA VALORACION PREANESTESICA EL DIA 26 Y ESE MISMO DIA SE DA APTO POR ANESTESIA, CON FECHA TENTATIVA DE 28 DE INTERVENCION LA CUAL CANCELAN Y DEJAN PARA EL DIA 29. </t>
  </si>
  <si>
    <t xml:space="preserve">DISPENSARIO MEDICO BUCARAMANGA   </t>
  </si>
  <si>
    <t>GLOSA VIG ACTUAL | Mixta | SE REALIZA NC SEGÚN TRAMITE DE OBJECION 138700 DE 23/10/2025 DONDE: CL01801- ESE HUS ACEPTA GLOSA N$ $ 924.255, POR CONCEPTO DE TOMOGRAFIA COMPUTADA DE ABDOMEN Y PELVIS (ABDOMEN TOTAL) SE ACEPTA DE ACUERDO A MANEJO, YA  QUE CON LA TOMOGRAFIA REALIZADA EL DIA 16 DE AGOSTO DEL 2025 SE REALIZA DIAGNOSTICO.  
SE EVIDENCIA QUE SE REALIZO TOMOGRAFIA ABDOMEN Y PELVIS CON CONTRASTE ENDOVENOSO: SE PRACTICAN REGISTROS DESDE LA BASE DEL TORAX A LA SÍNFISIS PUBICA MUESTRAN IMÁGENES AÉREAS ALREDEDOR DE LA PRÓSTATA EN ESTRECHO PÉLVICO. IMÁGENES AÉREAS ALREDEDOR DE LA PRÓSTATA EN EL ESTRECHO PÉLVICO, LÍQUIDO ASCÍTICO REFERIDO PERIHEPÁTICO PERIESPLÉNICO Y EN GOTERAS PARIETOCÓLICAS, ALTERACIÓN DEL TAMAÑO, Y DE LA DENSIDAD DEL PÁNCREAS A CORRELACIONAR CON ANTECEDENTES CLÍNICOS, SE DESCARTAR PANCREATITIS; ESPLENOMEGALIA, COLECISTITIS, HEPATOPATÍA CRÓNICA PROBABLEMENTE CIRROSIS, ESCASA CANTIDAD DE LÍQUIDO PLEURAL EN LAS BASES PULMONARES EN FORMA BILATERAL. ALTERACIÓN EN LA DENSIDAD DE LA GRASA PERITONEAL DEBIÉNDOSE DESCARTAR LA POSIBILIDAD DE PROCESO INFLAMATORIO PERITONEAL Y MENOS PROBABLE UNA LESIÓN PROLIFERATIVA CON COMPROMISO PERITONEAL, EN LA COLUMNA SE DEMUESTRA QUE HAY DISMINUCIÓN DEL ESPACIO INTERVERTEBRAL L5/S1 CON OSTEOFITO MARGINAL INCIPIENTE RELACIÓN CON CAMBIO ESPONDILÓSICOS; LITIASIS EN GRUPO CALICIAL INFERIOR DE RIÑÓN DERECHO QUE MIDEN APROXIMADAMENTE 3 MM EN NÚMERO 2;, EL DIA 17 TOMAN OTRO TAC EL CUAL REALIZAN EL MISMO REPORTE, NO SE JUSTIFICA LA TOMA DE DOS TAC EN MENOS DE 48 HORAS CUANDO EL PRIMERO TIENE UN REPORTE CLARO EL CUAL CIRUGIA GENERAL TOMA DECISIONES.</t>
  </si>
  <si>
    <t>GLOSA VIG ACTUAL | Medico | SE REALIZA NC SEGÚN TRAMITE DE OBJECION 140593 DE 31/10/2025 DONDE: CL0101 ESE HUS ACEPTA GLOSA POR $797.160 CORRESPONDIENTE A ESTANCIA INACTIVA INJUSTIFICADA DE LOS DIAS 5 Y 6 EN ESPERA DE MATERIAL (AIRPEN) SEGUN LO VERIFICADO EN LA HISTORIA CLINICA Y SE DA EGRESO Y SE CITA PAARA PROCEDIMIENTO.
PACIENTE INGRESA EL DIA 4 SE DIAGNOSTICA FRACTURA ADEMAS DE LESION DE TEJIDOS BLANDOS CIRUGIA PLASTICA INDICAA PROCEDIMIENTO Y SOLICITA AIRPEN, DIAS 5-6-7 EN ESPERA DE TURNO QUIRURGICO UNA VEZ SE GAARANTICE LO SOLICITADO Y EL DIA 8 SE DA EGRESO A SOLICITUD DEL PACIENTE POR PROCEDIMIENTO QUE YA TIENE PROGRAMADO PARA EL DIA 9 POR LO QUE CITAN NUEVAMNETE 5 DIAS DESPUES DEL PROCEDIMIENTO. // CL0101 ESE HUS ACEPTA GLOSA POR $797.160 POR ESTANCIA INACTIVA DE LOS DIAS 5,6 Y 7 EN ESPERA DE MATERIAL (AIRPEN).  _x000D_
 PACIENTE INGRESA EL DIA 4 SE DIAGNOSTICA FRACTURA ADEMAS DE LESION DE TEJIDOS BLANDOS CIRUGIA PLASTICA INDICA PROCEDIMIENTO Y SOLICITA AIRPEN, DIAS 5-6-7 EN ESPERA DE TURNO QUIRURGICO UNA VEZ SE GARANTICE LO SOLICITADO Y EL DIA 8 SE DA EGRESO A SOLICITUD DEL PACIENTE POR PROCEDIMIENTO QUE YA TIENE PROGRAMADO PARA EL DIA 9 POR LO QUE CITAN NUEVAMNETE 5 DIAS DESPUES DEL PROCEDIMIENTO.</t>
  </si>
  <si>
    <t>GLOSA VIG ACTUAL | Medico | SE REALIZA NC SEGÚN TRAMITE DE OBJECION 140597 DE 31/10/2025 DONDE: CL0301 ESE HUS ACEPTA GLOSA POR 79.407 CONSULTA DE URGENCIAS, EN PACIENTE CITADA PARA CESAREA PROCEDIMIENTO YA PROGRAMADO. NO PERTINENTE NO JUSTIFICADO NI SOPORTADO SEGUN EL DECRETO 2423/1996. // CL0301 ESE HUS ACEPTA GLOSA POR $82.228 CONSULTA DE PRIMERA VEZ EN PEDIATRIA PARA RECIEN NACIDO, EN PACIENTE CITADA PARA CESAREA SERVICIO NO PERTINENTE NO JUSTIFICADO NI SOPORTADO SEGUN EL DECRETO 2423/1996. ARTICULO 48 PARAGRAFO 4</t>
  </si>
  <si>
    <t>GLOSA VIG ACTUAL | Medico | SE REALIZA NC SEGÚN TRAMITE DE OBJECION 140598 DE 31/10/2025 DONDE: CL0601 ESE HUS ACEPTA GLOSA POR $42.800 INSUMO NO FACTURABLE, PACIENTE INGRESA SOLO A PROCEDIMIENTO, SEGUN REGISTRO EN HC. INCLUIDO EN MATERIALES DE CIRUGIA</t>
  </si>
  <si>
    <t xml:space="preserve">GLOSA VIG ACTUAL | Medico | SE REALIZA NC SEGÚN TRAMITE DE OBJECION 140601 DE 31/10/2025 DONDE: CL0801 ESE HUS ACEPTA GLOSA POR $108.024 CORRESPONDIENTE A TRANSFUSION, PROCEDIMIENTO REALIZADO POR PERSONAL DE ENFERMERIA SEGUN LO EVIDENCIADO EN LAS NOTAS, NO FACTURABLE. </t>
  </si>
  <si>
    <t>GLOSA VIG ACTUAL | Mixta | SE REALIZA NC SEGÚN TRAMITE DE OBJECION 140602 DE 31/10/2025 DONDE: CL0101 ESE HUS ACEPTA GLOSA PARCIAL POR $1.594.320 POR ESTANCIA INACTIVA, 2 DIAS POR INOPORTUNIDAD EN RESPUESTA A INTERCONSULTA POR ANESTESIA, SOLICITADA EL DIA 24 Y CON RESPUESTA EL DIA 27.
POR LO QUE SE CONSIDERA DIA 25 -26 SIN JUSTIFICACION ESTANCIA INACTIVA EN ESPERA DE CONCEPTO DE LA ESPECIALIDAD PARA DEFINIR CONDUCTA POR ORTOPEDIA, Y 2 DIAS 30 Y 31 EN ESPERA DE ASIGNACION DE FRANJA QUIRURGICA CON APTO POR ANESTESIA Y GERIATRIA Y SOLICITUD DE MAOS DESDE EL DIA 28 Y PROGRAMADO PARA EL DIA 1, SIN EMBARGO NO SE CONSIDERA ESTANCIA INACTIVA DEL 28 Y 29 DADO TIEMPO INSTITUCIONAL ESTABLECIDO PARA DISPONIBILIDAD DE MAOS.</t>
  </si>
  <si>
    <t>GLOSA VIG ACTUAL | Mixta | SE REALIZA NC SEGÚN TRAMITE DE OBJECION 141418 DE 14/11/2025 DONDE: FA0101 ESE HUS ACEPTA GLOSA POR $398.580 POR ESTANCIA 1 DIA, NO FACTURABLE, PACIENTE CON INGRESO EL DIA 13 Y SE INDICA EGRESO EL DIA 18 POR LO TANTO SON 5 DIAS Y SE FACTURARON 6 DIAS.</t>
  </si>
  <si>
    <t>GLOSA VIG ACTUAL | Medico | SE REALIZA NC SEGÚN TRAMITE DE OBJECION 141822 DE 27/11/2025 DONDE: CL5801 ESE HUS ACEPTA GLOSA PARCIAL POR $1.269.690 POR RELIQUIDACION DE PROCEDIMIENTO REALIZADO FISTULECTOMIA COMO PRINCIPAL Y DADO LOS HALLAZGOS REALIZADA LA ESCISION DE TEJIDO PERIANAL DESCRITA Y SOPORTADA EN REGISTRO QUIRURGICO. QUEDADO AJUSTADO ASI: $626.340 POR DERECHOS DE SALA FACTURADOS AL 100% EN EN PROCEDIMIENTO PRINCIPAL, NO HAY LUGAR A COBRO EN SEGUNDO PROCEDIMIENTO EN ATENCION A DECRETO 2423/1996  Y $643.350 POR HONORARIOS DE CIRUJANO AJUSTADO AL 50% TENIENDO EN CUENTA QUE SE FACTURO AL 100% EN PROCEDIMIENTO PRINCIPAL, EN ATENCION A DECRETO 2423/1996</t>
  </si>
  <si>
    <t>GLOSA VIG ACTUAL | Medico | SE REALIZA NC SEGÚN TRAMITE DE OBJECION 141819 DE 27/11/2025 DONDE: CL0701 ESE HUS ACEPTA GLOSA POR $3700 POR ONDANSETRON MEDICAMENTO NO JUSTIFICADO NI SOPORTADO EN ATENCION A LO DESCRITO COMO MOTIVO DE CONSULTA Y ENFERMEDAD ACTUAL, PACIENTE CON CEFALEA CRONICA AGUDIZADA CON MAREO DOLOR LUMBAR Y PARESTESIAS EN BRAZO DERECHO, VALORADA POR NEUROCIRUGIA DE TURNO QUIEN REFIERE PACINETE DEBE INGRESAR PARA TOMA DE PARACLINICOS E IMAGENES DIAGNOSTICAS, SE INGRESA PARA MANEJO INTEGRAL, SE ESTA ATENTO A CAMBIOS.</t>
  </si>
  <si>
    <t>GLOSA VIG ACTUAL | Mixta | SE REALIZA NC SEGÚN TRAMITE DE OBJECION 141820 DE 27/11/2025 DONDE: CL2301 ESE HUS ACEPTA GLOSA PARCIAL POR $238614 CORRESPONDIENTE A RELIQUIDACION DE PROCEDIMIENTO LISIS DE ADHERENCIAS TENIENDO EN CUENTA PROCEDIMIENTO PRINCIPAL RESECCION DE TUMOR DE OVARIO Y SALPINGUECTOMIA UNILATERAL, POR LO TANTO SE DEJA LISIS DE ADHRENCIAS COMO 3ER PROCEDIMIENTO ANTE HALLAZGO QUIRURGICO SOPORTADO Y DESCRITA SU REALIZACION QUEDANDO AL 50% HONORARIOS DE CIRUJANO, ANESTESIOLOGO Y AYUDANTE QUIRURGICO, SIN DERECHO A COBRO ADICIONAL POR MATERIALES Y DERECHOS DE SALA. EN ATENCION A DECRETO 2423/1996.</t>
  </si>
  <si>
    <t>GLOSA VIG ACTUAL | Medico | SE REALIZA NC SEGÚN TRAMITE DE OBJECION 146840 DE 03/12/2025 DONDE: CL0801 ESE HUS ACEPTA GLOSA POR $68.120 LACTATO ARTERIAL ESTUDIO SOLICITADO AL INGRESO NO JUSTIFICADO POR MEDICO GENERAL QUIEN LO SOLICITA CON EL FIN DE DAR SOPORTE A LA INDICACION, ADEMAS NO SE REGISTRA SU INTERPRETACION O APORTE AL MANEJO POR LO QUE NO SE CONSIDERA PERTINENTE SU INDICACION.</t>
  </si>
  <si>
    <t xml:space="preserve">GLOSA VIG ACTUAL | Medico | SE REALIZA NC SEGÚN TRAMITE DE OBJECION 146903 DE 04/12/2025 DONDE: CL0101 ESE HUS ACEPTA GLOSA PARCIAL POR $1.195.740 POR ESTANCIA DE LOS DIAS 27-29-30, TENIENDO EN CUENTA QUE PACIENTE YA TENIA CONDUCTA DEFINIDA DE PROCEDIMIENTO CON APTO DE ANESTESIA Y CONCEPTO DE MEDICINA INTERNA, EN ESPERA DE ASIGNACION DE FRANJA QUIRURGICA, POR LO QUE SE CONSIDERA ESTANCIA INACTIVA INJUSTIFICADA POR INOPORTUNIDAD QUIRURGICA, LOS DEMAS DIAS SE CONSIDERA PERTINENTE EN MANEJO Y ESTABILIZACION DE CIFRAS TENSIONALES. </t>
  </si>
  <si>
    <t xml:space="preserve">GLOSA VIG ACTUAL | Medico | SE REALIZA NC SEGÚN TRAMITE DE OBJECION 146908 DE 04/12/2025 DONDE: CL0101 ESE HUS ACEPTA GLOSA PARCIAL POR $797.160 POR 2 DIAS DE ESTANCIA INACTIVA DE LOS DIAS 30 Y 1 EN ESPERA DE PROGRAMACION DE CIRUGIA, EN PACIENTE QUE INGRESA EL DIA 27 VALORA ORTOPEDIA INDICA MANEJO QUIRURGICO, SOLICITA VALORACION POR ANESTESIA, GERIATRIA Y PSIQUIATRIA DADO ANTECEDENTES, EL DIA 28 CON APTO POR LAS ESPECIALIDADES  EN ESPERA DE ASIGNACION DE FRANJA, EL DIA 29 EN ESPERA DE ASIGNACION DE FRANJA. PACIENTE PROGRAMADO PARAA EL DIA 2. ESTANCIA INACTIVA DEL 30 Y 1. </t>
  </si>
  <si>
    <t xml:space="preserve">GLOSA VIG ACTUAL | Medico | SE REALIZA NC SEGÚN TRAMITE DE OBJECION 146910 DE 04/12/2025 DONDE: CL0801 ESE HUS ACEPTA GLOSA POR $1.195.740 POR ESTANCIA INACTIVA DEL 18-19 Y 20 PACIENTE CON INDICACION DE PROCEDIMIENTO DE URETEROLITOTOMIA, CON APTO DE ANESTESIA EL DIA 17, E INDICAN SE PROGRAMA EN FRANJA QUIRURGICA DEL DIA 22, POR LO ANTERIOR SE CONSIDERA ESTANCIA INJUSTIFICADA INACTIVA EN PACIENTE ESTABLE COMPENSADO SIN MANEJO ADICIONAL EN ESPERA DE PROCEDIMIENTO. </t>
  </si>
  <si>
    <t xml:space="preserve">GLOSA VIG ACTUAL | Medico | SE REALIZA NC SEGÚN TRAMITE DE OBJECION 146914 DE 04/12/2025 DONDE: CL0801 ESE HUS ACEPTA GLOSA POR $68.120 ESTUDIO RELACION LACTATO PIRUVATO, UNA VEZ REVISADA LA HISTORIA CLINICA SE EVIDENCIA ESTUDIO SOLICITADO PERO NO REPORTADO, NO INTERPRETADO POR LO TANTO NO PERTINENTE NI JUSTIFICADO EN LA HISTORIA CLINICA.  </t>
  </si>
  <si>
    <t>GLOSA VIG ACTUAL | Mixta | SE REALIZA NC SEGÚN TRAMITE DE OBJECION 146829 DE 03/12/2025 DONDE: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 //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 //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 //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 //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t>
  </si>
  <si>
    <t xml:space="preserve">GLOSA VIG ACTUAL | Mixta | SE REALIZA NC SEGÚN TRAMITE DE OBJECION 146897 DE 04/12/2025 DONDE: CL0101 ESE HUS ACEPTA GLOSA POR $929.898 DIFERENCIA ENTRE ESTANCIA EN UCI PLENA Y UCI INTERMEDIA, UNA VEZ REVISADA LA HISTORIA CLINICA SE EVIDENCIA PACIENTE HEMODINAMICAMENTE ESTABLE, SIN SOPORTE VASOPRESOR, SIN SOPORTE DE OXIGENO DE ALTO FLUJO, EN MANEJO DE QUEMADURAS CON INDICACION DE MANEJO EN UNIDAD DE QUEMADOS, NO CUMPLE CRITERIOS PARA PERMANENCIA EN UNIDAD DE CUIDADO INTENSIVO. </t>
  </si>
  <si>
    <t xml:space="preserve">GLOSA VIG ACTUAL | Mixta | SE REALIZA NC SEGÚN TRAMITE DE OBJECION 146917 DE 04/12/2025 DONDE: CL2301 ESE HUS ACEPTA GLOSA POR $336.171 POR PROCEDIMIENTO SALPINGUECTOMIA UNILATERAL NO FACTURABLE EN ATENCION A PROCEDIMIENTO PRINCIPAL, TENIENDO EN CUENTA QUE LO REALIZADO SEGUN LA DESCRIPCION QUIRURGICA Y LO REGISTRADO POR EL ESPECIALISTA ES UNA HISTERECTOMIA ABDOMINAL TOTAL AMPLIADA POR LAPAROTOMIA, Y EN ESTE CASO CUANDO ES AMPLIADA ESTA INCLUYE EXTIRPACION DE OVARIO Y TROMPAS DE FALOPIO, POR LO TANTO NO ES FACTURABLE ADICIONAL. // CL2301 ESE HUS ACEPTA GLOSA POR $336.171 POR PROCEDIMIENTO RESECCION DE TUMOR DE OVARIO NO FACTURABLE EN ATENCION A PROCEDIMIENTO PRINCIPAL, TENIENDO EN CUENTA QUE LO REALIZADO SEGUN LA DESCRIPCION QUIRURGICA Y LO REGISTRADO POR EL ESPECIALISTA ES UNA HISTERECTOMIA ABDOMINAL TOTAL AMPLIADA POR LAPAROTOMIA, Y EN ESTE CASO CUANDO ES AMPLIADA ESTA INCLUYE EXTIRPACION DE OVARIO Y TROMPAS DE FALOPIO, POR LO TANTO NO ES FACTURABLE ADICIONAL. </t>
  </si>
  <si>
    <t xml:space="preserve">GLOSA VIG ACTUAL | Mixta | SE REALIZA NC SEGÚN TRAMITE DE OBJECION 147185 DE 09/12/2025 DONDE: CL0101 ESE HUS ACEPTA GLOSA PARCIAL POR $1.594.320 POR 4 DIAS DE ESTANCIA INACTIVA EN ESPERA DE CONSECUSION DE MATERIAL DE OTS, SEGUN LO DESCRITO EN LA HISTORIA CLINICA, PACIENTE CON INDICACION DE SEGUNDO TIEMPO, CON SOLICITUD DE MATERIAL, CON APTO DE ANESTESIA DESDE EL DIA 12, SE PROGRAMA PROCEDIMIENTO PARA  EL DIA 17, POR LO QUE SE CONSIDERA DIAS 13,14,15,16 DE ESTANCIA INACTIVA INJUSTIFICADA. // ESE HUS ACEPTA GLOSA POR $ 1.288.699 DE MVC EN PROCEDIMIENTOS QX DILATACION DE LARINGE, SEGUN CARTA DE INTENCION ENTRE LAS PARTES, EXCEL OFERTAS TARIFAS SUBIDAS AL SECOP. SE EVIDENCIA QUE SE FACTURO A MAYOR VALOR, SE REALIZA EL AJUSTE A LA TARIFA PACTADA </t>
  </si>
  <si>
    <t xml:space="preserve">GLOSA VIG ACTUAL | Administrativo | SE REALIZA NC SEGÚN TRAMITE DE OBJECION 147714 DE 10/12/2025 DONDE: ESE HUS ACEPTA GLOSA  $ 4,700 EN AYUDA DIAGNOSTICA - GLUCOMETRIA SE EVIDENCIA QUE NO HAY SOPORTE DE LA SOLICITUD, NI INTERPRETACION DE LA MISMA. // ESE HUS ACEPTA GLOSA  $ 4,700 EN AYUDA DIAGNOSTICA - GLUCOMETRIA SE EVIDENCIA QUE NO HAY SOPORTE DE LA SOLICITUD, NI INTERPRETACION DE LA MISMA.  </t>
  </si>
  <si>
    <t xml:space="preserve">GLOSA VIG ACTUAL | Administrativo | SE REALIZA NC SEGÚN TRAMITE DE OBJECION 147705 DE 10/12/2025 DONDE: ESE HUS ACEPTA GLOSA  $ 4,700 EN AYUDA DIAGNOSTICA - GLUCOMETRIA SE EVIDENCIA QUE NO HAY SOPORTE DE LA SOLICITUD, NI INTERPRETACION DE LA MISMA.  </t>
  </si>
  <si>
    <t>TARIFAS</t>
  </si>
  <si>
    <t>FACTURACION</t>
  </si>
  <si>
    <t>PERTINENCIA</t>
  </si>
  <si>
    <t>SOPORTES</t>
  </si>
  <si>
    <t>ADMINISTRATIVA</t>
  </si>
  <si>
    <t>MIXTA</t>
  </si>
  <si>
    <t>OTRO</t>
  </si>
  <si>
    <t>SE GLOSA MAYOR VALOR COBRADO  IPS SIN ACUERDO DE VOLUNTADES VIGENTE SE RECONOCE SOAT UVB SEGUN DECRETO 1760 DE 2022. SE AJUSTA LA DIFERENCIA</t>
  </si>
  <si>
    <t>SE GLOSA ECOGRAFIA PELVICA TRASABDOMINAL NO PERTINENTE Y NO SOPORTADA DE ACUERDO A LO CONSIGNADO EN HISTORIA CLINICA EL CUAL LE REALIZAN TAC DE ABDOMEN TOTAL Y ECOGRAFIA PELVICA TRASVAGINAL Y DEFINIR CONDUCTA</t>
  </si>
  <si>
    <t>SE GLOSA ESTUDIO DE COLORACION BASICA EN ESPECIMEN DE RECONOCIMIENTO NO SE EVIDENCIA SOPORTE O RESULTADO</t>
  </si>
  <si>
    <t>SE GLOSA AYUDA DIAGNOSTICA HLAB 27/B7 NO SE EVIDENCIA SOPORTE O RESULTADO</t>
  </si>
  <si>
    <t>MAYOR VALOR COBRADO EN UROCULTIVO. EN CONTRATO 312 ENTRE IPS Y DISAN EL VALOR ESTA ESTIPULADO EN $ 87.952. SE OBJETA LA DIFERENCIA</t>
  </si>
  <si>
    <t>MAYOR VALOR COBRADO PRUEBA NO TREPONEMICA MANUAL  EN CONTRATO 312 ENTRE IPS Y DISAN EL VALOR ESTA ESTIPULADO EN $ 21.394 SE OBJETA LA DIFERENCIA.$3826</t>
  </si>
  <si>
    <t>TA5801  SE GLOSA BLOQUEO SIMPATICO REGIONAL (CERVICAL  TORACICO O LUMBAR)    MAYOR VALOR SE ACEPTA VALOR UVB SEGUN NORMATIVIDAD VIGENTE .</t>
  </si>
  <si>
    <t>SO0201   SE GLOSA ASISTENCIA INTRAHOSPITALARIA POR EQUIPO INTERDISCIPLINARIO  NO SE EVIDENCIA REGISTRO ( ANEXO) DE LOS REPORTES  LO CUAL ES IMPOSIBLE REALIZAR VERIFICACION Y AUDITORIA INTEGRAL.</t>
  </si>
  <si>
    <t>TA0801 SE GLOSA HEMOCULTIVO AEROBIO AUTOMATIZADO CADA MUESTRA  MAYOR VALOR SE ACEPTA  VALOR UVB SEGUN NORMATIVIDAD VIGENTE  .</t>
  </si>
  <si>
    <t>CL0201  SE GLOSA INTERCONSULTA POR ESPECIALISTA EN MEDICINA INTERNA  LA VALORACION O INTERCONSULTA TIENE COMO FINALIDAD  DEFINIR UNA CONDUCTA  PARA EL MANEJO DEL PACIENTE SE RECONOCE EL CUIDADO DIARIO INTRAHOSPITALARIO POR MEDICINA ESPECIALIDADA  SI APLICA LA CONDICION .</t>
  </si>
  <si>
    <t>TA0101  SE GLOSA 1 INTERNACION ADULTOS COMPLEJIDAD ALTA HABITACION INDIVIDUAL (INCLUYE AISLAMIENTO GENERAL Y PARA TRASPLANTE DE CELULAS PROGENITORAS)  SOBREFACTURACION NO PERTINENTE DE ACUERDO AL TIEMPO DE ESTANCIA DETALLADA EN LA EPICRISIS .</t>
  </si>
  <si>
    <t>SE OBJETA MOT SIN SOPORTE DE FACTURA DE COMPRA EN ATENCION SIN CONTRATO  NO PROCEDE TARIFAS CON SOBRECOSTO  SE RECONOCE VALOR FACTURA SEGUN MANUAL TARIFARIO SOAT DE 6 TORNILLOS DE CORTICAL AUTORROSCANTE  ESTE VALOR SE AJUSTARA SEGUN SE VERIFIQUE SU COSTO DE COMPRA</t>
  </si>
  <si>
    <t>GLOSA GENEXPERT 2/2 SIN SOPORTE</t>
  </si>
  <si>
    <t>GLOSA ESTANCIA UCI INTERMEDIOS CON HAB SERVICIO HOSPITALIZACION DIAS 17 Y 18 PACIENTE CON ORDEN DE TRASLADO A PISO DEL 17  CANCELADA POR DOLOR ABDOMINAL  SIN EMBARGO PACIENTE SE ENCONTRABA ESTABLE HEMODINAMICAMENTE  CON ESTADO NEUROLOGICO RECUPERADO  SIN SIGNOS DE SIRS  NI CRITERIOS PARA ESTANCIA EN UNIDAD DE CUIDADOS INTERMEDIOS</t>
  </si>
  <si>
    <t>GLOSA TAC DE ABDOMEN 1/2 NO PERTINENTE  NO SE JUSTIFICA EN HISTORIA CLINICA SOLICITUD DE EXAMEN DE CONTROL  PACIENTE CON CONCEPTO DE CX GENERAL DE MASA PANCREATICA QUE NO REQUERIA MANEJO ADICIONAL</t>
  </si>
  <si>
    <t>SE OBJETA PROCEDIMIENTO QUIRURGICO NO FACTURABLE NI RECONOCIDI POR NOTA OPERATORIA Y TECNICA QUIRURGICA  ES INHERENTE A LA RECOSNTRUCCION DEL MUSCULO AFECTADO Y CORRECION DE FRACTURA</t>
  </si>
  <si>
    <t>SE OBJETA INSUMO NO RELACIONADO EN NOTA OPERATORIA O DESCRIPCION QUIRURGICA SU UTILIZACION</t>
  </si>
  <si>
    <t>SE OBJETAN 3 DIAS DE ESTANCIA CORRESPONDIENTES A LOS DIAS 26 AL 28 DE JULIO POR INOPORTUNIDA QUIRURGICA NO JUSTIFICADA EN PACIENTE CON INGRESO EL DIA 24 DE JULIO CON VALORACION Y APTITUD PARA CX DESDE LAS SIGUIENTES 48 HORAS Y SIN SOPORTE EN EPICRISIS DE SU DILACION QUIRURGICA HASTA EL DIA 29 DEL MISMO MES  SE RECONOCEN 2 DIAS PRE Y 2 DIAS POP</t>
  </si>
  <si>
    <t>SE OBJETA MOT SIN SOPORTE DE FACTURA DE COMPRA EN ATENCION SIN CONTRATO  NO PROCEDE TARIFAS CON SOBRECOSTO  SE RECONOCE VALOR FACTURA SEGUN MANUAL TARIFARIO SOAT PLACA DE HUMERO</t>
  </si>
  <si>
    <t>SE OBJETA MOT SIN SOPORTE DE FACTURA DE COMPRA EN ATENCION SIN CONTRATO  NO PROCEDE TARIFAS CON SOBRECOSTO  SE RECONOCE VALOR FACTURA SEGUN MANUAL TARIFARIO SOAT 8 TORNILLOS BLOQUEADOS</t>
  </si>
  <si>
    <t>SE OBJETA MOT SIN SOPORTE DE FACTURA DE COMPRA EN ATENCION SIN CONTRATO  NO PROCEDE TARIFAS CON SOBRECOSTO  SE RECONOCE VALOR FACTURA SEGUN MANUAL TARIFARIO SOAT  2 SUTURAS TRENZADAS</t>
  </si>
  <si>
    <t>SE GLOSA CUIDADO O MANEJO POR MEDICINA ESPECIALIZADAPACIENTE QUIRURGICO NO AMERITA SU COBRO</t>
  </si>
  <si>
    <t>SE GLOSA MVC EN AORTOGRAMA  SE RECONOCE CODIGO SOAT 21434  PROCEDIMIENTO QUE CUENTA CON CODIGO SOT  POR LO TANTO NO APLICAN TARIFAS PROPIAS  ARTICULO 87 DECRETO 2423</t>
  </si>
  <si>
    <t>SE GLOSA MVC EN PANANGIOGRAFIA  SE RECONOCE CODIGO SOAT 21422  MAS EL 45%  PROCEDIMIENTO QUE CUENTA CON CODIGO SOAT  POR LO TANTO NO APLICAN TARIFAS PROPIAS  ARTICULO 87 DECRETO 2423</t>
  </si>
  <si>
    <t>SE OBJETA APLICACION DE HEMODERIVADO NO FACTURABLE  REALIZADO POR PERSONAL DE ENFERMERIA INCLUIDO EN LA ESTANCIA</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</si>
  <si>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ESTANCIA EN HABILITACION UNIPERSONAL 9 DIAS.</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</si>
  <si>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ESTANCIA EN HABITACION MULTIPLE.</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</si>
  <si>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ESQUEMA ANTIBIOTICO CON: VANCOMICINA AMPOLLA.</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</si>
  <si>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CUIDADO ) INTRAHOSPITALARIO POR MEDICINA ESPECIALIZADA  CANTIDAD 11.</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</si>
  <si>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CATETER MULTIPROPOSITO.</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</si>
  <si>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INSECION DE CATETER YUGULAR.</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</si>
  <si>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ECOGRAFIA COMO GUIA DE PROCEDIMIENTO.</t>
  </si>
  <si>
    <t>PACIENTE QUIEN REINGRESA POP DE LEGRADO UTERINO Y ESTIRILACION QUIRURGICA  CON SECRECION A TRAVEZ DE HERIDA QUIRUGICA  TOMAN CULTIVO Y AISLAN STAPHYLOCOCCUS OXA  PRODUCTOR DE BETALACTAMASA  RESISTENTE A METICILINA  SE CONSIDERA UN EVENTO ASOCIADO A LA SALUD   EVIDENCIANDOSE FALTA DE ADHERENCIA AGUAS DE MANEJO PARA LA PREVENCION DE ESTAS INFECCONES. POR LO QUE SE OBJETARA: VANCOMICINA AUTOMATIZADO</t>
  </si>
  <si>
    <t>SE OBJETA LA FACTURACION DE: SUTURA DEL MANGUITO ROTADOR VIA ENDOSCOPICA  PROCEDIMIENTO NO DESCRITO  EN CASO DE SUBSANAR RECONOCER COMO SUTURA DE FASCIA  MUSCULO O TENDOS( SUBESCAPULAR).</t>
  </si>
  <si>
    <t>NO SE RECONOCE LA FACTURACION DE EL INSUMO: CUCHILLA DE SHAVER  CANTIDAD 1  A VALOR DE FACTURA DE COMPRA MAS  O MENOS EL 43% ( $ 3106100 )  VALOR NO ACORDADO O NO CONTRATADO  POR LO QUE SE RELIQUIDA Y SE RECONOCERA SEGUN LO ESTABLECIDO EN LA NORMA " VALOR DE ADQUISICION ( $ 2174249 ) MAS EL 12% ( $ 2435158) QUE LA IPS PUEDE COBRAR  SE OBJETA LA DIFERENCIA. $670942</t>
  </si>
  <si>
    <t>NO SE RECONOCE LA FACTURACION DE EL INSUMO: PUNTA DE RADIOFRECUENCIA  CANTIDAD 1  A VALOR DE FACTURA DE COMPRA MAS  O MENOS EL 43% ( $ 5209000 )  VALOR NO ACORDADO O NO CONTRATADO  POR LO QUE SE RELIQUIDA Y SE RECONOCERA SEGUN LO ESTABLECIDO EN LA NORMA " VALOR DE ADQUISICION ( $ 3646279 ) MAS EL 12% ( $ 4083832) QUE LA IPS PUEDE COBRAR  SE OBJETA LA DIFERENCIA</t>
  </si>
  <si>
    <t>NO SE RECONOCE LA FACTURACION DE EL INSUMO: CUCHILLA DE SHAVER  CANTIDAD 1  A VALOR DE FACTURA DE COMPRA MAS  O MENOS EL 43% ( $ 3106100 )  VALOR NO ACORDADO O NO CONTRATADO  POR LO QUE SE RELIQUIDA Y SE RECONOCERA SEGUN LO ESTABLECIDO EN LA NORMA " VALOR DE ADQUISICION ( $ 2174249 ) MAS EL 12% ( $ 2435158) QUE LA IPS PUEDE COBRAR  SE OBJETA LA DIFERENCIA</t>
  </si>
  <si>
    <t>NO SE RECONOCE LA FACTURACION DE EL INSUMO: CANULA DE ARTROSCOPIA   CANTIDAD 1  A VALOR DE FACTURA DE COMPRA MAS  O MENOS EL 43% ( $ 3739800 )  VALOR NO ACORDADO O NO CONTRATADO  POR LO QUE SE RELIQUIDA Y SE RECONOCERA SEGUN LO ESTABLECIDO EN LA NORMA " VALOR DE ADQUISICION ( $ 2617881 ) MAS EL 12% ( $ 2932026) QUE LA IPS PUEDE COBRAR  SE OBJETA LA DIFERENCIA.</t>
  </si>
  <si>
    <t>SE GLOSA ESTANCIA HOSPITALARIA  INOPORTUNIDAD EN DEFINICION DE CONDUCTA QUIRUGICA POR ANESTESIOLOGIA (AVAL PREQX) DIAS 24.25.26.27  INOPORTUNIDAD EN PROCEDIMIENTO QUIRURGICO PLANTEADO POR ORTOPEDIA DESDE SU INGRESO  SIN EMBARGO SE REALIZA HASTA EL DIA 2 AGOSTO  SE GLOSA DIAS DE ESTANCIA 28-29-30-1  TOTAL DE DIAS DE INTERNACION OBJETADOS 8  ESTANCIA INACTIVA.</t>
  </si>
  <si>
    <t>LAPICERO DE ELECTROBISTURI REF VL2610DB COVIDIEN  INSUMO NO FACTURABLE  EN EL DECRETO 2423 DE 1996  ARTICULO 49  PARAGRAFO 2  NO SE RECONOCE NINGUN IMPLEMENTO ADICIONAL.</t>
  </si>
  <si>
    <t>NO SE RECONOCE 72 HORAS DE INTERNACION YA QUE ESTA EN ESPERA DE TOMA DE AYDUAS DIAGNOSTICAS PARA DEFINIR CONDUCTA SEGUN LOS REGISTROS DEL MEDICO EN LA EVOLUCION DEL DIA 30 DE AGOSTO</t>
  </si>
  <si>
    <t>INTERNACION ADULTOS COMPLEJIDAD ALTA HABITACION MULTIPLE NO SE RECONCOE 5 DIAS DE ETSANCIA POR FALTA DE OPORTUNIDAD EN LA TOMA DE AYDUAS E IMAGENES DIAGNOSTICAS DESDE EL DIA 25 EN ESPERA DE PROCEDIMIENTO EN ESPERA DE AYDUAS EN ESPERA DE VALORACIOENS POR ESPECIALISTAS</t>
  </si>
  <si>
    <t>CONSULTA DE URGENCIAS  POR ESPECIALISTA EN GINECOLOGIA Y OBSTETRICIA INCLUIDA DNETRO DEL PROCEDIMIENTO DEL PARTO POR CESAREA</t>
  </si>
  <si>
    <t>INTERCONSULTA POR ESPECIALISTA EN PEDIATRIA PEDIATRIA PUERTA DE ENTRADA EN EL SERVICIO DE URGENCIAS</t>
  </si>
  <si>
    <t>TRANSFUSION DE LA UNIDAD DE GLOBULOS ROJOS O ERITROCITOS  HACEN PARTE DEL SERVICIO DE ENFERMERIA DE LA UNIDAD</t>
  </si>
  <si>
    <t>INTERNACION EN UNIDAD DE CUIDADO INTENSIVO ADULTOS NO CUMPLE CON LAS EVOLUCIONES MINIMO 3 DIARIAS EN EL DIA SEGUN RES 3100</t>
  </si>
  <si>
    <t>SE GLOSA MVC EN EMBOLIZACION  NO APLICAN TARIFAS PROPIAS AL CONTAR CON CODIGO SOAT 21501  DECRETO 2423 ARTICULO 87</t>
  </si>
  <si>
    <t>SE GLOSA MVC EN PANANGIOGRAFIA  NO APLICAN TARIFAS PROPIAS AL CONTAR CON CODIGO SOAT 21422  DECRETO 2423 ARTICULO 87</t>
  </si>
  <si>
    <t>SE GLOSA MVC EN AORTOGRAMA  NO APLICAN TARIFAS PROPIAS AL CONTAR CON CODIGO SOAT 21434  DECRETO 2423 ARTICULO 87</t>
  </si>
  <si>
    <t>SE OBJETA ESTANCOA EN PACIENTE EN ESPERA DE TURNO CIRUGIA SEGUN DISPONIBILIDAD DE AIRPEN</t>
  </si>
  <si>
    <t>EQUIPO DE BOMBA DE INFUSION (ESTANDAR) REF 14001 INCLUIDOD ENTRO DE LOS MATERIALES DEL PROCEDIMIENTO</t>
  </si>
  <si>
    <t>GLOSA EXCEDENTE EN MATERIAL DE OSTEOSINTESIS DE ACUERDO A FACTURA DE COMPRA PRESENTADA  SE RECONOCE PRECIO DE CASA COMERCIAL (ART 57 DECRETO 2423)</t>
  </si>
  <si>
    <t>GLOSA ESTANCIA UCI INTERMEDIOS CON HAB SERV HOSPITALIZACION DIA 3 DE SEPT  PACIENTE CON ORDEN DE TRASLADO A PISO DE ESE DIA</t>
  </si>
  <si>
    <t>GLOSA TORNILLO BLOQUEADO DE 2.7 MM MATERIAL DE OSTEOSINTESIS PRESENTADO SIN FACTURA DE COMPRA</t>
  </si>
  <si>
    <t>GLOSA TORNILLO CORTICAL TI AUTORROSCANTE 2.7MM DIFERENTES LONGITUD MATERIAL DE OSTEOSINTESIS PRESENTADO SIN FACTURA DE COMPRA</t>
  </si>
  <si>
    <t>GLOSA PLACA RADIO PROXIMAL/CUPULA RADIAL MATERIAL DE OSTEOSINTESIS PRESENTADO SIN FACTURA DE COMPRA</t>
  </si>
  <si>
    <t>GLOSA 2.4 X 14/16/18/20 (TORNILLO BLOQUEADO DE 2.4 MM)MATERIAL DE OSTEOSINTESIS PRESENTADO SIN FACTURA DE COMPRA</t>
  </si>
  <si>
    <t>GLOSA SUTURA TRENZADA EN HILO DE DIFERENTES DIAMETROS MATERIAL DE OSTEOSINTESIS PRESENTADO SIN FACTURA DE COMPRA</t>
  </si>
  <si>
    <t>GLOSA SUTURA BLANCA AZUL (SUTURAS ANCLADAS DE DIFERENTES DIAMETROS MATERIAL DE OSTEOSINTESIS PRESENTADO SIN FACTURA DE COMPRA</t>
  </si>
  <si>
    <t>GLOSA PASA HILOS PARA SUTURA ARTROSCOPICA MATERIAL DE OSTEOSINTESIS PRESENTADO SIN FACTURA DE COMPRA</t>
  </si>
  <si>
    <t>GLOSA ESTANCIA HAB SERVICIO DE HOSPITALIZACION 1/3 DIAS  TOTAL FACTURADOS 6  PACIENTE INGRESA EL 13 Y SALE 18 (5 DIAS DE ESTANCIA TOTAL FACTURABLES)</t>
  </si>
  <si>
    <t>GLOSA POR DISPOSITIVO MEDICO   INSUMO RESUCITADOR MANUAL ADULTO DESECHABLE KIT COMPLETO DE 6 PIEZAS CON VALVULA DE SOBREPRESION  CANTIDAD  1  VALOR GLOSADO  $ 141.000   INSUMO  NO FACTURABLE UTILIZADO PARA VENTILACION DEL PACIENTE Y  FORMA PARTE DE LA DOTACION DEL SERVICIO DE UNIDADES QUIRURGICAS Y UNIDADES CRITICAS. DE  ACUERDO A RESOLUCION 3100 DEL 2.019  Y SE ENCUENTRA INCLUIDO EN LA TARIFA DE UNIDAD DE CUIDADOS CRITICAS-INTENSIVOS   DE CONFORMIDAD CON EL NUMERAL 42 Y 43 DEL DEL DECRETO 780 DEL 2.016 CAPITULO 6 DEL TITULO 3 DE LA PARTE 5 DEL LIBRO 2 MANUAL DEL REGIMEN TARIFARIO.</t>
  </si>
  <si>
    <t>GLOSA POR FACTURACION DE TUBO TRAMPA PARA MUESTRA DE SECRECCION BRONQUIAL  NO FACTURABLE POR SER INSUMO PARA RECOLECCION DE MUESTRAS DE PARACLINICOS.</t>
  </si>
  <si>
    <t>GLOSA POR  MATERIAL DE OSTEOSINTESIS   TORNILLO DE BLOQUEO 4.5  CANTIDAD 2  VALOR UNITARIO $ 610.800  VALOR GLOSADO $ 1.221.600.  GLOSA POR FALTA DE SOPORTE DE FACTURA DE COMPRA DEL MATERIAL DE OSTEOSINTESIS  DE LA CASA COMERCIAL PRECIMEC . GLOSA POR TARIFA MATERIAL DE OSTEOSINTESIS   SE RECONOCE EL VALOR DEL MATERIAL  DE ACUERDO AL VALOR DE FACTURA DE COMPRA MAS 12% DE INCREMENTO QUE SE RECONOCE A LA IPS POR INTERMEDIACION.</t>
  </si>
  <si>
    <t>GLOSA POR  MATERIAL DE OSTEOSINTESIS   CLAVO DE ENTRADA EN LA PUNTA DEL TROCANTOR DIFERENTES DIAMETROS  CANTIDAD  1    VALOR GLOSADO $ 3.732.300. GLOSA POR FALTA DE SOPORTE DE FACTURA DE COMPRA DEL  MATERIAL DE OSTEOSINTESIS CASA COMERCIAL PRECIMEC .GLOSA POR TARIFA DE MATERIAL DE OSTEOSINTESIS  SE RECONOCE EL VALOR DEL MATERIAL  DE ACUERDO AL VALOR DE FACTURA DE COMPRA MAS 12% DE INCREMENTO QUE SE RECONOCE A LA IPS POR INTERMEDIACION.</t>
  </si>
  <si>
    <t>GLOSA POR ANTICUERPOS IRREGULARES AYUDA DIAGNOSTICA NO FACTURABLE  DE CONFORMIDAD CON LO ORDENADO EN EL NUMERAL 31.3 DEL DECRETO 780 DEL 2.016 CAPITULO 6 DEL TITULO 3 DE LA PARTE 5 DEL LIBRO 2 MANUAL DEL REGIMEN TARIFARIO EN QUE SE CONSIGNA: EL VALOR DE LA PRUEBAS DE LABORATORIO CLINICO QUE SE PRACTIQUEN A LA UNIDAD DE SANGRE O COMPONENTES PREVIA A SU TRANSFUSION ESTA INCLUIDO EN LA TARIFA DE PROCESAMIENTO  IGUALMENTE EL CORRESPONDIENTE A LA BOLSA RECOLECTORA. LOS ANTICUERPOS IRREGULARES   SE ENCUENTRA INCLUIDOS  DENTRO DE LAS PRUEBAS PRETRANSFUSIONALES DE CONFORMIDAD CON LO ORDENADO EN EL ARTICULO 68 DEL DECRETO 1571 DE 1.993. VALOR GLOSADO $14.913.</t>
  </si>
  <si>
    <t>GLOSA POR MATERIAL DE OSTEOSINTESIS   TORNILLO RECOSNTRUCCION 6.4 DE 65MM A 115MM   CANTIDAD 2  VALOR UINTARIO  $ 600.900  VALOR GLOSADO $ 1.201.800. GLOSA POR FALTA DE SOPORTE DE FACTURA DE COMPRA DEL  MATERIAL DE OSTEOSINTESIS CASA COMERCIAL PRECIMEC .GLOSA POR TARIFA DE MATERIAL DE OSTEOSINTESIS  SE RECONOCE EL VALOR DEL MATERIAL  DE ACUERDO AL VALOR DE FACTURA DE COMPRA MAS 12% DE INCREMENTO QUE SE RECONOCE A LA IPS POR INTERMEDIACION.</t>
  </si>
  <si>
    <t>GLOSA POR TARIFA DE PROCEDIMIENTO 867203H COLGAJO LOCAL DE PIEL COMPUESTO DE VECINDAD ENTRE CINCO A DIEZ CENTIMETROS CUADRADOS  VALOR FACTURADDO $ 5.724.748. AUTORIZACION NO VALORIZADA   PROCEDIMIENTO QUIRURGICO SIN TARIFA PACTADA    NO SE SOPORTA COTIZACION CON TARIFA PROPIA   AUTORIZADA POR PARTE DEL ORDENADOR DEL GASTO DE LA RESPECTIVA DIRECCION DE SANIDAD MILITAR  QUE SOPORTE EL COBRO DEL VALOR FACTURADO DE  5.724.748    POR LO QUE SE RECONOCE LA TARIFA  PARA EL AÑO 2025 SEGUN MANUAL TARIFARIO SOAT DECRETO 780 DEL 2.016  ANEXO TECNICO UNO ACTUALIZADO CON LA CIRCULAR 025 DE 2.024   DECRETO UNICO REGLAMENTARIO SECTOR SALUD Y PROTECCION SOCIAL CAPITULO 6 DEL TITULO 3 DE LA PARTE 5 DEL LIBRO 2 MANUAL DEL REGIMEN TARIFARIO DEL CODIGO 15108 RESECCION TUMOR MALIGNO DE PIEL QUE REQUIERA REPARACION CON COLGAJO Y/O INJERTO  CON TARIFA DE $ 2.080.700  POR LO QUE SE GENERA GLOSA POR MAYOR VALOR FACTURADO DE $3.644.048.</t>
  </si>
  <si>
    <t>GLOSA POR FACTURACION DE PROCEDIMIENTO QUIRURGICO RESECCION DE TUMOR BENIGNO O MALIGNO DE PIEL O TEJIDO CELULAR SUBCUTANEO AREA GENERAL  DE MAS DE DIEZ CENTIMETROS  VALOR FACTURADO $666.435  PROCEDIMIENTO NO FACTURABLE  SE ENCUENTRA INCLUIDO EN EL CODIGO 15108 RESECCION TUMOR MALIGNO DE PIEL QUE REQUIERA REPARACION CON COLGAJO Y/O INJERTO  QUE SE RECONOCIO AL 100% DE ACUERDO A LA TARIFA DEL AÑO 2.025   DEL MANUAL TARIFARIO SOAT DECRETO 780 DEL 2.016  ANEXO TECNICO UNO ACTUALIZADO CON LA CIRCULAR 025 DE 2.024. VALOR GLOSADO $666.435.</t>
  </si>
  <si>
    <t>GLOSA POR TARIFA DE AYUDA DIAGNOSTICA COLORACION INMUNOHISTOQUIMICA - PANEL DE TAMIZAJE  CANTIDAD UNA  VALOR GLOSADO $2.065.650. FALTA SOPORTE DE COTIZACION POR EL VALOR FACTURADO DE  LA AYUDA DIAGNOSTICA   AUTORIZADA POR PARTE DEL ORDENADOR DEL GASTO DE LA RESPECTIVA DIRECCION DE SANIDAD MILITAR. SE RECONOCERIA TARIFA DEL CODIGO 20207 ESTUDIO CON INMUNOFLUORESCENCIA DE ESPECIMEN DE MUSLO   A LAS TARIFAS DEL AÑO 2.025  DEL MANUAL TARIFARIO SOAT DECRETO 780 DEL 2.016  ANEXO TECNICO UNO ACTUALIZADO CON LA CIRCULAR 025 DE 2.024  CON TARIFA DE $626.600. VALOR GLOSADO $2.065.650.</t>
  </si>
  <si>
    <t xml:space="preserve">GLOSA POR TARIFA DE AYUDA DIAGNOSTICA   COLANGIO-PANCREATOGRAFIA RETROGRADA ENDOSCOPICA SOD  NO SE SOPORTA COTIZACION CON TARIFA PROPIA    AUTORIZADA POR PARTE DEL ORDENADOR DEL GASTO DE LA RESPECTIVA DIRECCION DE SANIDAD MILITAR  QUE SOPORTE EL COBRO DEL VALOR FACTURADO DE  6.928.321 . POR LO QUE SE RECONOCE LA TARIFA 2025 SEGUN MANUAL TARIFARIO SOAT DECRETO 780 DEL 2.016  ANEXO TECNICO UNO ACTUALIZADO CON LA CIRCULAR 025 DE 2.024   DECRETO UNICO REGLAMENTARIO SECTOR SALUD Y PROTECCION SOCIAL CAPITULO 6 DEL TITULO 3 DE LA PARTE 5 DEL LIBRO 2 MANUAL DEL REGIMEN TARIFARIO DEL CODIGO 18401 ERCP ENDOSCOPIA PARA COLANGIOPANCREATOGRAFIA RETROGRADA   CON VALOR DE 3.170.600 Y SE GLOSA EL MAYOR VALOR FACTURADO DE 3.757.721 </t>
  </si>
  <si>
    <t>GLOSA POR INSUMO FMQ943 DRENAJE DE SILICONA X 19 FR SIN CONECTOR -REF: 2230  CANTIDAD TRES  VALOR UNITARIO $402.000  VALOR TOTAL $1.206.000  SIN SOPORTE DEL INSUMO EN DESCRIPCION QUIRURGICA . GLOSA POR FALTA DE SOPORTE DE FACTURA DE COMPRA DEL INSUMO FMQ943 DRENAJE DE SILICONA X 19 FR SIN CONECTOR -REF: 2230  CANTIDAD TRES. GLOSA POR TARIFA DE INSUMO FMQ943 DRENAJE DE SILICONA X 19 FR SIN CONECTOR -REF: 2230  CANTIDAD TRES  SE RECONOCE EL VALOR DEL INSUMO  DE ACUERDO AL VALOR DE FACTURA DE COMPRA CON UN INCREMENTO DEL 12% QUE SE RECONOCE A LA IPS POR INTERMEDIACION . VALOR GLOSA $1.206.000.</t>
  </si>
  <si>
    <t>GLOSA POR INSUMO RESERVORIO DE BOMBA J-VAC X 100ML REF 2160  CANTIDAD DOS  VALOR UNITARIO $402.000  VALOR TOTAL $804.000  SIN SOPORTE DEL INSUMO EN HISTORIA CLINICA. GLOSA POR FALTA DE SOPORTE DE FACTURA DE COMPRA DEL INSUMO RESERVORIO DE BOMBA J-VAC X 100ML REF 2160  CANTIDAD DOS . GLOSA POR TARIFA DE INSUMO RESERVORIO DE BOMBA J-VAC X 100ML REF 2160   CANTIDAD DOS   SE RECONOCE EL VALOR DEL INSUMO  DE ACUERDO AL VALOR DE FACTURA DE COMPRA CON UN INCREMENTO DEL 12% QUE SE RECONOCE A LA IPS POR INTERMEDIACION . VALOR GLOSA $804 000.</t>
  </si>
  <si>
    <t>NO SE ANEXA SOPORTE DE COMPRA DE INSUMOS -ORTESIS  SE GLOSA EL 25% - SE REQUIERE SOPORTE - VALOR MAS EL 12%  PARA PAGO MAXIMO.</t>
  </si>
  <si>
    <t>NO SE ANEXA SOPORTE DE COMPRA DE INSUMOS -FERULA  SE GLOSA EL 25% - SE REQUIERE SOPORTE - VALOR MAS EL 12%  PARA PAGO MAXIMO.</t>
  </si>
  <si>
    <t>GLOSA TOTAL GASTO DE OXIGENO  NO SE PRESENTA HOJA DE GASTO DE CONSUMO DE OXIGENO PARA REALIZAR AUDITORIA</t>
  </si>
  <si>
    <t>GLOSA ESTANCIA UCI INTENSIVOS CON UCI INTERMEDIOS 3 DIAS FACTURADOS  NO ES CLARA INFORMACION EN HISTORIA CLINICA ACERCA DE LA NECESIDAD DE VENTILACION MECANICA  POR LO CUAL SE REONOCE COMO UCI INTERMEDIOS</t>
  </si>
  <si>
    <t>GLOSA EXCEDENTE EN MATERIAL DE OSTEOSINTESIS  SE RECONOCE A FACTURA DE COMPRA DE CASA PROVEEDORA DE MATERIAL (AUTORIDAD COMPETENTE)  TAMBIEN SE PRESENTAN INSUMO SIN FACTURA DE COMPRA (SULFATO TRICALCICO  CHIPS DE HUESO ESPONJOSO)</t>
  </si>
  <si>
    <t>GLOSA ECO TT 1/2N FACTURADO  PRIMERO SOLICITADO EL 10 DE SEPT RESULTADO NORMAL SIN VEGETACIONES  EL SEGUNDO EL 14 DE SEPT CON IGUAL RESULTADO  NO HAY JUSTIFICACION EN HC PARA SOLICITUD DE SEGUNDO EXAMEN</t>
  </si>
  <si>
    <t>GLOSA MEROPENEM AMP 21/63  SE RECONOCE TRATAMIENTO POR 7 DIAS DE ACUERDO A RECOMENDACION POR PARTE DE INFECTOLOGIA</t>
  </si>
  <si>
    <t>NO HAY TARIFA PACTADA  NO HAY COTIZACION AVALADA POR SANIDAD MILITAR  SUJETA A NUEVA AUDITORIA DE VALORES</t>
  </si>
  <si>
    <t>SE GLOSA MVC EN CONSULTA ESPCIALIZADA. NO HAY TARIFA PACTADA NI COTIZACION AVALADA POR SANIDAD MILITAR.  SE RECONOCE TARIFA SOAT UVB CODIGO 39143</t>
  </si>
  <si>
    <t>FA0601  SE GLOSA 6 TORNILLO BLOQUEADO 2.4 DIFERENTES LONGITUDES   MAYOR VALOR DE ACUERDO AL VALOR UNITARIO DE LA FACTURA ELECTRONICA  PR 15596.</t>
  </si>
  <si>
    <t>FA0601  SE GLOSA 1 PL. RAD. DIST. VOLAR II COLUMNA IZQ TI AV 25 X 3 (PLACA PARA  MAYOR VALOR DE ACUERDO AL VALOR UNITARIO DE LA FACTURA ELECTRONICA  PR 15596.</t>
  </si>
  <si>
    <t>FA0601  SE GLOSA 1 TORNILLO CORTICAL TI AUTORROSCANTE 2.7MM DIFERENTES LONGITUD  MAYOR VALOR DE ACUERDO AL VALOR UNITARIO DE LA FACTURA ELECTRONICA  PR 15596.</t>
  </si>
  <si>
    <t>CL0201  SE GLOSA INTERCONSULTA POR ESPECIALISTA EN INFECTOLOGIA  LA VALORACION O INTERCONSULTA TIENE COMO FINALIDAD  DEFINIR UNA CONDUCTA  PARA EL MANEJO DEL PACIENTE SE RECONOCE EL CUIDADO DIARIO INTRAHOSPITALARIO POR MEDICINA ESPECIALIDADA  SI APLICA LA CONDICION .</t>
  </si>
  <si>
    <t>SO0401  SE GLOSA PARTICIPACION EN JUNTA MEDICA O EQUIPO INTERDISCIPLINARIO POR MEDICINA ESPECIALIZADA Y CASO (PACIENTE)  EXITEN AUSENCIA DE LOS SOPORTES O ANEXOS DE DICHA JUNTA   LO CUAL ES IMPOSIBLE REALIZAR VERIFICACION Y AUDITORIA INTEGRAL .</t>
  </si>
  <si>
    <t>TA0101  SE GLOSA 1 DIAS DE ESTANCIA EN INTERNACION ADULTOS COMPLEJIDAD ALTA HABITACION INDIVIDUAL (INCLUYE AISLAMIENTO GENERAL Y PARA TRASPLANTE DE CELULAS PROGENITORAS)   SOBREFACTURACION NO PERTINENTE DE ACUERDO A LOS DIAS DE ESTANCIA RELACIONADOS.</t>
  </si>
  <si>
    <t>CL0201  SE GLOSA INTERCONSULTA POR ESPECIALISTA EN NEUROCIRUGIA  LA VALORACION O INTERCONSULTA TIENE COMO FINALIDAD  DEFINIR UNA CONDUCTA  PARA EL MANEJO DEL PACIENTE SE RECONOCE EL CUIDADO DIARIO INTRAHOSPITALARIO POR MEDICINA ESPECIALIDADA  SI APLICA LA CONDICION .</t>
  </si>
  <si>
    <t>TA5801  SE GLOSA   DETECCION  VALORACION Y ATENCION INTRAHOSPITALARIA DE DONANTE DE ORGANOS Y TEJIDOS  MAYOR VALOR SE ACEPTA VALOR UVB SEGUN NORMATIVIDAD VIGENTE .</t>
  </si>
  <si>
    <t>TA0801 SE GLOSA HEMOCULTIVO AEROBIO AUTOMATIZADO CADA MUESTRA    MAYOR VALOR SE ACEPTA  VALOR UVB SEGUN NORMATIVIDAD VIGENTE  .</t>
  </si>
  <si>
    <t>TA0801 SE GLOSAFACTOR DE CRECIMIENTO PLACENTARIO (PGIF)     MAYOR VALOR SE ACEPTA  VALOR UVB SEGUN NORMATIVIDAD VIGENTE  .</t>
  </si>
  <si>
    <t>SE OBJETA ESTANCIA DESDE EL 01 DE OCTUBRE HASTA LA FECHA DE EGRESO PACIENTE A QUIEN SE LE DEBIO DEFINIR EL EGRESO HOSPITALARIO Y ADELANTAR GESTIONES PARA PAD PARA EVITAR LA ESTANCIA INACTIVA</t>
  </si>
  <si>
    <t>MVC HEMOCULTIVO  SE RECONOCE A TARIFAS SOAT VIGENTE  NO HAY ACUERDO TARIFAS SE GLOSA EXCEDENTE.</t>
  </si>
  <si>
    <t>MVC UROCULTIVO  SE RECONOCE A TARIFAS SOAT VIGENTE  NO HAY ACUERDO TARIFAS SE GLOSA EXCEDENTE.</t>
  </si>
  <si>
    <t>SE GLOSA EL TOTAL DE LA FACTURA NO SE EVIDENCIA SOPORTE DE CARGUE A SIS MUESTRAS SOPORTE NECESARIO PARA CONTROL EPIDEMIOLOGICO</t>
  </si>
  <si>
    <t>SE OBJETA  MEDICAMENTO    BAJO EL CODIGO SO4201   NO SE ANEXA LA LISTA DE PRECIOS   SOPORTE EXIGIDO PARA LA EVALUACION Y VALIDACION DE LAS TARIFAS COBRADAS  CONFORME  A LA RESOLUCION 2284 DE 2023. LA OMISION DE ESTE DOCUMENTO  OBLIGATORIO CUANDO NO EXISTE ACUERDO DE VOLUNTADES  IMPIDE LA REVISION TARIFARIA</t>
  </si>
  <si>
    <t>SE OBJETA APLICACION DE HEMODERIVADOS REALIZADO POR PERSONAL ASISTENCIAL INCLUIDO EN ESTANCIA  ADEMAS NO SE EVIDENCIA NOTA MEDICA DE SU REALIZACION.</t>
  </si>
  <si>
    <t>SE OBJETA INSUMO ALTO COSTO  IPS NO PRESENTA FACTURA DE COMPRA IPS SIN CONTRATO Y ADICIONALMENTE NSUMOS DE LAPAROSCOPIA REUTILIZABLE NO SE RECONOCE SU COBRO</t>
  </si>
  <si>
    <t>SE OBJETA INSUMO ALTO COSTO  IPS NO PRESENTA FACTURA DE COMPRA IPS SIN CONTRATO</t>
  </si>
  <si>
    <t>SE OBJETA APLICACION DE HEMODERIVADOS REALIZADO POR PERSONAL ASISTENCIAL INCLUIDO EN ESTANCIA  ADEMAS NO SE EVIDENCIA NOTA MEDICA DE SU REALIZACION</t>
  </si>
  <si>
    <t>SE OBJETA ESTANCIA PROLONGADA PACIENTE CON MEJORIA DE SINTOMAS SE PUDO MANEJAR AMBULATORIAMENTE  SE GLOSAN 5 DIAS</t>
  </si>
  <si>
    <t>SE GLOSA MEDICAMENTO ONDANSETRON SOLUCION INYECTABLE INDICADO PARA PACIENTES CON CANCER O PACIENTES POSTQUIRURGICOS</t>
  </si>
  <si>
    <t>SE GLOSA TOTAL. NO ES POSIBLE CONFIRMAR VALOR FACTURADO  SE SOLICITA LISTA DE PRECIOS SEGUN RES. 2284 DE 2023</t>
  </si>
  <si>
    <t>SE GLOSA LA LISIS DE ADHERENCIAS  NO PERTINENTE EL COBRO YA QUE SE TRATA DE LA VIA DE ACCESO  POR LO QUE SE RELIQUIDA</t>
  </si>
  <si>
    <t>SE GLOSA MAYOR VALOR COBRADO SE RECONOCE TARIFA PACTADA EN CONTRATO 287 VIGENTE ENTRE LAS PARTES SE AJUSTA LA DIFERENCIA</t>
  </si>
  <si>
    <t>SE GLOSA MAYOR VALOR COBRADO SE RECONOCE SEGUN TARIFAS PACTADAS EN CONTRAT 287 VIGENTE ENTRE LAS PARTES SE AJUSTA LA DIFERENCIA</t>
  </si>
  <si>
    <t>MVC EN 1 CAVOGRAFIA  SE RECONOCE A TARIFAS SOAT VIGENTE CODIGO 21431  SE GLOSA EXCDENTE NO HAY ACUERDO DE TARIFAS  NO HAY COTIZACION DE EXAMEN CON SU RESPECTIVO AUTORIZACION.</t>
  </si>
  <si>
    <t>MVC EN 1 FLEVOGRAFIA  SE RECONOCE A TARIFAS SOAT VIGENTE CODIGO 21432  SE GLOSA EXCDENTE NO HAY ACUERDO DE TARIFAS  NO HAY COTIZACION DE EXAMEN CON SU RESPECTIVO AUTORIZACION.</t>
  </si>
  <si>
    <t>SE GLOSA ESTANCIA EN UCI PLENA  SE RECONOCE CUIDADO INTERMEDIO EN UNIDAD DE QUEMDADSO EN PACIENTE SIN REQUERIMIENTOS DE SOPORTES RESPIRATORIOS O VASOACTVOS  SE RECONOCE MONITORIZACION CONTINUA EN CUIDADO INTERMEDIO</t>
  </si>
  <si>
    <t>SE GLOSA POR MVC CULTIVO  SE RECONOCE HEMOCULTIVO A TARIFA SOAT UVB</t>
  </si>
  <si>
    <t>SE GLOSA ESTANCIA DE LOS DIAS 28  29  30 DE SEPTIEMBRE Y 1 DE OCTUBRE SIN INDICACION CLINICA DE LA CONTINUIDAD DEL MANEJO MEDICO HOSPITLARIOA  PACIENTE PARA EGRESO MEDICO</t>
  </si>
  <si>
    <t>SE GLOSAN 7 DIAS DE ESTANCIA ASOCIADA A DEMORA POR PARTE DE LA IPS PARA LA REALIZACION DE PROCEDIMIENTO  YA CON CONDUCTA DEFINIDA  AJUSTAR HTA Y SE DEMORA LUEGO EN REALIZAR EL PROCEDIMIENTO QUIRURGICOA  SE RECONOCEN 2 DIAS DE ESTANCIA  SE GLOSAN LOS DEMAS  DADO NO TIENE INDICACION MEDICA</t>
  </si>
  <si>
    <t>SE GLOSAN 3 DIAS DE ESTANCIA EN PACIENTE CON CUADRO DE FRACTURA DE FEMUR  DEFINIDA  ORDEN QUIRURGICA ESTABLECIDA DESDE EL INGRESO  Y CON ESTUDIOS NO IMPORTANTES EN EL MOMENTO DE TOMA D EDECISION DE CONDUCTA QUE PROLONGA ESTANCIA Y FAVORECE RIESGOS HOSPITALARIOS DE ADULTO MAYOR  SE DEBE REALIZAR CIRUGIA ANTES DE 48 PARA MINIMIZAR RIESGOS VITALES POR LO QUE SE RECONOCEN 3 DIAS DE LOS 7 POR DEMORAS POR PARTE DE LA IPS EN REALIZAR EL PROCEDIMIENTO</t>
  </si>
  <si>
    <t>SE GLOSAN 3 DIAS DE ESTANCIAS 18 19 Y 20 DE OCTUBRE EN PACIENTE CON DEMORA EN LA REALIZACION DE PROCEDIMIENTO QUIRURGICO  POR LO QUE SE GLOSA ESTANCIA</t>
  </si>
  <si>
    <t xml:space="preserve">SE GLOSA PRUEBAS DE FUNCION TIROIDEA  A PESAR DE ANTECEDENTE DE PACIENTE  SU REPORTE NO VA A CAMBIAR LA CONDUCTA MEDICA  NI MODIFICA DE ALGUNA FORMA EL PLAN DE MANEJO </t>
  </si>
  <si>
    <t>SERVICIO NO FACTURABLE INCLUIDO EN GASES ARTERIALS  ADICIONAL A ESTO SIN INDICACION CLINICA ESPECIFICA PARA EL MANEJO DEL PACIENTE</t>
  </si>
  <si>
    <t>SE GLOSAN 4 DIAS DE ESTANCIA  2 DIAS ASOCIADOS AL PAQQUETE FACTURADO DE LA CPRE Y DE LA COLECISTECTOMIAL  ADEMAS DEMORAS NO RELACIOKNADAS CON EL CASO CLINICO Y SI DISPONIBILIDAD DE REALIZACION DE PROCEDIMENTO</t>
  </si>
  <si>
    <t>SE GLOSA PROCEDIMIENTO  NO PERTINENTE NO APORTA AL MANEJO Y SU REPORTE O RESULTADO NO AFECTARIA EL PLAN DE MANEJO ESTEABLECIDO</t>
  </si>
  <si>
    <t>ESCISION DE LESION O TEJIDO PERIANAL VIA ABIERTA NO PERTINENTE EN LA DESCRIPCION OPERATORIA SE EVIDENCIA QUE LA ESCISION DE TEJIDO PERIANAL HACE PARTE DEL MISMO ABORDAJE QUIRURGICO Y DEL MISMO CAMPO OPERATORIO QUE LA FISTULECTOMIA ANO-PERINEAL. NO SE DESCRIBE UNA LESION INDEPENDIENTE  AUTONOMA O SEPARADA DEL TRAYECTO FISTULOSO QUE AMERITE UN PROCEDIMIENTO ADICIONAL. LA RESECCION DE TEJIDO PERIANAL CORRESPONDE A UN ACTO COMPLEMENTARIO E INHERENTE A LA FISTULECTOMIA.</t>
  </si>
  <si>
    <t>SALPINGECTOMIA UNILATERAL TOTAL POR LAPAROTOMIA  NO SE RECONOCE INCLUIDO EN PROCEDIMINETO PRINICPLA HISTERCTOMIA TOTAL</t>
  </si>
  <si>
    <t>RESECCION DE TUMOR DE OVARIO POR LAPAROTOMIA  NO SE RECONCOE YA QUE ESTA INLCUDIA EN HISTERECTOMIA TOTAL AMPLIADA</t>
  </si>
  <si>
    <t>SE GLOSA AYUDA DIAGNOSTICA GLUCOMETRIA NO SE EVIDENCIA SOPORTE O RESULTADO DE SU REALIZACION</t>
  </si>
  <si>
    <t>SE GLOSA MVC EN CONSULTA DE MEDICINA ESPECIALIZADA. SE RECONOCE A $75.400 SEGUN DEC. 780 DE 2016 ART. 2.6.1.4.2.4 Y CIR. 025 DE 2024 TARIFA SOAT VIGENTE UVB  IPS FACTURA A $106.697  SE GLOSA LA DIFERENCIA ($31.297)</t>
  </si>
  <si>
    <t>SE GLOSA MVC EN CONSULTA DE MEDICINA ESPECIALIZADA. SE RECONOCE A $75.400 SEGUN DEC. 780 DE 2016 ART. 2.6.1.4.2.4 Y CIR. 025 DE 2024 TARIFA SOAT VIGENTE UVB  IPS FACTURA A $82.085  SE GLOSA LA DIFERENCIA ($6.685)</t>
  </si>
  <si>
    <t>SE OBJETA ESTANCIA DESDE EL 22/10/2025 AL 24/10/2025 (2 DIAS)  PACIENTE CON SOLICITUD DE HOLTER DESDE QUE SE ENCONTRABA EN UCI SIN EMBARGO NO SE REALIZO HASTA EL 23  PERO YA NO TENIA JUSTIFICACION CLINICA DE CONTINUAR EN ESTANCIA  SE CONSIDERA DEMORAS EN SU EGRESO POR INOPORTUNIDAD EN LA REALIZACION DE HOLTER. SE APLICA GLOSA.</t>
  </si>
  <si>
    <t>SE GLOSA EL 25% DEL ESTUDIO DE GEN EXPERT BK  NO SE EVIDENCIA DENTRO DE LOS ANEXOS DE LA FACTURA SOPORTE DEL EXAMEN MENCIONADO  SE APLICA GLOSA.</t>
  </si>
  <si>
    <t>SE OBJETA 2 DIAS DE ESTACIA EN HOSPITALIZACION GENERAL  DEL 19/10/2025 AL 21/10/2025 POR DEMORAS EN LA PROGRAMACION DEL PROCEDIMIENTO  PROCEDIMIENTO DE DECORTICACION Y PLEURECTOMIA SOLICITADO EL 16/10/2025 SIN EMBARGO SE REALIZA HASTA EL DIA 21/10/2025  SE CONSIDERA DEMORAS EN LA PROGRAMACION LO QUE GENERA UNA PROLONGACION EN LA ESTANCIA  Y AUNQUE LA PACIENTE TIENE OTRAS INDICACIONES COMO EL MANEJO ANTIBIOTICO  EL PROCEDIMIENTO ES DE CARACTER TERAPEUTICO LO QUE AYUDA A LA AGILIZACION DE SU CUADRO CLINICO INFECCIOSO RESPIRATORIO POR LO QUE SE APLICA GLOSA.</t>
  </si>
  <si>
    <t>SE OBJETA PROCEDIMIENTO DILATACION DE LARINGE POR MVC  SE VERIFICA EN PORTAFOLIO DEL ACUERDO DE TARTIFAS Y SE RECONOCE AL VALOR PACTADO  SE GLOSA LA DIFERENCIA.</t>
  </si>
  <si>
    <t>SE OBJETA ESTANCIA DESDE EL DIA 10/10/2025 HASTA EL 17/10/2025 (7 DIAS EN HOSPITALIZACION GENERAL) POR PERTINENCIA  PACIENTE CON PROCEDIMIENTO DE SEGUNDO TIEMPO QUIRURGICO INDICADO DESDE EL 06/10/2025 EL CUAL SE LLEVO A CABO HASTA EL DIA 17/10/2025 POR ADIQUISCION DE MATERIALES SEGUN LOS REPORTES DE  HISTORIA CLINICA  POR LO QUE SE CONSIDERA PROLONGACION EN LA ESTANCIA POR DEMORAS EN LA REALIZACION DE PROCEDIMIENTO DEFINITIVO. SE APLICA GLOSA DE LOS DIAS MENCIONADOS POR PERTINENCIA.</t>
  </si>
  <si>
    <t>SE OBJETA MATERIAL DE OSTESINTENSIS  NO SE EVIDENCIA DENTRO DE LOS SOPORTES DE LA FACTURA  LISTA DE PRECIOS DEL MATERIAL DE OSTEOSINTESIS PARA SU CORRESPONDIENTE AUDITORIA. SE ESPECIFICA QUE AL ANEXAR EL SOPORTE SOLICITADO  ESTE SERA OBJETO DE AUDITORIA INTEGRAL.</t>
  </si>
  <si>
    <t>NO ENCONETRAMOS INDICACION DE ESTE ESTUDIO  SIN MENICON DE SINDROME CORONARIO AGUDO  SIN DESCOMPENSACION HEMODINAMICA  SIN MENCION DE ALTERACION DE ELECTROLITOS  EN ESTE PUNTO NO PERTINENTE ESTUDIO TIROIDEO</t>
  </si>
  <si>
    <t>TA5801  SE GLOSA ARTERIOGRAFIA VERTEBRAL BILATERAL SELECTIVA CON CAROTIDAS PANANGIOGRAFIA  MAYOR VALOR SE ACEPTA VALOR UVB SEGUN NORMATIVIDAD VIGENTE .</t>
  </si>
  <si>
    <t>SE GLOSA MATERIAL DE OSTEOSISNTESIS SIN FACTURA DE COMPRA PARA VERIFICACION DEL VALOR FACTURADO</t>
  </si>
  <si>
    <t>SE GLOSA RECONSTRUCCION DE LIGAMENTO CRUZADO ANTERIOR CON INJERTO AUTOLOGO O CON ALOINJERTO POR ARTROSCOPIA  POR INCONSISTENCIA EN SOPORTES  EL REGISTRO DE ANESTESIA Y LA DESCRIPCION QUIRURGICA  NO CUMPLE CON RESOLUCION 2284 DE 2023  ANEXO TECNICO NO. 1 SOPORTES DE CUENTA DE COBRO  LITERAL 5  CRITERIOS 5.2  5.6  5.7  5.8  5.9  5.10  5.11  5.12 Y 5.13  LA DESCRIPCION QUIRRUGICA NO CONTIENE LOS CRITERIOS 4.2  4.16 Y 4.18.</t>
  </si>
  <si>
    <t>SE GLOSA SUTURA DE MENISCO MEDIAL O LATERAL  POR ARTROSCOPIA  POR INCONSISTENCIA EN SOPORTES  EL REGISTRO DE ANESTESIA Y LA DESCRIPCION QUIRURGICA  NO CUMPLE CON RESOLUCION 2284 DE 2023  ANEXO TECNICO NO. 1 SOPORTES DE CUENTA DE COBRO  LITERAL 5  CRITERIOS 5.2  5.6  5.7  5.8  5.9  5.10  5.11  5.12 Y 5.13  LA DESCRIPCION QUIRRUGICA NO CONTIENE LOS CRITERIOS 4.2  4.16 Y 4.18.</t>
  </si>
  <si>
    <t>SE GLOSA REMODELACION DE MENISCO MEDIAL Y LATERAL POR ARTROSCOPIA  POR INCONSISTENCIA EN SOPORTES  EL REGISTRO DE ANESTESIA Y LA DESCRIPCION QUIRURGICA  NO CUMPLE CON RESOLUCION 2284 DE 2023  ANEXO TECNICO NO. 1 SOPORTES DE CUENTA DE COBRO  LITERAL 5  CRITERIOS 5.2  5.6  5.7  5.8  5.9  5.10  5.11  5.12 Y 5.13  LA DESCRIPCION QUIRRUGICA NO CONTIENE LOS CRITERIOS 4.2  4.16 Y 4.18.</t>
  </si>
  <si>
    <t>CONDROPLASTIA DE RODILLA POR ARTROSCOPIA</t>
  </si>
  <si>
    <t>SE GLOSA SISTEMA DE SUSPENSION AJUSTABLE LCA/DAC  NO SE TIENE CONTRATO  DE CONFORMIDAD CON LA RESOLUCION 2284 DE 2023  ANEXO TECNICO NO. 1  SOPORTE DE COBRO  ITEM  10  NO SE ADJUNTA LISTA DE PRECIO DE TECNOLOGIAS EN SALUD E INSUMOS  NO SE ADJUNTA FACTURA DE MATERIAL DE OSTESOSINTESIS  PARA VERIFICAR EL VALOR COBRADO.</t>
  </si>
  <si>
    <t>SE GLOSA TORNILLO DE ANCLAJE CORKSCREW FT 3.5 MM DOBLE SUTURA - FIBER  NO SE TIENE CONTRATO  DE CONFORMIDAD CON LA RESOLUCION 2284 DE 2023  ANEXO TECNICO NO. 1  SOPORTE DE COBRO  ITEM  10  NO SE ADJUNTA LISTA DE PRECIO DE TECNOLOGIAS EN SALUD E INSUMOS  NO SE ADJUNTA FACTURA DE MATERIAL DE OSTESOSINTESIS  PARA VERIFICAR EL VALOR COBRADO.</t>
  </si>
  <si>
    <t>SE GLOSA CORTADOR PARA ARTROSCOPIA  NO SE TIENE CONTRATO  DE CONFORMIDAD CON LA RESOLUCION 2284 DE 2023  ANEXO TECNICO NO. 1  SOPORTE DE COBRO  ITEM  10  NO SE ADJUNTA LISTA DE PRECIO DE TECNOLOGIAS EN SALUD E INSUMOS  NO SE ADJUNTA FACTURA DE MATERIAL DE OSTESOSINTESIS  PARA VERIFICAR EL VALOR COBRADO.</t>
  </si>
  <si>
    <t>SE GLOSA TORNILLOS BIODEGRADABLES PARA LCA DIFERENTES CALIBRES  NO SE TIENE CONTRATO  DE CONFORMIDAD CON LA RESOLUCION 2284 DE 2023  ANEXO TECNICO NO. 1  SOPORTE DE COBRO  ITEM  10  NO SE ADJUNTA LISTA DE PRECIO DE TECNOLOGIAS EN SALUD E INSUMOS  NO SE ADJUNTA FACTURA DE MATERIAL DE OSTESOSINTESIS  PARA VERIFICAR EL VALOR COBRADO.</t>
  </si>
  <si>
    <t>SE GLOSA CUCHILLA DE SHAVER  NO SE TIENE CONTRATO  DE CONFORMIDAD CON LA RESOLUCION 2284 DE 2023  ANEXO TECNICO NO. 1  SOPORTE DE COBRO  ITEM  10  NO SE ADJUNTA LISTA DE PRECIO DE TECNOLOGIAS EN SALUD E INSUMOS  NO SE ADJUNTA FACTURA DE MATERIAL DE OSTESOSINTESIS  PARA VERIFICAR EL VALOR COBRADO.</t>
  </si>
  <si>
    <t>SE GLOSA PUNTA DE RADIOFRECUENCIA  NO SE TIENE CONTRATO  DE CONFORMIDAD CON LA RESOLUCION 2284 DE 2023  ANEXO TECNICO NO. 1  SOPORTE DE COBRO  ITEM  10  NO SE ADJUNTA LISTA DE PRECIO DE TECNOLOGIAS EN SALUD E INSUMOS  NO SE ADJUNTA FACTURA DE MATERIAL DE OSTESOSINTESIS  PARA VERIFICAR EL VALOR COBRADO.</t>
  </si>
  <si>
    <t>SE GLOSA ESTUDIO ANATOMOPATOLOGICO DE MARCACION INMUNOHISTOQUIMICA BASICA (ESPECIFICO)  POR MAYOR VALOR COBRADO  NO SE TIENE CONTRATO  NO SE RECONOCE VALOR DE ACUERDO A TARIFA DE MANUAL TARIFARIO VIGENTE SOAT UVB  CUYO VALOR ES DE $257.700  SE GLOSA LA DIFERENCIA EN EL VALOR COBRADO.</t>
  </si>
  <si>
    <t>SE GLOSA FLEBOGRAFIA [VENOGRAFIA] ABDOMINAL O PELVICA (SELECTIVA)  NO SE TIENE CONTRATO  PRECIO NO ESTA EN MANUAL TARIFARIO VIGENTE  NO SE ADJUNTA COTIZACION Y/O TARIFA PROPIA PARA VERIFICAR VALOR COBRADO.</t>
  </si>
  <si>
    <t>SE GLOSA ANGIOGRAFIA DE VENAS CAVAS O CAVOGRAFIA  POR MAYOR VALOR COBRADO  NO SE TIENE CONTRATO  NO SE RECONOCE VALOR DE ACUERDO A TARIFA DE MANUAL TARIFARIO VIGENTE SOAT UVB  CUYO VALOR ES DE $252.800 SE GLOSA LA DIFERENCIA EN EL VALOR COBRADO.</t>
  </si>
  <si>
    <t>SE GLOSA OCLUSION DE VENAS INTRAABDOMINALES  VIA ENDOVASCULAR  POR MAYOR VALOR COBRADO  NO SE TIENE CONTRATO  NO SE RECONOCE VALOR DE ACUERDO A TARIFA DE MANUAL TARIFARIO VIGENTE SOAT UVB  CUYO VALOR ES DE $883.300 SE GLOSA LA DIFERENCIA EN EL VALOR COBRADO.</t>
  </si>
  <si>
    <t>SE GLOSA CONSULTA DE PRIMERA VEZ POR ESPECIALISTA EN ORTOPEDIA Y TRAUMATOLOGIA  POR MAYOR VALOR COBRADO  NO SE TIENE CONTRATO  NO SE RECONOCE VALOR DE ACUERDO A TARIFA DE MANUAL TARIFARIO VIGENTE SOAT UVB  CUYO VALOR ES DE $75.400  SE GLOSA LA DIFERENCIA EN EL VALOR COBRADO.</t>
  </si>
  <si>
    <t>SE GLOSA DRENAJE DE COLECCION PROFUNDA EN PIEL O TEJIDO CELULAR SUBCUTANEO POR INCISION O ASPIRACION  POR MAYOR VALOR COBRADO  NO SE TIENE CONTRATO  NO SE RECONOCE VALOR DE ACUERDO A TARIFA DE MANUAL TARIFARIO VIGENTE SOAT UVB  PROCEDIMIENTO DEL GRUPO 4  CUYO VALOR ES DE $840.000  SE GLOSA LA DIFERENCIA EN EL VALOR COBRADO.</t>
  </si>
  <si>
    <t>AR002328</t>
  </si>
  <si>
    <t>AR002330</t>
  </si>
  <si>
    <t>AR002196</t>
  </si>
  <si>
    <t>-</t>
  </si>
  <si>
    <t>MEDICO</t>
  </si>
  <si>
    <t>TA0208</t>
  </si>
  <si>
    <t>SE GLOSA LA ESTANCIA HOSPITALARIA COMPRENDIDA ENTRE EL 2 Y EL 14 DE AGOSTO DE 2025  POR NO PERTINENCIA MEDICA  DADO QUE EL PACIENTE SE ENCONTRABA CLINICAMENTE ESTABLE  CON TRATAMIENTO ANTIBIOTICO FINALIZADO Y SIN REQUERIMIENTOS DE MANEJO INTRAHOSPITALARIO ACTIVO. LA PERMANENCIA DURANTE DICHO PERIODO OBEDECIO UNICAMENTE A TRAMITES ADMINISTRATIVOS RELACIONADOS CON AUTORIZACIONES DE INSUMOS  LOS CUALES PUEDEN GESTIONARSE EN EL AMBITO AMBULATORIO  SIN JUSTIFICAR LA OCUPACION DE CAMA HOSPITALARIA.</t>
  </si>
  <si>
    <t>EN CONCILICACION SE LEVANTA GLOSA SE RECONOCE SERVICIO SEGÚN CARTA DE CONTINUIDAD BAJO CONTRATO 287 FIRMADA POR EL ORDENADOR DEL GASTO VIGENTE PARA LA FECHA DE ATENCION</t>
  </si>
  <si>
    <t>EN CONCILICACION DMBGA LEVANTA GLOSA A INC POR MEDICINA INTERBNA SOPORTADA Y JUSTIFICADA EN HC.</t>
  </si>
  <si>
    <t xml:space="preserve">EN CONCILICACION EN CONCILIACION DMBGA LEVANTA GLOSA ESTANCIA JUSTIFICADA POR TRAMITE EPS </t>
  </si>
  <si>
    <t>EN CONCILICACION SE LEVANTA GLOSA IPS ADJUNTA SOPORTE DE RESULTADO</t>
  </si>
  <si>
    <t>EN CONCILICACION EN CONCILIACION DMBGA LEVANTA GLOSA A ESTANCIA JUSTIFICADA Y SOPORTADA.</t>
  </si>
  <si>
    <t>EN CONCILICACION SE LEVANTA GLOSA POR PROCEDIMIENTO SE VERIFICA INFORME QXCA DONDE SE DOCUMENTA ADHERENCIA DE NERVIO EN AREA DE FRACTURA POR LO TANTO ESTA DEBIDAMENTE SOPORTADO Y ES FACTURABLE</t>
  </si>
  <si>
    <t>EN CONCILICACION EN CONCILIACION DMBGA LEVANTA GLOSA CUIDADO INTRAHOSPITALARIO PERTINENTE</t>
  </si>
  <si>
    <t>GLOSA VIG ANTERIOR | ADMINISTRATIVA | SE REALIZA NC SEGÚN ACTA DE CONCILIACION N° 710 DE 20/01/2026, SECRETARÍA DE SALUD DE SANTANDER DONDE EN CONCILIACION ESE HUS ACEPTA GLOSA TOTALPOR $437.500 PARA REFACTURAR USUARIO REGISTRA EN LA EPS COOSALUD PARA LA FECHA DE ATENCION POR LO TANTO NO ES PERTINENTE SU COBRO A LA SSS.</t>
  </si>
  <si>
    <t>DIRECCION DE SANIDAD EJERCITO - DISPENSARIO MEDICO BUCARAMANGA</t>
  </si>
  <si>
    <t xml:space="preserve">GLOSA VIG ANTERIOR | ADMINISTRATIVA | SE REALIZA NC SEGÚN ACTA DE CONCILIACION N° 709 DE 28/01/2026 DONDE: </t>
  </si>
  <si>
    <t xml:space="preserve">GLOSA VIG ANTERIOR | MEDICO | SE REALIZA NC SEGÚN ACTA DE CONCILIACION N° 709 DE 28/01/2026 DONDE: </t>
  </si>
  <si>
    <t xml:space="preserve">GLOSA VIG ANTERIOR | MIXTA | SE REALIZA NC SEGÚN ACTA DE CONCILIACION N° 709 DE 28/01/2026 DONDE: </t>
  </si>
  <si>
    <t>GLOSA VIG ANTERIOR | ADMINISTRATIVA | SE REALIZA NC SEGÚN ACTA DE CONCILIACION N° 709 DE 28/01/2026 DONDE: EN CONCILICACION SE LEVANTA GLOSA SE RECONOCE SERVICIO SEGÚN CARTA DE CONTINUIDAD BAJO CONTRATO 287 FIRMADA POR EL ORDENADOR DEL GASTO VIGENTE PARA LA FECHA DE ATENCION</t>
  </si>
  <si>
    <t xml:space="preserve">GLOSA VIG ANTERIOR | MIXTA | SE REALIZA NC SEGÚN ACTA DE CONCILIACION N° 709 DE 28/01/2026 DONDE: EN CONCILICACION EN CONCILIACION ESE HUS ACEPTA GLOSA $129,388 POR CONCEPTO DE ECOGRAFIA TRANSABDOMINAL, UNA VEZ REVISADA LA HISTORIA CLINICA SE EVIDENCIA HAY UNA SOLICITUD CON CODIGO ASIGNADO SIN EMBARGO EN OBSERVACION SE REFIERE A ECOGRAAFIA TRANSVAGINAL Y POSTERIOR SE REALIZA NUEVAMENTE LA ORDEN, EN VERIFICACION DE RESULTADOS SOLO APARECE RESULTADO DE ECOGRAFIA TRAANSVAAGINAAL POR LO CUAL NO SE CONSIDERA PERTINENTE FACTURACION NI INDICACION DE ECOGRAFIA TRANSABDOMINAL. </t>
  </si>
  <si>
    <t>GLOSA VIG ANTERIOR | ADMINISTRATIVA | SE REALIZA NC SEGÚN ACTA DE CONCILIACION N° 709 DE 28/01/2026 DONDE: EN CONCILICACION SE LEVANTA GLOSA IPS ADJUNTA SOPORTE DE RESULTADO PARA LA PATOLOGIA</t>
  </si>
  <si>
    <t>GLOSA VIG ANTERIOR | ADMINISTRATIVA | SE REALIZA NC SEGÚN ACTA DE CONCILIACION N° 709 DE 28/01/2026 DONDE: EN CONCILICACION SE LEVANTA GLOSA IPS ADJUNTA SOPORTE DE RESULTADO PARA LA AYUDA DIAGNOSTICA FACTURADA</t>
  </si>
  <si>
    <t>GLOSA VIG ANTERIOR | ADMINISTRATIVA | SE REALIZA NC SEGÚN ACTA DE CONCILIACION N° 709 DE 28/01/2026 DONDE: EN CONCILICACION IPS ACEPTA GLOSA POR MVC SEGÚN ACUERDO VIGENTE ENTRE LAS PARTES</t>
  </si>
  <si>
    <t>GLOSA VIG ANTERIOR | ADMINISTRATIVA | SE REALIZA NC SEGÚN ACTA DE CONCILIACION N° 709 DE 28/01/2026 DONDE: EN CONCILICACION SE LEVANTA GLOSA SERVICIO CORRESPONDE A VALORACION Y MANEJO POR GRUPO DE CONTROL METABOLICO Y NUTRICIONAL INICIALMENTE EL 21 DE AGOSTO PACIENTE CON REQUERIMIENTO DE NUTRICION ENTERAL POR SONDA POSTERIOMENTE POR DETERIORO DE ESTADO GENERAL SE SUSPENDE SOPORTE ENTERAL Y SE INICIA FLUJO METABOLICO, EL 26 DE AGOSTO SE REINICIA SOPORTE ENTERAL DE ESTA MANERA HASTA EL 29 DE AGOSTO DONDE SE EVIDENCIA MEJORIA DE SOPORTE ENTERAL Y SE SUSPENDE FLUJO METABOLICO</t>
  </si>
  <si>
    <t>GLOSA VIG ANTERIOR | ADMINISTRATIVA | SE REALIZA NC SEGÚN ACTA DE CONCILIACION N° 709 DE 28/01/2026 DONDE: EN CONCILICACION IPS ACEPTA GLOSA</t>
  </si>
  <si>
    <t>GLOSA VIG ANTERIOR | MIXTA | SE REALIZA NC SEGÚN ACTA DE CONCILIACION N° 709 DE 28/01/2026 DONDE: EN CONCILICACION DMBGA LEVANTA GLOSA A INC POR MEDICINA INTERBNA SOPORTADA Y JUSTIFICADA EN HC.</t>
  </si>
  <si>
    <t xml:space="preserve">GLOSA VIG ANTERIOR | MEDICO | SE REALIZA NC SEGÚN ACTA DE CONCILIACION N° 709 DE 28/01/2026 DONDE: EN CONCILICACION EN CONCILIACION DMBGA LEVANTA GLOSA ESTANCIA JUSTIFICADA POR TRAMITE EPS </t>
  </si>
  <si>
    <t>GLOSA VIG ANTERIOR | ADMINISTRATIVA | SE REALIZA NC SEGÚN ACTA DE CONCILIACION N° 709 DE 28/01/2026 DONDE: EN CONCILICACION IPS ACEPTA MVC SEGÚN FACTURA DE COMPRA ADJUNTA</t>
  </si>
  <si>
    <t>GLOSA VIG ANTERIOR | ADMINISTRATIVA | SE REALIZA NC SEGÚN ACTA DE CONCILIACION N° 709 DE 28/01/2026 DONDE: EN CONCILICACION SE LEVANTA GLOSA IPS ADJUNTA SOPORTE DE RESULTADO</t>
  </si>
  <si>
    <t>GLOSA VIG ANTERIOR | MIXTA | SE REALIZA NC SEGÚN ACTA DE CONCILIACION N° 709 DE 28/01/2026 DONDE: EN CONCILICACION EN CONCILIACION DMBGA LEVANTA GLOSA A ESTANCIA JUSTIFICADA Y SOPORTADA.</t>
  </si>
  <si>
    <t>GLOSA VIG ANTERIOR | ADMINISTRATIVA | SE REALIZA NC SEGÚN ACTA DE CONCILIACION N° 709 DE 28/01/2026 DONDE: EN CONCILICACION SE LEVANTA GLOSA POR PROCEDIMIENTO SE VERIFICA INFORME QXCA DONDE SE DOCUMENTA ADHERENCIA DE NERVIO EN AREA DE FRACTURA POR LO TANTO ESTA DEBIDAMENTE SOPORTADO Y ES FACTURABLE</t>
  </si>
  <si>
    <t xml:space="preserve">GLOSA VIG ANTERIOR | MIXTA | SE REALIZA NC SEGÚN ACTA DE CONCILIACION N° 709 DE 28/01/2026 DONDE: EN CONCILICACION EN CONCILIACION SE ACEPTA GLOSA POR $195411 POR CONCEPTO DE LISIS DE ADHERENCIAS SEGÚN LO DESCRITO EN HC PROCEDIMIENTO INHERENTE A PROCEDIMIENTO REALIZAADO NO HAY LUGAR A COBRO ADICIONAL. </t>
  </si>
  <si>
    <t>GLOSA VIG ANTERIOR | ADMINISTRATIVA | SE REALIZA NC SEGÚN ACTA DE CONCILIACION N° 709 DE 28/01/2026 DONDE: EN CONCILICACION SE LEVANTA GLOSA PARCIAL POR EL 26  EL 25 SE SOLICITO TAC PARA DEFINIR ABORDAJE QXCO, IPS ACEPTA 27Y 28 POR FALTA DE OPORTUNIDAD QXCA</t>
  </si>
  <si>
    <t>GLOSA VIG ANTERIOR | ADMINISTRATIVA | SE REALIZA NC SEGÚN ACTA DE CONCILIACION N° 709 DE 28/01/2026 DONDE: EN CONCILICACION SE LEVANTA GLOSA PARCIAL SE RECONOCE FACTURA DE COMPRA MAS UN INCREMENTO DEL 20 SEGÚN RESOLUCION PROPIA IPS ACEPTA LA DIFERENCIA POR MVC</t>
  </si>
  <si>
    <t>GLOSA VIG ANTERIOR | MEDICO | SE REALIZA NC SEGÚN ACTA DE CONCILIACION N° 709 DE 28/01/2026 DONDE: EN CONCILICACION EN CONCILIACION DMBGA LEVANTA GLOSA CUIDADO INTRAHOSPITALARIO PERTINENTE</t>
  </si>
  <si>
    <t>GLOSA VIG ANTERIOR | MEDICO | SE REALIZA NC SEGÚN ACTA DE CONCILIACION N° 709 DE 28/01/2026 DONDE: EN CONCILICACION EN CONCILIACION ESE HUS ACEPTA GLOSA A ESTANCIA AJUSTADA A HABITACION BIPERSONAL, NO HAY INDICACION DE AISLAMIENTO EN ORDENES MEDICAS QUE SOPORTE LA ESTANCIA EN HABITACION UNIPERSONAL</t>
  </si>
  <si>
    <t>GLOSA VIG ANTERIOR | ADMINISTRATIVA | SE REALIZA NC SEGÚN ACTA DE CONCILIACION N° 709 DE 28/01/2026 DONDE: EN CONCILICACION SE LEVANTA GLOSA IPS ADJUNTA SOPORTE DE DESCRIPCION PARA EL PROCEDIMIENTO GLOSADO</t>
  </si>
  <si>
    <t>GLOSA VIG ANTERIOR | ADMINISTRATIVA | SE REALIZA NC SEGÚN ACTA DE CONCILIACION N° 709 DE 28/01/2026 DONDE: EN CONCILICACION IPS ACEPTA GLOSA POR MVC EN FACTURA DE COMPRA</t>
  </si>
  <si>
    <t xml:space="preserve">GLOSA VIG ANTERIOR | MIXTA | SE REALIZA NC SEGÚN ACTA DE CONCILIACION N° 709 DE 28/01/2026 DONDE: EN CONCILICACION ACEPTADO EN GLOSA INICIAL LOS DIAS NO JUSTIFICADOS - CL0101 ESE HUS ACEPTA GLOSA PARCIAL POR 1.594.320 POR ESTANCIA INACTIVA  2 DIAS POR INOPORTUNIDAD EN RESPUESTA A INTERCONSULTA POR ANESTESIA  SOLICITADA EL DIA 24 Y CON RESPUESTA EL DIA 27  POR LO QUE SE CONSIDERA DIA 25 26 SIN JUSTIFICACION ESTANCIA INACTIVA EN ESPERA DE CONCEPTO DE LA ESPECIALIDAD PARA DEFINIR CONDUCTA POR ORTOPEDIA  Y 2 DIAS 30 Y 31 EN ESPERA DE ASIGNACION DE FRANJA QUIRURGICA CON APTO POR ANESTESIA Y GERIATRIA Y SOLICITUD DE MAOS DESDE EL DIA 28 Y PROGRAMADO PARA EL DIA 1  SIN EMBARGO NO SE CONSIDERA ESTANCIA INACTIVA DEL 28 Y 29 DADO TIEMPO INSTITUCIONAL ESTABLECIDO PARA DISPONIBILIDAD DE MAOS.  </t>
  </si>
  <si>
    <t xml:space="preserve">GLOSA VIG ANTERIOR | ADMINISTRATIVA | SE REALIZA NC SEGÚN ACTA DE CONCILIACION N° 709 DE 28/01/2026 DONDE: EN CONCILICACION SE LEVANTA GLOSA INSUMO FACTURABLE </t>
  </si>
  <si>
    <t>GLOSA VIG ANTERIOR | MEDICO | SE REALIZA NC SEGÚN ACTA DE CONCILIACION N° 709 DE 28/01/2026 DONDE: EN CONCILICACION EN CONCILIACION SE ACEPTA GLOSA POR $398,580 POR CONCEPTO DE ESTANCIA NO JUSTIFICXADA EN ESPERA DE REALZIACION Y DEFINICIO  DE PUNCION LUMBAR Y DAR EGRESO. YA CON AUTORIZACION POR PARRTE DE LA EPS DE ESTUDIO A REALZIAR Y TRAMITAR CON LABORATORIO EXTERNO</t>
  </si>
  <si>
    <t xml:space="preserve">GLOSA VIG ANTERIOR | MEDICO | SE REALIZA NC SEGÚN ACTA DE CONCILIACION N° 709 DE 28/01/2026 DONDE: EN CONCILICACION EN CONCILIACION DMBGA LEVANTA GLOSA ESTANCIA JUSTIFICADA </t>
  </si>
  <si>
    <t xml:space="preserve">GLOSA VIG ANTERIOR | MEDICO | SE REALIZA NC SEGÚN ACTA DE CONCILIACION N° 709 DE 28/01/2026 DONDE: EN CONCILICACION ACEPTADO EN GLOSA INCIAL - CL0301 ESE HUS ACEPTA GLOSA POR 79.407 CONSULTA DE URGENCIAS  EN PACIENTE CITADA PARA CESAREA PROCEDIMIENTO YA PROGRAMADO. NO PERTINENTE NO JUSTIFICADO NI SOPORTADO SEGUN EL DECRETO 2423 DE 1996. </t>
  </si>
  <si>
    <t>GLOSA VIG ANTERIOR | MEDICO | SE REALIZA NC SEGÚN ACTA DE CONCILIACION N° 709 DE 28/01/2026 DONDE: EN CONCILICACION EN CONCILIACION DMBGA LEVANTA GLOSA</t>
  </si>
  <si>
    <t xml:space="preserve">GLOSA VIG ANTERIOR | MEDICO | SE REALIZA NC SEGÚN ACTA DE CONCILIACION N° 709 DE 28/01/2026 DONDE: EN CONCILICACION ACEPTADO EN GLOSA INICIAL - CL0801 ESE HUS ACEPTA GLOSA POR 108.024 CORRESPONDIENTE A TRANSFUSION  PROCEDIMIENTO REALIZADO POR PERSONAL DE ENFERMERIA SEGUN LO EVIDENCIADO EN LAS NOTAS  NO FACTURABLE SEGÚN LO ESTABLECIDO EN DECRETO 2423/1996.  </t>
  </si>
  <si>
    <t xml:space="preserve">GLOSA VIG ANTERIOR | MEDICO | SE REALIZA NC SEGÚN ACTA DE CONCILIACION N° 709 DE 28/01/2026 DONDE: EN CONCILICACION ACEPTADO EN GLOSA INICIAL -CL0101 ESE HUS ACEPTA GLOSA POR 797.160 CORRESPONDIENTE A ESTANCIA INACTIVA INJUSTIFICADA DE LOS DIAS 5 Y 6 EN ESPERA DE MATERIAL AIRPEN SEGUN LO VERIFICADO EN LA HISTORIA CLINICA Y SE DA EGRESO Y SE CITA PAARA PROCEDIMIENTO. PACIENTE INGRESA EL DIA 4 SE DIAGNOSTICA FRACTURA ADEMAS DE LESION DE TEJIDOS BLANDOS CIRUGIA PLASTICA INDICAA PROCEDIMIENTO Y SOLICITA AIRPEN  DIAS 5 6 7 EN ESPERA DE TURNO QUIRURGICO UNA VEZ SE GAARANTICE LO SOLICITADO Y EL DIA 8 SE DA EGRESO A SOLICITUD DEL PACIENTE POR PROCEDIMIENTO QUE YA TIENE PROGRAMADO PARA EL DIA 9 POR LO QUE CITAN NUEVAMNETE 5 DIAS DESPUES DEL PROCEDIMIENTO.  </t>
  </si>
  <si>
    <t xml:space="preserve">GLOSA VIG ANTERIOR | MEDICO | SE REALIZA NC SEGÚN ACTA DE CONCILIACION N° 709 DE 28/01/2026 DONDE: EN CONCILICACION ACEPTADO EN GLOSA INICIAL - CL0601 ESE HUS ACEPTA GLOSA POR 42.800 INSUMO NO FACTURABLE  PACIENTE INGRESA SOLO A PROCEDIMIENTO  SEGUN REGISTRO EN HC. INCLUIDO EN MATERIALES DE CIRUGIA </t>
  </si>
  <si>
    <t xml:space="preserve">GLOSA VIG ANTERIOR | MEDICO | SE REALIZA NC SEGÚN ACTA DE CONCILIACION N° 709 DE 28/01/2026 DONDE: EN CONCILICACION EN CONCILIACION DMBGA SE LEVANTA GLOSA </t>
  </si>
  <si>
    <t>GLOSA VIG ANTERIOR | ADMINISTRATIVA | SE REALIZA NC SEGÚN ACTA DE CONCILIACION N° 709 DE 28/01/2026 DONDE: EN CONCILICACION SE LEVANTA GLOSA SE RECONOCE INSUMO SEGÚN FACTURA DE COMPRA ADJUNTA MAS EL 20 PORCIENTO SEGÚN RESOLUCION INSTITUCIONAL</t>
  </si>
  <si>
    <t>GLOSA VIG ANTERIOR | ADMINISTRATIVA | SE REALIZA NC SEGÚN ACTA DE CONCILIACION N° 709 DE 28/01/2026 DONDE: EN CONCILICACION SE LEVANTA GLOSA INSUMO FACTURABLE PARA TOMA DE MUESTRAS DE CULTIVO</t>
  </si>
  <si>
    <t>GLOSA VIG ANTERIOR | ADMINISTRATIVA | SE REALIZA NC SEGÚN ACTA DE CONCILIACION N° 709 DE 28/01/2026 DONDE: EN CONCILICACION SE LEVANTA GLOSA PARCIAL SE RECONOCE FACTURA DE COMPRA ADJUNTA MAS EL 19 PORCIENTO IVA Y 20 PORCIENTO SEGÚN RESOLUCION PROPIA IPS ACEPTA LA DIFERENCIA POR MVC</t>
  </si>
  <si>
    <t xml:space="preserve">GLOSA VIG ANTERIOR | ADMINISTRATIVA | SE REALIZA NC SEGÚN ACTA DE CONCILIACION N° 709 DE 28/01/2026 DONDE: EN CONCILICACION SE LEVANTA GLOSA AYUDA DIAGNOSTICA PERTINENTE </t>
  </si>
  <si>
    <t xml:space="preserve">GLOSA VIG ANTERIOR | ADMINISTRATIVA | SE REALIZA NC SEGÚN ACTA DE CONCILIACION N° 709 DE 28/01/2026 DONDE: EN CONCILICACION SE LEVANTA GLOSA POR PROCEDIMIENTO FACTURABLE DEBIDAMENTE SOPORTADO </t>
  </si>
  <si>
    <t xml:space="preserve">GLOSA VIG ANTERIOR | ADMINISTRATIVA | SE REALIZA NC SEGÚN ACTA DE CONCILIACION N° 709 DE 28/01/2026 DONDE: EN CONCILICACION SE LEVANTA GLOSA SE RECONOCE INSUMOS A TARIFA PROPIA ADJUNTA POR LA IPS </t>
  </si>
  <si>
    <t xml:space="preserve">GLOSA VIG ANTERIOR | ADMINISTRATIVA | SE REALIZA NC SEGÚN ACTA DE CONCILIACION N° 709 DE 28/01/2026 DONDE: EN CONCILICACION IPS ACEPTA GLOSA </t>
  </si>
  <si>
    <t xml:space="preserve">GLOSA VIG ANTERIOR | MIXTA | SE REALIZA NC SEGÚN ACTA DE CONCILIACION N° 709 DE 28/01/2026 DONDE: EN CONCILICACION EN CONCILIACION ESE HUS ACEPTA GLOSA POR $2777604 AJUSTE DE ESTANCIA DE UCI PLENA A INTERMEIDA NO PERTINENTE DADO SIN CRITERIOS </t>
  </si>
  <si>
    <t>GLOSA VIG ANTERIOR | ADMINISTRATIVA | SE REALIZA NC SEGÚN ACTA DE CONCILIACION N° 709 DE 28/01/2026 DONDE: EN CONCILICACION SE LEVANTA GLOSA PARCIAL SE RECONOCE FACTURA DE COMPRA ADJUNTA MAS EL  20 PORCIENTO SEGÚN RESOLUCION PROPIA IPS ACEPTA LA DIFERENCIA POR MVC</t>
  </si>
  <si>
    <t xml:space="preserve">GLOSA VIG ANTERIOR | MIXTA | SE REALIZA NC SEGÚN ACTA DE CONCILIACION N° 709 DE 28/01/2026 DONDE: EN CONCILICACION IPS ACEPTA GLOSA </t>
  </si>
  <si>
    <t xml:space="preserve">GLOSA VIG ANTERIOR | MIXTA | SE REALIZA NC SEGÚN ACTA DE CONCILIACION N° 709 DE 28/01/2026 DONDE: EN CONCILICACION SE LEVANTA MEDICAMENTO PERTINENTE </t>
  </si>
  <si>
    <t xml:space="preserve">GLOSA VIG ANTERIOR | MIXTA | SE REALIZA NC SEGÚN ACTA DE CONCILIACION N° 709 DE 28/01/2026 DONDE: EN CONCILICACION ACEPTADO EN GLOSA INICIAL -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 </t>
  </si>
  <si>
    <t>GLOSA VIG ANTERIOR | ADMINISTRATIVA | SE REALIZA NC SEGÚN ACTA DE CONCILIACION N° 709 DE 28/01/2026 DONDE: EN CONCILICACION SE LEVANTA GLOSA IPS ADJUNTA SOPORTE DE PARTICIPACION DE JUNTA MEDICA</t>
  </si>
  <si>
    <t>GLOSA VIG ANTERIOR | ADMINISTRATIVA | SE REALIZA NC SEGÚN ACTA DE CONCILIACION N° 709 DE 28/01/2026 DONDE: EN CONCILICACION IPS ACEPTA GLOSA POR 1 DIA DE ESTANCIA SOBREFACTURADO</t>
  </si>
  <si>
    <t>GLOSA VIG ANTERIOR | MIXTA | SE REALIZA NC SEGÚN ACTA DE CONCILIACION N° 709 DE 28/01/2026 DONDE: EN CONCILICACION EN CONCILIACION DMBGA LEVANTA GLOSA IC JUSTIFICADA EN HC</t>
  </si>
  <si>
    <t xml:space="preserve">GLOSA VIG ANTERIOR | MEDICO | SE REALIZA NC SEGÚN ACTA DE CONCILIACION N° 709 DE 28/01/2026 DONDE: EN CONCILICACION en conciliacion levanta glosa </t>
  </si>
  <si>
    <t>GLOSA VIG ANTERIOR | MIXTA | SE REALIZA NC SEGÚN ACTA DE CONCILIACION N° 709 DE 28/01/2026 DONDE: EN CONCILICACION EN CONCILIACION ES EHUS ACEPTA GLOSA A TRANSFUSION REALZIADA POR PERSONAL DE ENFERMERIA SEGÚN LO EVIDENCIADO EN NOTAS, POR LO TANTO NO FACTURABLE INCLUIDO EN LAS ACTIVIDADES DEL PERSONAL</t>
  </si>
  <si>
    <t xml:space="preserve">GLOSA VIG ANTERIOR | MIXTA | SE REALIZA NC SEGÚN ACTA DE CONCILIACION N° 709 DE 28/01/2026 DONDE: EN CONCILICACION ACEPTADO EN GLOSA INICIAL - CL0701 ESE HUS ACEPTA GLOSA POR 3700 POR ONDANSETRON MEDICAMENTO NO JUSTIFICADO NI SOPORTADO EN ATENCION A LO DESCRITO COMO MOTIVO DE CONSULTA Y ENFERMEDAD ACTUAL  PACIENTE CON CEFALEA CRONICA AGUDIZADA CON MAREO DOLOR LUMBAR Y PARESTESIAS EN BRAZO DERECHO  VALORADA POR NEUROCIRUGIA DE TURNO QUIEN REFIERE PACINETE DEBE INGRESAR PARA TOMA DE PARACLINICOS E IMAGENES DIAGNOSTICAS  SE INGRESA PARA MANEJO INTEGRAL  SE ESTA ATENTO A CAMBIOS. </t>
  </si>
  <si>
    <t xml:space="preserve">GLOSA VIG ANTERIOR | MIXTA | SE REALIZA NC SEGÚN ACTA DE CONCILIACION N° 709 DE 28/01/2026 DONDE: EN CONCILICACION ACEPTADO EN GLOSA INICIAL - CL2301 ESE HUS ACEPTA GLOSA PARCIAL POR 238614 CORRESPONDIENTE A RELIQUIDACION DE PROCEDIMIENTO LISIS DE ADHERENCIAS TENIENDO EN CUENTA PROCEDIMIENTO PRINCIPAL RESECCION DE TUMOR DE OVARIO Y SALPINGUECTOMIA UNILATERAL  POR LO TANTO SE DEJA LISIS DE ADHRENCIAS COMO 3ER PROCEDIMIENTO ANTE HALLAZGO QUIRURGICO SOPORTADO Y DESCRITA SU REALIZACION QUEDANDO AL 50% HONORARIOS DE CIRUJANO  ANESTESIOLOGO Y AYUDANTE QUIRURGICO  SIN DERECHO A COBRO ADICIONAL POR MATERIALES Y DERECHOS DE SALA. EN ATENCION A DECRETO 2423 DE 1996. </t>
  </si>
  <si>
    <t xml:space="preserve">GLOSA VIG ANTERIOR | MIXTA | SE REALIZA NC SEGÚN ACTA DE CONCILIACION N° 709 DE 28/01/2026 DONDE: EN CONCILICACION ACEPTADO EN GLOSA INICIAL - CL0101 ESE HUS ACEPTA GLOSA POR 929.898 DIFERENCIA ENTRE ESTANCIA EN UCI PLENA Y UCI INTERMEDIA  UNA VEZ REVISADA LA HISTORIA CLINICA SE EVIDENCIA PACIENTE HEMODINAMICAMENTE ESTABLE  SIN SOPORTE VASOPRESOR  SIN SOPORTE DE OXIGENO DE ALTO FLUJO  EN MANEJO DE QUEMADURAS CON INDICACION DE MANEJO EN UNIDAD DE QUEMADOS  NO CUMPLE CRITERIOS PARA PERMANENCIA EN UNIDAD DE CUIDADO INTENSIVO.  </t>
  </si>
  <si>
    <t xml:space="preserve">GLOSA VIG ANTERIOR | MEDICO | SE REALIZA NC SEGÚN ACTA DE CONCILIACION N° 709 DE 28/01/2026 DONDE: EN CONCILICACION ACEPTADO EN GLOSA INICIAL - CL0101 ESE HUS ACEPTA GLOSA PARCIAL POR 1.195.740 POR ESTANCIA DE LOS DIAS 27  29 30  TENIENDO EN CUENTA QUE PACIENTE YA TENIA CONDUCTA DEFINIDA DE PROCEDIMIENTO CON APTO DE ANESTESIA Y CONCEPTO DE MEDICINA INTERNA  EN ESPERA DE ASIGNACION DE FRANJA QUIRURGICA  POR LO QUE SE CONSIDERA ESTANCIA INACTIVA INJUSTIFICADA POR INOPORTUNIDAD QUIRURGICA  LOS DEMAS DIAS SE CONSIDERA PERTINENTE EN MANEJO Y ESTABILIZACION DE CIFRAS TENSIONALES. CL0101 ESE HUS NO ACEPTA GLOSA POR EL DIA 28 PACIENTE EN ESTUDIOS Y DEFINICION DE MANEJO QUIRURGICOS  ADEMAS CON CIFRAS TENSIONALES FUERA DE METAS EN COMPENSACION POR LO QUE SE CONSIDERA DIAS PERTINENTES.   </t>
  </si>
  <si>
    <t xml:space="preserve">GLOSA VIG ANTERIOR | MEDICO | SE REALIZA NC SEGÚN ACTA DE CONCILIACION N° 709 DE 28/01/2026 DONDE: EN CONCILICACION ACEPTADO EN GLOSA INICIAL - CL0101 ESE HUS ACEPTA GLOSA PARCIAL POR 797.160 POR 2 DIAS DE ESTANCIA INACTIVA DE LOS DIAS 30 Y 1 EN ESPERA DE PROGRAMACION DE CIRUGIA  EN PACIENTE QUE INGRESA EL DIA 27 VALORA ORTOPEDIA INDICA MANEJO QUIRURGICO  SOLICITA VALORACION POR ANESTESIA  GERIATRIA Y PSIQUIATRIA DADO ANTECEDENTES  EL DIA 28 CON APTO POR LAS ESPECIALIDADES  EN ESPERA DE ASIGNACION DE FRANJA  EL DIA 29 EN ESPERA DE ASIGNACION DE FRANJA. PACIENTE PROGRAMADO PARAA EL DIA 2. ESTANCIA INACTIVA DEL 30 Y 1.  </t>
  </si>
  <si>
    <t xml:space="preserve">GLOSA VIG ANTERIOR | MEDICO | SE REALIZA NC SEGÚN ACTA DE CONCILIACION N° 709 DE 28/01/2026 DONDE: EN CONCILICACION ACEPTADO EN GLOSA INICIAL - CL0801 ESE HUS ACEPTA GLOSA POR 1.195.740 POR ESTANCIA INACTIVA DEL 18 19 Y 20 PACIENTE CON INDICACION DE PROCEDIMIENTO DE URETEROLITOTOMIA  CON APTO DE ANESTESIA EL DIA 17  E INDICAN SE PROGRAMA EN FRANJA QUIRURGICA DEL DIA 22  POR LO ANTERIOR SE CONSIDERA ESTANCIA INJUSTIFICADA INACTIVA EN PACIENTE ESTABLE COMPENSADO SIN MANEJO ADICIONAL EN ESPERA DE PROCEDIMIENTO.  </t>
  </si>
  <si>
    <t>GLOSA VIG ANTERIOR | MEDICO | SE REALIZA NC SEGÚN ACTA DE CONCILIACION N° 709 DE 28/01/2026 DONDE: EN CONCILICACION EN CONCILIACION DMBGA LEVANTA GLOSA ESTUDIO JUSTIFICADO EN HC POR ANTECEDENTE.</t>
  </si>
  <si>
    <t xml:space="preserve">GLOSA VIG ANTERIOR | MEDICO | SE REALIZA NC SEGÚN ACTA DE CONCILIACION N° 709 DE 28/01/2026 DONDE: EN CONCILICACION ACEPTADO EN GLOSA INICIAL - CL0801 ESE HUS ACEPTA GLOSA POR 68.120 ESTUDIO RELACION LACTATO PIRUVATO  UNA VEZ REVISADA LA HISTORIA CLINICA SE EVIDENCIA ESTUDIO SOLICITADO PERO NO REPORTADO  NO INTERPRETADO POR LO TANTO NO PERTINENTE NI JUSTIFICADO EN LA HISTORIA CLINICA.   </t>
  </si>
  <si>
    <t xml:space="preserve">GLOSA VIG ANTERIOR | MEDICO | SE REALIZA NC SEGÚN ACTA DE CONCILIACION N° 709 DE 28/01/2026 DONDE: EN CONCILICACION ACEPTADO EN GLOSA INICIAL - CL0801 ESE HUS ACEPTA GLOSA POR 68.120 LACTATO ARTERIAL ESTUDIO SOLICITADO AL INGRESO NO JUSTIFICADO POR MEDICO GENERAL QUIEN LO SOLICITA CON EL FIN DE DAR SOPORTE A LA INDICACION  ADEMAS NO SE REGISTRA SU INTERPRETACION O APORTE AL MANEJO POR LO QUE NO SE CONSIDERA PERTINENTE SU INDICACION. </t>
  </si>
  <si>
    <t xml:space="preserve">GLOSA VIG ANTERIOR | MEDICO | SE REALIZA NC SEGÚN ACTA DE CONCILIACION N° 709 DE 28/01/2026 DONDE: EN CONCILICACION ACEPTADO EN GLOSA INICIAL - CL5801 ESE HUS ACEPTA GLOSA PARCIAL POR 1.269.690 POR RELIQUIDACION DE PROCEDIMIENTO REALIZADO FISTULECTOMIA COMO PRINCIPAL Y DADO LOS HALLAZGOS REALIZADA LA ESCISION DE TEJIDO PERIANAL DESCRITA Y SOPORTADA EN REGISTRO QUIRURGICO. QUEDADO AJUSTADO ASI: 626.340 POR DERECHOS DE SALA FACTURADOS AL 100% EN EN PROCEDIMIENTO PRINCIPAL  NO HAY LUGAR A COBRO EN SEGUNDO PROCEDIMIENTO EN ATENCION A DECRETO 2423 DE 1996  Y 643.350 POR HONORARIOS DE CIRUJANO AJUSTADO AL 50% TENIENDO EN CUENTA QUE SE FACTURO AL 100% EN PROCEDIMIENTO PRINCIPAL  EN ATENCION A DECRETO 2423 DE 1996 </t>
  </si>
  <si>
    <t xml:space="preserve">GLOSA VIG ANTERIOR | MEDICO | SE REALIZA NC SEGÚN ACTA DE CONCILIACION N° 709 DE 28/01/2026 DONDE: EN CONCILICACION ACEPTADO EN GLOSA INICIAL - CL2301 ESE HUS ACEPTA GLOSA POR 336.171 POR PROCEDIMIENTO SALPINGUECTOMIA UNILATERAL NO FACTURABLE EN ATENCION A PROCEDIMIENTO PRINCIPAL  TENIENDO EN CUENTA QUE LO REALIZADO SEGUN LA DESCRIPCION QUIRURGICA Y LO REGISTRADO POR EL ESPECIALISTA ES UNA HISTERECTOMIA ABDOMINAL TOTAL AMPLIADA POR LAPAROTOMIA  Y EN ESTE CASO CUANDO ES AMPLIADA ESTA INCLUYE EXTIRPACION DE OVARIO Y TROMPAS DE FALOPIO  POR LO TANTO NO ES FACTURABLE ADICIONAL.  </t>
  </si>
  <si>
    <t>GLOSA VIG ANTERIOR | MEDICO | SE REALIZA NC SEGÚN ACTA DE CONCILIACION N° 709 DE 28/01/2026 DONDE: EN CONCILICACION EN CONCILIACION ESE HUS ACEPTA GLOSA POR ESTANCIA INACTIVAA EN ESPERA DE GARANTIA DE HOLTER</t>
  </si>
  <si>
    <t>GLOSA VIG ANTERIOR | MIXTA | SE REALIZA NC SEGÚN ACTA DE CONCILIACION N° 709 DE 28/01/2026 DONDE: EN CONCILICACION EN CONCILIACION ESE HUS ACEPTA GLOSA POR ESTANCIA INACTIVA INOPORTUNIDAD REALZIACION PX</t>
  </si>
  <si>
    <t xml:space="preserve">GLOSA VIG ANTERIOR | MIXTA | SE REALIZA NC SEGÚN ACTA DE CONCILIACION N° 709 DE 28/01/2026 DONDE: EN CONCILICACION ACEPTADA EN GLOSA INICIAL - CL0101 ESE HUS ACEPTA GLOSA PARCIAL POR 1.594.320 POR 4 DIAS DE ESTANCIA INACTIVA EN ESPERA DE CONSECUSION DE MATERIAL DE OTS  SEGUN LO DESCRITO EN LA HISTORIA CLINICA  PACIENTE CON INDICACION DE SEGUNDO TIEMPO  CON SOLICITUD DE MATERIAL  CON APTO DE ANESTESIA DESDE EL DIA 12  SE PROGRAMA PROCEDIMIENTO PARA  EL DIA 17  POR LO QUE SE CONSIDERA DIAS 13 14 15 16 DE ESTANCIA INACTIVA INJUSTIFICADA.  </t>
  </si>
  <si>
    <t xml:space="preserve">GLOSA VIG ANTERIOR | MEDICO | SE REALIZA NC SEGÚN ACTA DE CONCILIACION N° 709 DE 28/01/2026 DONDE: EN CONCILICACION EN CONCILIACION DMBGA LEVANTAA GLOSA A ESTUDIOS JUSTIFICADOS DADO QUE LA PAATOLOGIA SINDROME CARDIO MIOFASCIOCUTANEO SE DEBE VIGILAR LA FUNCION TIROIDEA  POR RIESGO DE ALTERACION TIROIDEA </t>
  </si>
  <si>
    <t xml:space="preserve">GLOSA VIG ANTERIOR | ADMINISTRATIVA | SE REALIZA NC SEGÚN ACTA DE CONCILIACION N° 709 DE 28/01/2026 DONDE: EN CONCILICACION SE LEVANTA GLOSA PARCIAL SE RECONOCE FACTURA DE COMPRA ADJUNTA MAS EL 19 PORCIENTO IVA Y 20 PORCIENTO SEGÚN RESOLUCION PROPIA IPS ACEPTA LA DIFERENCIA POR MVC </t>
  </si>
  <si>
    <t>GLOSA VIG ANTERIOR | ADMINISTRATIVA | SE REALIZA NC SEGÚN ACTA DE CONCILIACION N° 709 DE 28/01/2026 DONDE: EN CONCILICACION SE LEVANTA GLOSA IPS SOPORTA DESCRIPCION QUIRURGICA Y HOJA DE ANESTESIA PARA LOS PROCEDIMIENTOS FACTURADOS</t>
  </si>
  <si>
    <t>GLOSA VIG ANTERIOR | ADMINISTRATIVA | SE REALIZA NC SEGÚN ACTA DE CONCILIACION N° 709 DE 28/01/2026 DONDE: EN CONCILICACION SE ACEPTA GLOSA PARCIAL SE RECONOCE SEGÚN HC Y PATOLOGIA DEL PACIENTE  LEUCEMIA MIELOIDE CRÓNICA SE RECONOCE LOS 13 DIAS DE AISLAMIENTO EN EL CUAL LA IPS ACEPTA HABITACION 3 CAMAS</t>
  </si>
  <si>
    <t>SE OBJETA 1 DIA DE ESTANCIA FACTURADA EN CUIDADO INTERMEDIO PACIENE INGRESA EL DIA 18 AGOSTO EGRESA 20 AGOSTO 18 HORAS  SE RECONOCE LOS 2 DIAS DE ESTANCIA QUE PERMANECIO EL PACIENTE.</t>
  </si>
  <si>
    <t>YESID PEREZ</t>
  </si>
  <si>
    <t>U240061 - FIDEICOMISOS PATRIMONIOS AUTONOMOS FIDUCIARIA LA PREVISORA S.A.  FOMAG</t>
  </si>
  <si>
    <t>N</t>
  </si>
  <si>
    <t>GLOSA TOTAL RATIFICADA</t>
  </si>
  <si>
    <t>U220201 - SANITAS S.A.S. EPS SUBSIDIDADO</t>
  </si>
  <si>
    <t>HUS0000463797</t>
  </si>
  <si>
    <t>HUS0000456780</t>
  </si>
  <si>
    <t>S</t>
  </si>
  <si>
    <t>HUS0000462157</t>
  </si>
  <si>
    <t>HUS0000462282</t>
  </si>
  <si>
    <t>IVAN MAURICIO ARCINIEGAS LUNA</t>
  </si>
  <si>
    <t>HUS0000453962</t>
  </si>
  <si>
    <t>HUS0000455554</t>
  </si>
  <si>
    <t xml:space="preserve">LEIDY SANGUINO </t>
  </si>
  <si>
    <t>HUS0000462028</t>
  </si>
  <si>
    <t>HUS0000462187</t>
  </si>
  <si>
    <t>HUS0000464207</t>
  </si>
  <si>
    <t>C260011 - DISPENSARIO MEDICO BUCARAMANGA MEBUG</t>
  </si>
  <si>
    <t>HUS0000466698</t>
  </si>
  <si>
    <t>OSCAR AUGUSTO VILLAMIZAR RINCON</t>
  </si>
  <si>
    <t>HUS0000463398</t>
  </si>
  <si>
    <t>HUS0000465569</t>
  </si>
  <si>
    <t>HUS0000465602</t>
  </si>
  <si>
    <t>HUS0000465611</t>
  </si>
  <si>
    <t>HUS0000465618</t>
  </si>
  <si>
    <t>HUS0000467586</t>
  </si>
  <si>
    <t>HUS0000466943</t>
  </si>
  <si>
    <t>HUS0000467328</t>
  </si>
  <si>
    <t>HUS0000466879</t>
  </si>
  <si>
    <t>HUS0000466886</t>
  </si>
  <si>
    <t>HUS0000466991</t>
  </si>
  <si>
    <t>HUS0000467088</t>
  </si>
  <si>
    <t>HUS0000467138</t>
  </si>
  <si>
    <t>HUS0000466922</t>
  </si>
  <si>
    <t>HUS0000468094</t>
  </si>
  <si>
    <t>HUS0000461923</t>
  </si>
  <si>
    <t>HUS0000466547</t>
  </si>
  <si>
    <t>LAURA DIAZ</t>
  </si>
  <si>
    <t>HUS0000466552</t>
  </si>
  <si>
    <t>HUS0000467508</t>
  </si>
  <si>
    <t>HUS0000386308</t>
  </si>
  <si>
    <t>SEGUROS DEL ESTADO SOAT</t>
  </si>
  <si>
    <t>EN CONCILIACION ESE HUS ACEPTA GLOSA POR VALOR $200 SOBREFACTURADO POR CONCEPTO DE MANO DEDOS PUÑO (MUÑECA) CODO PIE CLAVICULA ANTEBRAZO CUELLO DE PIE (TOBILLO) EDAD OSEA (CARPOGRAMA) CALCANEO, YA QUE SE REVISA LA FACTURA Y SE VERIFICA QUE SE FACTURO 1 SOLO RX, POR VALOR UNITARIO DE $73.500 COMO LO ESTABLECE LA NORMA, PERO EN EL VALOR TOTAL SE EVIDENCIA QUE SE FACTURO $73.700 POR LO CUAL SE CONFIRMA UN MVC.</t>
  </si>
  <si>
    <t>HUS0000386883</t>
  </si>
  <si>
    <t>EN CONCILIACION ENTIDAD LEVANTA GLOSA</t>
  </si>
  <si>
    <t>EN CONCILIACION ESE HUS ACEPTA GLOSA POR VALOR DE $11.260 POR CONCEPTO DE  SET DE EXTENSION CON MICROCLAVE CLEAR PINZA LUER GIRATORIO LAT-MC2005, INSUMO NO FACTURABLE, INCLUIDO EN DERECHOS DE SALA.</t>
  </si>
  <si>
    <t>HUS0000400220</t>
  </si>
  <si>
    <t>AUD-0950-2026</t>
  </si>
  <si>
    <t>EN CONCILIACION ESE HUS ACEPTA GLOSA POR VALOR $36.200 PARA REFACTURAR AL ADRES, TOPE AGOTADO, ASEGURADORA ENTREGA CERTIFICACION DE AGOTAMIENTO DE COBERTURA CON CONSECUTIVO CRSOAT-150-2026</t>
  </si>
  <si>
    <t>EN CONCILIACION ESE HUS ACEPTA GLOSA POR VALOR $46.200 PARA REFACTURAR AL ADRES, TOPE AGOTADO, ASEGURADORA ENTREGA CERTIFICACION DE AGOTAMIENTO DE COBERTURA CON CONSECUTIVO CRSOAT-150-2026</t>
  </si>
  <si>
    <t>SO2301</t>
  </si>
  <si>
    <t>EN CONCILIACION ESE HUS ACEPTA GLOSA POR VALOR $52.600 PARA REFACTURAR AL ADRES, TOPE AGOTADO, ASEGURADORA ENTREGA CERTIFICACION DE AGOTAMIENTO DE COBERTURA CON CONSECUTIVO CRSOAT-150-2026</t>
  </si>
  <si>
    <t>EN CONCILIACION ESE HUS ACEPTA GLOSA POR VALOR $51.200 PARA REFACTURAR AL ADRES, TOPE AGOTADO, ASEGURADORA ENTREGA CERTIFICACION DE AGOTAMIENTO DE COBERTURA CON CONSECUTIVO CRSOAT-150-2026</t>
  </si>
  <si>
    <t>EN CONCILIACION ESE HUS ACEPTA GLOSA POR VALOR $900 PARA REFACTURAR AL ADRES, TOPE AGOTADO, ASEGURADORA ENTREGA CERTIFICACION DE AGOTAMIENTO DE COBERTURA CON CONSECUTIVO CRSOAT-150-2026</t>
  </si>
  <si>
    <t>EN CONCILIACION ESE HUS ACEPTA GLOSA POR VALOR $12.600 PARA REFACTURAR AL ADRES, TOPE AGOTADO, ASEGURADORA ENTREGA CERTIFICACION DE AGOTAMIENTO DE COBERTURA CON CONSECUTIVO CRSOAT-150-2026</t>
  </si>
  <si>
    <t>HUS0000413554</t>
  </si>
  <si>
    <t xml:space="preserve">EN CONCILIACION ESE HUS ACEPTA GLOSA PARCIAL $1.359.500 PESOS POR CONCEPTO AJUSTE DE LIQUIDACION DE PROCEDIMIENTO 1501 "RIZOTOMIA DE RAIZ NERVIO ESPINAL VIA PERCUTANEA [GQ : 12]" COMO PRINCIPAL TENIENDO ENCUENTA LO REGISTRADO EN LA HISTORIA CLINICA POR PARTE DEL ESPECIALISTA TRATANTE, SIENDO ESTE GRUPO MAYOR GRUPO 12, AJUSTANDO EL PROCEDIMIENTO 13640 "INJERTO OSEO EN COLUMNA VERTEBRAL [GQ : 11]" EN ATENCION A DECRETO 2423 DEL 1996, MISMO ESPECIALISTA, MISMA VIA, MISMO TIEMPO QUIRURGICO Y PROCEDIMIENTO DEL GRUPO 11, EL CUAL ES DE MENOR VALOR. 
</t>
  </si>
  <si>
    <t xml:space="preserve">FA5802	</t>
  </si>
  <si>
    <t>HUS0000419369</t>
  </si>
  <si>
    <t>EN CONCILIACION ESE HUS ACEPTA GLOSA POR VALOR $310.430 PARA REFACTURAR AL ADRES TOPE AGOTADO, LA ENTIDAD MANIFIESTA QUE AL CANCELAR EL VALOR RESTANTE DEL GLOSADO ($621.440) SE AGOTA EL SOAT, YA QUE SOLAMENTE TIENEN ESE SALDO PARA AGOTAR LA COBERTURA.
ENTIDAD LEVANTA EL RESTANTE</t>
  </si>
  <si>
    <t>HUS0000379947</t>
  </si>
  <si>
    <t>HUS0000086849</t>
  </si>
  <si>
    <t>SECRETARIA DE SALUD DE SANTANDER</t>
  </si>
  <si>
    <t>HUS0000086875</t>
  </si>
  <si>
    <t>HUS0000087068</t>
  </si>
  <si>
    <t>HUS0000082916</t>
  </si>
  <si>
    <t>HUS0000083805</t>
  </si>
  <si>
    <t>HUS0000085314</t>
  </si>
  <si>
    <t>HUS0000085317</t>
  </si>
  <si>
    <t>HUS0000085740</t>
  </si>
  <si>
    <t>HUS0000086879</t>
  </si>
  <si>
    <t>HUS0000083370</t>
  </si>
  <si>
    <t>HUS0000085304</t>
  </si>
  <si>
    <t>HUS0000096009</t>
  </si>
  <si>
    <t>EN CONCILIACION ESE HUS ACEPTA GLOSA POR VALOR $17.000  CONSULTA POR TRABAJO SOCIAL NO PERINENTE Y NO  FACTURABLE INCLUIDO EN LA ESTANCIA  TRAMITE NETAMENTE ADMINISTRATIVO NO SE JUSTIFICA SU COBRO</t>
  </si>
  <si>
    <t>HUS0000112365</t>
  </si>
  <si>
    <t>EN CONCILIACION ESE HUS ACEPTA GLOSA POR VALOR $5.915.650 CORRESPONDIENTE A: $5.019.050 SOBREFACTURADO EL MATERIAL OSTEOSINTESIS DE ACUERDO A LA FACTURA DE COMPRA MAS EL 10%.  $401.000 POR TRANSFUSION O APLICACIÓN DE HEMODERIVADOS INCLUIDOS EN EL PROCESAMIENTO DE LA SANGRE Y EN LA TARIFA DE LA ESTANCIA. $495.600 A ESTANCIA INACTIVA POR INOPORTUNIDAD EN ASIGNACION DE FRANJA QUIRURGICA EN PACIENTE CON AVAL DE ANESTESIA, CON SOLICITU DE MAOS DE MAS DE 4 DIAS Y SIN GARANTIA DE INTERVENCION. ENTIDAD LEVANTA EL RESTANTE</t>
  </si>
  <si>
    <t>HUS0000080899</t>
  </si>
  <si>
    <t>HUS0000087077</t>
  </si>
  <si>
    <t>HUS0000097544</t>
  </si>
  <si>
    <t>HUS0000084381</t>
  </si>
  <si>
    <t>HUS0000084384</t>
  </si>
  <si>
    <t>HUS0000084385</t>
  </si>
  <si>
    <t>HUS0000282536</t>
  </si>
  <si>
    <t>EN CONCILIACION ESE HUS ACEPTA GLOSA PARCIAL POR VALOR $21.300 POR MVC EN AYUDA DIAGNOSTICA UROCULTIVO SE AJUSTA TARIFA ESTABLECIDA POR LA SSS SOAT 2024 -10%. 
ENTIDAD LEVANTA EL RESTANTE</t>
  </si>
  <si>
    <t>HUS0000282843</t>
  </si>
  <si>
    <t>HUS0000284975</t>
  </si>
  <si>
    <t>HUS0000290686</t>
  </si>
  <si>
    <t>HUS0000120765</t>
  </si>
  <si>
    <t>HUS0000299512</t>
  </si>
  <si>
    <t>HUS0000219440</t>
  </si>
  <si>
    <t>EN CONCILIACION ESE HUS ACEPTA GLOSA PARCIAL POR VALOR $6.462.632 MVC EN (2) ANGIOPLASTIA DE MIEMBRO INFERIOR CON STENT SE AJUSTA A CODIGO 25128 MANUAL TARIFARIO SOAT DEC 2423 DE 1996.
ENTIDAD LEVANTA EL RESTANTE</t>
  </si>
  <si>
    <t>HUS0000221000</t>
  </si>
  <si>
    <t xml:space="preserve">EN CONCILIACION ESE HUS ACEPTA GLOSA POR $186.600 POR TRANSFUSION O APLICACIÓN DE HEMODERIVADOS INCLUIDOS EN EL PROCESAMIENTO DE LA SANGRE Y EN LA TARIFA DE LA ESTANCIA. </t>
  </si>
  <si>
    <t>HUS0000221372</t>
  </si>
  <si>
    <t>EN CONCILIACION ESE HUS ACEPTA GLOSA PARCIAL POR VALOR DE $4.353.100 CORRESPONDIENTES A: $3.996.200 HOMOLOGACION DE UCI PLENA A UCI INTERMEDIA DE 5 DIAS, UNA VEZ REVISADA LA HISTORIA CLINICA PACIENTE SIN INOTROPICOS, SIN SOPORTE VENTILATORIO HEMODINAMICAMENTE ESTABLE QUIEN AMERITA MANEJO Y VIGILANCIA EN UCI INTERMEDIA, NO CUMPLE CRITERIOS PARA ESTANCIA EN UCI PLENA SEGUN EL CONSENSO AMCI DEL 2022. $239.500 POR TRANSFUSION O APLICACIÓN DE HEMODERIVADOS INCLUIDOS EN EL PROCESAMIENTO DE LA SANGRE Y EN LA TARIFA DE LA ESTANCIA.  $117.400 DE ELECTROLITOS EN GASES NO FACTURABLES INCLUIDOS EN LOS GASES ARTERIALES
ENTIDAD LEVANTA EL RESTANTE</t>
  </si>
  <si>
    <t>HUS0000223170</t>
  </si>
  <si>
    <t>EN CONCILIACION ESE HUS ACEPTA GLOSA POR $186.600 POR TRANSFUSION O APLICACIÓN DE HEMODERIVADOS INCLUIDOS EN EL PROCESAMIENTO DE LA SANGRE Y EN LA TARIFA DE LA ESTANCIA. 
ENTIDAD LEVANTA EL RESTANTE</t>
  </si>
  <si>
    <t>HUS0000210131</t>
  </si>
  <si>
    <t>HUS0000210163</t>
  </si>
  <si>
    <t>HUS0000363705</t>
  </si>
  <si>
    <t>EN CONCILIACION ESE HUS ACEPTA DEVOLUCION POR $696.500 PARA REFACTURAR USUARIO REGISTRA EN NUEVA EPS SUBSIDIADA PARA LA FECHA DE ATENCION POR LO TANTO NO ES PERTINENTE SU COBRO A LA SSS.</t>
  </si>
  <si>
    <t>HUS0000396484</t>
  </si>
  <si>
    <t>HUS0000399194</t>
  </si>
  <si>
    <t>EN CONCILIACION ESE HUS ACEPTA GLOSA POR VALOR  $45.900 MVC EN (1) INTERNACION COMPLEJIDAD ALTA HABITACION MULTIPLE EL CUAL CORRESPONDE A HABITACION DE CUATRO O MAS CAMAS COD 38134 SE RECONOCE POR MANUAL DEC 2423/96 VIGENCIA 2025-10%, SEGÚN RESOLUCION 15997 DE 2017.</t>
  </si>
  <si>
    <t>HUS0000395642</t>
  </si>
  <si>
    <t>HUS0000398656</t>
  </si>
  <si>
    <t>EN CONCILIACION ESE HUS ACEPTA GLOSA POR $45.900 MVC EN (1) INTERNACION COMPLEJIDAD ALTA HABITACION MULTIPLE EL CUAL CORRESPONDE A HABITACION DE CUATRO O MAS CAMAS COD 38134 SE RECONOCE POR MANUAL DEC 2423/96 VIGENCIA 2025-10%, SEGÚN RESOLUCION 15997 DE 2017.</t>
  </si>
  <si>
    <t>HUS0000398871</t>
  </si>
  <si>
    <t>EN CONCILIACION ESE HUS ACEPTA GLOSA POR $1.788.800 POR MVC EN MEDICAMENTO ALBUMINA HUMANA 20% 50ML DE ACUERDO A LA RESOLUCION 15997 DE 2017
ENTIDAD LEVANTA EL RESTANTE</t>
  </si>
  <si>
    <t>TA0701</t>
  </si>
  <si>
    <t>EN CONCILIACION ESE HUS ACEPTA GLOSA POR $158.000 (2) PROTECTOR DE CABLE DE VIDEO (FUNDA DE FUENTE DE LUZ NO3) INSUMO QUE HACE PARTE DE LOS COMPONENTES DE LOS DERECHOS DE SALA NO FACTURABLE.</t>
  </si>
  <si>
    <t>HUS0000400482</t>
  </si>
  <si>
    <t>EN CONCILIACION ESE HUS ACEPTA GLOSA POR $358.600 EN EL PROCEDIMIENTO URETEROSCOPIA RETRÓGRADA DIAGNÓSTICA EN DERECHOS DE SALA PROCEDIMIENTO DE MENOR VALOR IGUAL VIA IGUAL CIRUJANO ESTA NO SE FACTURA, ENTIDAD LEVANTA EL RESTANTE</t>
  </si>
  <si>
    <t>FA0501</t>
  </si>
  <si>
    <t>HUS0000401225</t>
  </si>
  <si>
    <t>EN CONCILIACION ESE HUS ACEPTA GLOSA PARCIAL POR $289.600 CORRESPONDIENTE A:  $23.400 POR MVC EN AYUDA DIAGNOSTICA UROCULTIVO SE AJUSTA A CODIGO 19966 TARIFA ESTABLECIDA POR LA SSS SOAT 2025 -10%. $266.200 POR MVC EN AYUDA DIAGNOSTICA (2) HEMOCULTIVO SE AJUSTA A CODIGO 19514 TARIFA ESTABLECIDA POR LA SSS SOAT 2025 -10%. ENTIDAD LEVANTA EL RESTANTE</t>
  </si>
  <si>
    <t>HUS0000401290</t>
  </si>
  <si>
    <t>EN CONCILIACION ESE HUS ACEPTA  GLOSA POR VALOR $12.900 POR  (1) POLIPROPILENO AZUL 3/0 SC-24 CORTANTE  ELEMENTO DE SUTURA Y CURACIÓN INCLUIDO EN DERECHOS DE MATERIALES DE PROCEDIMIENTO QUIRURGICO Y SUTURA  ART 54 PGFO  ART 55 PGFO 5 DEC 2423/96.</t>
  </si>
  <si>
    <t>HUS0000398619</t>
  </si>
  <si>
    <t>EN CONCILIACION ESE HUS ACEPTA GLOSA POR $46.900 CORRESPONDIENTE A SOBREFACTURACION DE INTERCONSULTA ESPECIALIZADA SEGÚN HISTORIA CLINICA
ENTIDAD LEVANTA EL RESTANTE</t>
  </si>
  <si>
    <t>EN CONCILIACION ESE HUS ACEPTA GLOSA POR $5.400 CORRESPONDIENTE A 1 ALCOHOL ANTISÉPTICO AL 70% X 120ML  ELEMENTO DE PROTECCIÓN Y CURACIÓN INCLUIDOS EN DERECHOS DE ESTANCIA  ART 40 DEC 2423/96.</t>
  </si>
  <si>
    <t>HUS0000400693</t>
  </si>
  <si>
    <t>EN CONCILIACION SSS LEVANTA GLOSA</t>
  </si>
  <si>
    <t>EN CONCILIACION ESE HUS ACEPTA  GLOSA POR VALOR $84.200 POR (1) EQUIPO DE ANESTESIA EPIDURAL CONTINUA NO 18  NO FACTURABLE  YA QUE HACE PARTE INTEGRAL DE LA ANALGESIA OBSTETRICA PARA ATENCIÓN DE PARTO.</t>
  </si>
  <si>
    <t>HUS0000401368</t>
  </si>
  <si>
    <t>EN CONCILIACION ESE HUS ACEPTA GLOSA POR VALOR $26.800 CORRESPONDIENTE A:  $3.400 POR MVC EN PRUEBA CRUZADA Y $23.400 POR MVC EN AYUDA DIAGNOSTICA UROCULTIVO TARIFA ESTABLECIDA POR LA SSS SOAT 2024 -10%. ENTIDAD LEVANTA EL RESTANTE</t>
  </si>
  <si>
    <t>HUS0000404605</t>
  </si>
  <si>
    <t>EN CONCILIACION ESE HUS ACEPTA GLOSA POR VALOR $34.900 CORRESPONDIENTE A (1) PUNTA PEDIATRICA ELECTRODOBISTURI  DISPOSITIVO QUE HACE PARTE DE LOS  COMPONENTES DE LOS DERECHOS DE SALA DE CIRUGIA  NO FACTURABLE.</t>
  </si>
  <si>
    <t>HUS0000416318</t>
  </si>
  <si>
    <t>EN CONCILIACION ESE HUS ACEPTA GLOSA POR VALOR $16.200 POR MVC EN AMPICILINA SULBACTAM 1,5 GR DE ACUERDO A LA RESOLUCION 15997 DE 2017</t>
  </si>
  <si>
    <t>EN CONCILIACION ESE HUS ACEPTA GLOSA POR VALOR $22.680 POR MVC EN COLANGIODUODENO PANCREATOGRAFIA ENDOSCOPICA RETROGRADA (ERCP) DE ACUERDO A LA RESOLUCION 15997 DE 2017
ENTIDAD LEVANTA EL RESTANTE</t>
  </si>
  <si>
    <t>HUS0000418535</t>
  </si>
  <si>
    <t>HUS0000423108</t>
  </si>
  <si>
    <t>EN CONCILIACION ESE HUS ACEPTA GLOSA POR VALOR $2.032.200 CORRESPONDIENTE A: $1.308.800 POR MVC EN MEDICAMENTO ALBUMINA HUMANA AMP, SE AJUSTA DE ACUERDO A RESOLUCION 15997. $723.400 (1) CATETER DE HEMODIALISIS 2 VIAS 14X20 CM SE VERIFICA HISTORIA CLINICA Y NOTAS DE ENFERMERIA DONDE EL DISPOSITIVO NO SE ENCUNTRA JUSTIFICADO NO SE EVIDENCIA ACTIVIDAD DE INSERCIÓN DE CATETER NI REALIZACIÓN DE SESIONES DE HEMODIALISIS DURANTE HOSPITALIZACIÓN. ENTIDAD LEVANTA EL RESTANTE.</t>
  </si>
  <si>
    <t>HUS0000422269</t>
  </si>
  <si>
    <t>EN CONCILIACION ESE HUS ACEPTA GLOSA POR VALOR $28.080 CORRESPONDIENTE A: $20.600 (1) SUTURA ANTIBACTERIAL ABSORBIBLE POLIGLATINA 2/0 SH  DISPOSITIVO QUE HACE PARTE DE LOS DERECHOS DE MATERIALES SUTURA Y CURACIÓN DE PROCEDIMIENTOS QUIRÚRGICOS CON GRUPO 08 Y 04  NO FACTURABLE. ART 55 PGFO 5 DEC 2423/96. $7.480 MVC (1) INSPIROMETRO DE INCENTIVOS DE ACUERDO A LA RESOLUCION 15997 DE 2017.  ENTIDAD LEVANTA EL RESTANTE</t>
  </si>
  <si>
    <t>HUS0000300214</t>
  </si>
  <si>
    <t>EN CONCILIACION ESE HUS ACEPTA GLOSA POR VALOR $3.116.927 CORRESPONDIENTE A: $2.022.343 MVC EN INSUMOS (MICROGUIA) Y $1.094.584 (MICROCATETER) SE AJUSTA A TARIFAS DE ACUERDO A LA RESOLUCION 15997 DE 2017. ENTIDAD LEVANTA EL RESTANTE</t>
  </si>
  <si>
    <t>HUS0000428993</t>
  </si>
  <si>
    <t>SEGUROS GENERALES SURAMERICANA S. A. SOAT</t>
  </si>
  <si>
    <t>EN CONCILIACION ESE HUS ACEPTA GLOSA POR VALOR $21.000 PESOS POR CONCEPTO DE CREATININA, NO PERTINENTE UNA TERCERA TOMA, REALIZADAS EL DIA 03-04-2025, 16-04-2025, 23,04.2025, TODAS EN RANGO DE NORMALIDAD, CON ANTERIORES SE PUEDE DEFINIR CONDUCTAS.</t>
  </si>
  <si>
    <t>EN CONCILIACION ESE HUS ACEPTA GLOSA POR VALOR $17.500 PESOS POR CONCEPTO DE NITROGENO, NO PERTINENTE UNA TERCERA TOMA, REALIZADAS EL DIA 03-04-2025, 16-04-2025, 23,04.2025, TODAS EN RANGO DE NORMALIDAD, CON ANTERIORES SE PUEDE DEFINIR CONDUCTAS.</t>
  </si>
  <si>
    <t>EN CONCILIACION ESE HUS ACEPTA GLOSA POR VALOR $52.800 PESOS POR CONCEPTO DE PROTROMBINA TIEMPO PT, NO PERTINENTE UNA TERCERA TOMA, REALIZADAS EL DIA 03-04-2025, 16-04-2025, 23,04.2025, TODAS EN RANGO DE NORMALIDAD, CON ANTERIORES SE PUEDE DEFINIR CONDUCTAS.</t>
  </si>
  <si>
    <t>EN CONCILIACION ESE HUS ACEPTA GLOSA POR VALOR $51.300 PESOS POR CONCEPTO DE TROMBOPLASTINA TIEMPO PARCIAL (PTT), NO PERTINENTE UNA TERCERA TOMA, REALIZADAS EL DIA 03-04-2025, 16-04-2025, 23,04.2025, TODAS EN RANGO DE NORMALIDAD, CON ANTERIORES SE PUEDE DEFINIR CONDUCTAS.</t>
  </si>
  <si>
    <t>HUS0000435807</t>
  </si>
  <si>
    <t>EN CONCILIACION ESE HUS ACEPTA GLOSA PARCIAL POR VALOR $23.120 POR SOBREFACTURACION A LA OXICODONA AMPOLLA X 10 MG/ML, DE ACUERDO A LA CIRCULAR 19 DE 2024, ASEGURADORA SIN CONTRATO.
ENTIDAD LEVANTA EL RESTANTE</t>
  </si>
  <si>
    <t>HUS0000183004</t>
  </si>
  <si>
    <t>EPS Y MEDICINA PREPAGADA SURAMERICANA S.A   SUBSIDIADO</t>
  </si>
  <si>
    <t>HUS0000287172</t>
  </si>
  <si>
    <t>EN CONCILIACION ESE HUS ACEPTA GLOSA PARCIAL $693.800 POR MAYOR VALOR COBRADO EN ESTANCIA SEGÚN DECRETO 2423/1996. EPS SIN CONTRATO PARA LA FECHA DE PRESTACION DEL SERVICIO</t>
  </si>
  <si>
    <t>HUS0000287712</t>
  </si>
  <si>
    <t>HUS0000290985</t>
  </si>
  <si>
    <t>HUS0000291073</t>
  </si>
  <si>
    <t xml:space="preserve">EN CONCILIACION ESE HUS ACEPTA GLOSA PARCIAL $ 739.681 POR CONCEPTO DE MVC EN MATERIAL SUTURAS TWIN FIX VLT CON AGUJA DIFERENTES DIAMETROS DE ACUERDO A FACTURA DE COMPRA, </t>
  </si>
  <si>
    <t>HUS0000293267</t>
  </si>
  <si>
    <t>HUS0000294151</t>
  </si>
  <si>
    <t>EN CONCILIACION ESE HUS ACEPTA GLOSA PARCIAL $937.109 POR MAYOR VALOR COBRADO EN MEDICAMENTO CARBOXIMETIL CELULOSA SODICA SEGÚN FACTURA DE COMPRA. EPS SIN CONTRATO PARA LA FECHA DE PRESTACION DEL SERVICIO</t>
  </si>
  <si>
    <t>HUS0000294674</t>
  </si>
  <si>
    <t>EN CONCILIACION ESE HUS ACEPTA GLOSA PARCIAL VALOR DE  $130.100 POR CONCEPTO DE ACIDOS GRASOS HIPEROXIGENADOS FRASCO X 30 ML, NO FACTURABLE, USADO POR SERVICIO, INCLUIDO EN DERECHOS DE ESTANCIA.</t>
  </si>
  <si>
    <t>EN CONCILIACION ESE HUS ACEPTA GLOSA  $54.400 POR MAYOR VALOR COBRADO EN SECUESTRECTOMIA, DRENAJE, DESBRIDAMIENTO DE HUMERO , $ 479.500 OSTEOSINTESIS EN HUMERO  SEGÚN DECRETO 2423/1996. EPS SIN CONTRATO PARA LA FECHA DE PRESTACION DEL SERVICIO</t>
  </si>
  <si>
    <t>HUS0000295623</t>
  </si>
  <si>
    <t>HUS0000298381</t>
  </si>
  <si>
    <t>HUS0000300945</t>
  </si>
  <si>
    <t>EN CONCILIACION ESE HUS ACEPTA GLOSA PARCIAL $152.905 POR MAYOR VALOR COBRADO EN MATERIALES( GASA, TUBO SILICONADO, APOSITO, AGUJAS, CANULA, ELECTRODO, CUCHILLA, SUTURA) NO FACTURABLES   . EPS SIN CONTRATO PARA LA FECHA DE PRESTACION DEL SERVICIO</t>
  </si>
  <si>
    <t>EN CONCILIACION ESE HUS ACEPTA GLOSA PARCIAL $684.000 POR MAYOR VALOR COBRADO EN HONORARIOS MEDICOS EN PROCEDIMIENTO QUIRURGICO COD 090106, 090114 SEGÚN DECRETO 2423/1996. EPS SIN CONTRATO PARA LA FECHA DE PRESTACION DEL SERVICIO</t>
  </si>
  <si>
    <t>EN CONCILIACION ESE HUS ACEPTA GLOSA PARCIAL $216,700 POR MAYOR VALOR COBRADO EN HONORARIOS MEDICOS EN PROCEDIMIENTO QUIRURGICO COD 090106, 090114 SEGÚN DECRETO 2423/1996. EPS SIN CONTRATO PARA LA FECHA DE PRESTACION DEL SERVICIO</t>
  </si>
  <si>
    <t>EN CONCILIACION SE SUBSANA GLOSA POR AUTORIZACION. SE ACEPTA GLOSA POR MVC $2.940.000 TENIENDO EN CUENTA QUE NO HAY CONTRATO EN LA ENTIDAD SE LIQUIDA DE ACUERDO AL DECRETO 2423/1996</t>
  </si>
  <si>
    <t>HUS0000301497</t>
  </si>
  <si>
    <t>EN CONCILIACION ESE HUS ACEPTA GLOSA PARCIAL $308.000 POR MAYOR VALOR COBRADO EN HABITACION DE CUATRO O MAS CAMAS INSTITUCIONES DE TERCER NIVEL SEGÚN DECRETO 2423/1996. EPS SIN CONTRATO PARA LA FECHA DE PRESTACION DEL SERVICIO</t>
  </si>
  <si>
    <t>HUS0000302626</t>
  </si>
  <si>
    <t>EN CONCILIACION ESE HUS ACEPTA GLOSA PARCIAL $ 1.207.840 POR CONCEPTO DE MVC  DE ACUERDO A FACTURA DE COMPRA, EN MATERIAL EN MATERIAL DE OSTS, 8 STARDRIVE AUTORROSCANTE (TORNILLO BLOQUEADO MM AUTORROSCARNTE 1.5 O 1.6EN ACERO DE 6MM A 12 MM ), 1 TORNILLO 1.5 *4/5 (TORNILLO MAXDRIVE DEL SISTEMA 1.5MM X 3MM A 8MM), TORNILLO MAXDRIVE DFS - SCH DEL SISTEMA 1.5MM X 3MM A 7MM.</t>
  </si>
  <si>
    <t>HUS0000305248</t>
  </si>
  <si>
    <t>EN CONCILIACION ESE HUS ACEPTA GLOSA PARCIAL $288.700 POR CONCEPTO DE MVC  DE ACUERDO A FACTURA DE COMPRA, EN GENEXPERT BK Y CULTIVO, UROCULTIVO, HEMOCULTIVO AEROBIO, EXTENDIDO DE SANGRE PERIFÉRICA. EPS SIN CONTRATO PARA LA FECHA DE PRESTACION DEL SERVICIO</t>
  </si>
  <si>
    <t>HUS0000306200</t>
  </si>
  <si>
    <t>HUS0000306936</t>
  </si>
  <si>
    <t>HUS0000307328</t>
  </si>
  <si>
    <t>HUS0000307340</t>
  </si>
  <si>
    <t>HUS0000309174</t>
  </si>
  <si>
    <t>EN CONCILIACION ESE HUS ACEPTA GLOSA PARCIAL $984.000 POR MAYOR VALOR COBRADO EN HONORARIOS MEDICOS SEGÚN DECRETO 2423/1996. EPS SIN CONTRATO PARA LA FECHA DE PRESTACION DEL SERVICIO</t>
  </si>
  <si>
    <t>EN CONCILIACION ESE HUS ACEPTA GLOSA PARCIAL $193.100 POR MAYOR VALOR COBRADO EN DERECHO DE SALA SEGÚN DECRETO 2423/1996. EPS SIN CONTRATO PARA LA FECHA DE PRESTACION DEL SERVICIO</t>
  </si>
  <si>
    <t>EN CONCILIACION ESE HUS ACEPTA GLOSA PARCIAL $96.300 POR MAYOR VALOR COBRADO EN MATERIALES SEGÚN DECRETO 2423/1996. EPS SIN CONTRATO PARA LA FECHA DE PRESTACION DEL SERVICIO</t>
  </si>
  <si>
    <t>HUS0000309665</t>
  </si>
  <si>
    <t>EN CONCILIACION ESE HUS ACEPTA VALOR DE $ 362.300 POR LOS SIGUINETES CONCEPTOS $ 232.200,00 POR 2 APLICACIONDE-  TRANSFUSION DE LA UNIDAD DE GLOBULOS ROJOS O ERITROCITOS PACIENTE HOSPITALIZADO, SERVICIO NO FACTURABLE INCLUIDO EN DERECHOS DE SALA. $130.100 POE CONCEPTO DE ACIDOS GRASOS HIPEROXIGENADOS FRASCO X 30 ML, NO FACTURABLE, USADO POR SERVICIO, INCLUIDO EN DERECHOS DE ESTANCIA.</t>
  </si>
  <si>
    <t>EN CONCILIACION ESE HUS ACEPTA GLOSA PARCIAL $965.600 POR MAYOR VALOR COBRADO EN ESTANCIA EN CUIDADO INTENSIVO E INTERMEDIO SEGÚN DECRETO 2423/1996. EPS SIN CONTRATO PARA LA FECHA DE PRESTACION DEL SERVICIO</t>
  </si>
  <si>
    <t xml:space="preserve">EN CONCILIACION ESE HUS ACEPTA GLOSA PARCIAL $312.000 POR MAYOR VALOR COBRADO EN CULTIVOS $130.100  SE RECONOCEN SEGÚN DECRETO 2423/1996, INSERCION DE CATETER YUGULAR  $181.900, PROCEDIMIENTO NO FACTURABLE INCLUIDO EN UNIDAD DE CUIDADOS INTENSIVOS. EPS SIN CONTRATO PARA LA FECHA DE PRESTACION DEL SERVICIO </t>
  </si>
  <si>
    <t>EN CONCILIACION ESE HUS ACEPTA GLOSA PARCIAL $680.300 POR MAYOR VALOR COBRADO EN MEDICAMENTOS COD 20005168-1, 20010367-1, 20195518-1 SEGÚN DECRETO 2423/1996. EPS SIN CONTRATO PARA LA FECHA DE PRESTACION DEL SERVICIO</t>
  </si>
  <si>
    <t>EN CONCILIACION SE ACEPTA GLOSA TOTAL $23.200 POR CONCEPTO DE INSUMO ELECTRODO ECG ADULT, NO FACTURABLE, INCLUIDO EN DERECHOS DE ESTANCIA Y QUIROFANO</t>
  </si>
  <si>
    <t>HUS0000310698</t>
  </si>
  <si>
    <t>HUS0000311568</t>
  </si>
  <si>
    <t>HUS0000316090</t>
  </si>
  <si>
    <t>EN CONCILIACION ESE HUS ACEPTA GLOSA PARCIAL $750.600 POR MAYOR VALOR COBRADO EN ESTANCIA,  HABITACION DE CUATRO O MAS CAMAS SEGÚN DECRETO 2423/1996. EPS SIN CONTRATO PARA LA FECHA DE PRESTACION DEL SERVICIO</t>
  </si>
  <si>
    <t>EN CONCILIACION ESE HUS ACEPTA GLOSA POR MAYOR VALOR COBRADO $100.600 EN INTERCONSULTA,  SEGÚN DECRETO 2423/1996. EPS SIN CONTRATO PARA LA FECHA DE PRESTACION DEL SERVICIO</t>
  </si>
  <si>
    <t>EN CONCILIACION SE SUBASANA AUTORIZACION. SE ACEPTA GLOSA POR MVC  $650.600 EN PROCEDIMIENTO 867201, SEGÚN DECRETO 2423/1996. EPS SIN CONTRATO PARA LA FECHA DE PRESTACION DEL SERVICIO</t>
  </si>
  <si>
    <t>HUS0000318225</t>
  </si>
  <si>
    <t>HUS0000322774</t>
  </si>
  <si>
    <t xml:space="preserve">EN CONCILIACION ESE HUS ACEPTA GLOSA PARCIAL $234.000 PESOS POR CONCEPTO  DE  DERECHO DE SALA, DESBRIDAMIENTO ESCISIONAL EN AREA ESPECIAL EN TOBILLOS O PIES, INHERENTE ,  INCLUIDO EN PROCEDIMIETNO MAYOR. </t>
  </si>
  <si>
    <t>EN CONCILIACION ESE HUS ACEPTA GLOSA PARCIAL $451.500 PESOS POR CONCEPTO  DE ESTANCIA 10A002 - INTERNACION COMPLEJIDAD ALTA HABITACION BIPERSONAL, ADEMAS EN AYUDAS DIAGNOSTICAS COD 873501 SEGÚN DECRETO 2423/1996. EPS SIN CONTRATO PARA LA FECHA DE PRESTACION DEL SERVICIO</t>
  </si>
  <si>
    <t>HUS0000322861</t>
  </si>
  <si>
    <t>EN CONCILIACION ESE HUS ACEPTA GLOSA PARCIAL $1.385.700 POR MAYOR VALOR COBRADO EN MATERIALES COD FMO00840-CLAVO FEMUR PROXIMAL TROCANTERICO 10 X 180 (CLAVO CEFALOMEDULAR LARGO DE FEMUR. EPS SIN CONTRATO PARA LA FECHA DE PRESTACION DEL SERVICIO</t>
  </si>
  <si>
    <t>EN CONCILIACION ESE HUS ACEPTA GLOSA PARCIAL $2.918.469 POR CONCEPTO DE MVC  DE ACUERDO A FACTURA DE COMPRA EN MATERIAL DE OSTS, SE ACEPTA MVC EN UN  CLAVO FEMUR PROXIMAL TROCANTERICO 10 X 180 (CLAVO CEFALOMEDULAR LARGO DE FEMUR), UN TAPON CIERRE LAVO FEMUR FEMUR PROXIMAL TROCANTERICO, 4 TORNILLO DE BLOQUEO 5.0, UN CLAVO TIBIAL MULTIDIRECCIONAL DE DIAMETRO 8.0, 9.0, 10.0, 11.0, 12.0 CLAVO TIBIAL MULTIDIRECCIONAL DE DIAMETRO 8.0, 9.0, 10.0, 11.0, 12.0, CUATRO TORNILLO DE BLOQUEO 5.0, UN TORNILLO DE CIERRE-</t>
  </si>
  <si>
    <t>HUS0000327799</t>
  </si>
  <si>
    <t>HUS0000328626</t>
  </si>
  <si>
    <t xml:space="preserve">EN CONCILIACION ESE HUS ACEPTA GLOSA TOTAL $361.200 PESOS POR CONCEPTO  DE PROCEDIMIENTO, DESBRIDAMIENTO ESCISIONAL EN AREA ESPECIAL EN TOBILLOS O PIES, INHERENTE ,  INCLUIDO EN PROCEDIMIETNO MAYOR. </t>
  </si>
  <si>
    <t>HUS0000332904</t>
  </si>
  <si>
    <t>HUS0000334302</t>
  </si>
  <si>
    <t>EN CONCILIACION ESE HUS ACEPTA GLOSA PARCIAL $1.085.000 POR MAYOR VALOR COBRADO EN ESTANCIA SEGÚN DECRETO 2423/1996. EPS SIN CONTRATO PARA LA FECHA DE PRESTACION DEL SERVICIO</t>
  </si>
  <si>
    <t>EN CONCILIACION ESE HUS ACEPTA GLOSA PARCIAL $1.660.000 POR MAYOR VALOR COBRADO EN GASTROSTOMIA VIA PERCUTANEA (ENDOSCOPICA) SEGÚN DECRETO 2423/1996. EPS SIN CONTRATO PARA LA FECHA DE PRESTACION DEL SERVICIO</t>
  </si>
  <si>
    <t>EN CONCILIACION ESE HUS ACEPTA GLOSA $422.000 POR MAYOR VALOR COBRADO EN MEDICAMENTOS 20010367-1, 20005168-18 EPS SIN CONTRATO PARA LA FECHA DE PRESTACION DEL SERVICIO</t>
  </si>
  <si>
    <t>HUS0000336514</t>
  </si>
  <si>
    <t>HUS0000337561</t>
  </si>
  <si>
    <t>EN CONCILIACION ESE HUS ACEPTA GLOSA TOTAL $741.979  DISTRIBUIDO ASI: $348.183 APLICACIÓN DEMODERIVADOS NO FACTURABLES; $393.796 INSUMOS NO FACTURABLES INCLUIDOS EN MATERIALES EN PROCEDIMIENTOS QUIRURJICOS (VENDAS, LAPICEROS DE ELECTROBISTURI, CUCHILLAS, TUBO SILICONADO, APOSITO, ELECTRODO, SUTURA) EPS SIN CONTRATO PARA LA FECHA DE PRESTACION DEL SERVICIO</t>
  </si>
  <si>
    <t>EN CONCILIACION ESE HUS ACEPTA GLOSA TOTAL  $728.000 PESOS POR CONCEPTO  DE DOS DIAS DE ESTANCIA, EN REVISION DE LA HISTORIA CLINCIA SE EVIDENCIA INOPORTUNIDAD DE MANEJO QUIRURGICO.</t>
  </si>
  <si>
    <t>HUS0000337708</t>
  </si>
  <si>
    <t>HUS0000337842</t>
  </si>
  <si>
    <t>EN CONCILIACION ESE HUS ACEPTA GLOSA PARCIAL $1.273.216 POR LOS SIGUIENTES CONCEPTOS $ 812.427  POR CONCEPTO DE 7 APLICACIONES DE TRANSFUSION DE LA UNIDAD DE GLOBULOS ROJOS O ERITROCITOS PACIENTE HOSPITALIZADO, $ $ 65.827, ADMINISTRACION DE TRANSFUSION DE LA UNIDAD DE PLAQUETAS, $ $ 394.962 POR 6 APLICACIONES TRANSFUSION DE LA UNIDAD DE PLASMA FRESCO CONGELADO, SERVICIO NO FACTURABLE INCLUIDO EN DERECHOS DE SALA DE ACUERDO A MANUALTARIFARIO</t>
  </si>
  <si>
    <t>HUS0000339025</t>
  </si>
  <si>
    <t>HUS0000340133</t>
  </si>
  <si>
    <t>HUS0000343004</t>
  </si>
  <si>
    <t>HUS0000341388</t>
  </si>
  <si>
    <t>HUS0000343758</t>
  </si>
  <si>
    <t>HUS0000343596</t>
  </si>
  <si>
    <t>EN CONCILIACION ESE HUS ACEPTA GLOSA PARCIAL $2.130.000 POR MAYOR VALOR COBRADO 20216H-COLORACION INMUNOHISTOQUIMICA - PANEL DE TAMIZAJE, ADEMAS ESTANCIA, 129A02 INTERNACION ADULTOS COMPLEJIDAD ALTA HABITACION MULTIPLE SEGÚN DECRETO 2423/1996. EPS SIN CONTRATO PARA LA FECHA DE PRESTACION DEL SERVICIO</t>
  </si>
  <si>
    <t>EN CONCILIACION ESE HUS ACEPTA GLOSA PARCIAL $446.000 POR MAYOR VALOR COBRADO EN  FUNDAS ESTERILES PARA MICROSCOPIO. EPS SIN CONTRATO PARA LA FECHA DE PRESTACION DEL SERVICIO</t>
  </si>
  <si>
    <t>HUS0000345814</t>
  </si>
  <si>
    <t>HUS0000346760</t>
  </si>
  <si>
    <t>EN CONCILIACION ESE HUS ACEPTA GLOSA PARCIAL $515.000 POR MAYOR VALOR COBRADO EN ESTANCIA SEGÚN DECRETO 2423/1996. EPS SIN CONTRATO PARA LA FECHA DE PRESTACION DEL SERVICIO</t>
  </si>
  <si>
    <t>HUS0000349308</t>
  </si>
  <si>
    <t>HUS0000352050</t>
  </si>
  <si>
    <t>TA0501</t>
  </si>
  <si>
    <t>HUS0000355385</t>
  </si>
  <si>
    <t>EN CONCILIACION ESE HUS ACEPTA GLOSA PARCIAL $2.645.000 POR MAYOR VALOR COBRADO EN PINZA PARA LAPAROSCOPIA MERYLAND DISSECTOR 5mm REF: 5DCD,  SEGÚN DECRETO 2423/1996. EPS SIN CONTRATO PARA LA FECHA DE PRESTACION DEL SERVICIO, KIT DE TROCAR 5 MM (LAPAROSCOPIA) REF: K5LT, KIT DE TROCAR 12MM (LAPAROSCOPIA) REF: K12LT. EPS SIN CONTRATO PARA LA FECHA DE PRESTACION DEL SERVICIO</t>
  </si>
  <si>
    <t>FA0502</t>
  </si>
  <si>
    <t>FA0105</t>
  </si>
  <si>
    <t>HUS0000357354</t>
  </si>
  <si>
    <t>HUS0000360171</t>
  </si>
  <si>
    <t>TA08</t>
  </si>
  <si>
    <t>HUS0000359548</t>
  </si>
  <si>
    <t>HUS0000359241</t>
  </si>
  <si>
    <t>HUS0000359410</t>
  </si>
  <si>
    <t>FA2006</t>
  </si>
  <si>
    <t>HUS0000361314</t>
  </si>
  <si>
    <t>HUS0000373620</t>
  </si>
  <si>
    <t>EN CONCILIACION ESE HUS ACEPTA GLOSA DE $321.500 PESOS POR CONCEPTO DE $18.400 POR 23 ELECTRODOS, $136.100 PESOS POR ACIDOS GRASOS, $85.000 CUCHILLA RECORTADORA DE VELLO, $82.000 PAQUETE GENERAL ROPA ESTERIL. INSUMOS NO FACTURABLES, INCLUIDOS EN DERECHOS DE ESTANCIA Y PROCEDIMIENTOS, NO HAY LUGAR A COBRO DE ACUERDO A MANUALTA RIFARIO.</t>
  </si>
  <si>
    <t>AU5801</t>
  </si>
  <si>
    <t>EN CONCILIACION ESE HUS ACEPTA GLOSA PARCIAL $1.236.000 POR MAYOR VALOR COBRADO EN COD 21628AV SEGÚN DECRETO 2423/1996. EPS SIN CONTRATO PARA LA FECHA DE PRESTACION DEL SERVICIO</t>
  </si>
  <si>
    <t>EN CONCILIACION ESE HUS ACEPTA GLOSA POR VALOR $1.120.300, DRENAJE DE ESPACIO SUBDURAL, NO PERTINENTE SU FACTURACION, PROCEDIMIENTO DERIVADO DE PROCEDIMIENTO MAYOR EL CUAL ESTA INCLUIDO, YA QUE SE REALIZO UNA CRANEOTOMÍA PARA DRENAJE SUBDURAL EN LA MISMA ÁREA OPERATORIA Y SE REALIZA PARA EL MISMO FIN DEL DRENAJE DE LA CRANEOTOMIA.</t>
  </si>
  <si>
    <t>HUS0000371945</t>
  </si>
  <si>
    <t>EN CONCILIACION ESE HUS ACEPTA GLOSA PARCIAL $739.000 POR MAYOR VALOR COBRADO EN SALA ESPECIAL UNIDAD DE CUIDADO INTENSIVO SEGÚN DECRETO 2423/1996. EPS SIN CONTRATO PARA LA FECHA DE PRESTACION DEL SERVICIO</t>
  </si>
  <si>
    <t>TA0901</t>
  </si>
  <si>
    <t>HUS0000375641</t>
  </si>
  <si>
    <t>HUS0000377544</t>
  </si>
  <si>
    <t>HUS0000377240</t>
  </si>
  <si>
    <t>FA0206</t>
  </si>
  <si>
    <t>HUS0000378011</t>
  </si>
  <si>
    <t>AU0102</t>
  </si>
  <si>
    <t>HUS0000378395</t>
  </si>
  <si>
    <t>HUS0000378799</t>
  </si>
  <si>
    <t>HUS0000379388</t>
  </si>
  <si>
    <t>HUS0000387292</t>
  </si>
  <si>
    <t>HUS0000383903</t>
  </si>
  <si>
    <t>EN CONCILIACION ESE HUS ACEPTA GLOSA PARCIAL $1.870.000 POR MAYOR VALOR COBRADO EN INTERNACION EN UNIDAD DE CUIDADO INTERMEDIO ADULTO  SEGÚN DECRETO 2423/1996. EPS SIN CONTRATO PARA LA FECHA DE PRESTACION DEL SERVICIO</t>
  </si>
  <si>
    <t>HUS0000383385</t>
  </si>
  <si>
    <t xml:space="preserve">EN CONCILIACION ESE HUS ACEPTA GLOSA PARCIAL $ 1.680.900 POR CONCEPTO DE MVC  DE ACUERDO A FACTURA DE COMPRA, EN MATERIAL PINZA PARA LAPAROSCOPIA GRASPER X 5MM, PINZA GRASSPER LAPAROSCOPIA ATRAUMATICA 5X35, PINZA LIGASURE IMPACT ABIERTA,  KIT DE TROCAR 5 MM (LAPAROSCOPIA), KIT DE TROCAR 12MM (LAPAROSCOPIA), TIJERA PARA LAPAROSCOPIA CURVA, PINZA PARA LAPAROSCOPIA MERYLAND DISSECTING, PLACA BIPOLARES ADULTO CON CABLE ABIERTA </t>
  </si>
  <si>
    <t>HUS0000382648</t>
  </si>
  <si>
    <t>EN CONCILIACION ESE HUS ACEPTA GLOSA PARCIAL $ 128.747 POR CONCEPTO DE MVC EN COD 39140H-3, SEGÚN DECRETO 2423/1996. EPS SIN CONTRATO PARA LA FECHA DE PRESTACION DEL SERVICIO</t>
  </si>
  <si>
    <t>EN CONCILIACION ESE HUS ACEPTA GLOSA PARCIAL $499.000 POR MAYOR VALOR COBRADO EN SALA ESPECIAL UNIDAD DE CUIDADO INTERMEDIO  SEGÚN DECRETO 2423/1996. EPS SIN CONTRATO PARA LA FECHA DE PRESTACION DEL SERVICIO</t>
  </si>
  <si>
    <t>HUS0000382451</t>
  </si>
  <si>
    <t>SO3801</t>
  </si>
  <si>
    <t>HUS0000386994</t>
  </si>
  <si>
    <t>EN CONCILIACION ESE HUS ACEPTA GLOSA  POR MAYOR VALOR COBRADO EN PROCEDIMIENTOS $100,000 TORACOSTOMIA CERRADA PARA DRENAJE, $899.869 INSUMOS NO FACTURABLES INCLUIDOS EN SERVICOS MATERIALES EN SALA DE CIRUGIAS(CANULA DE GUEDEL, CAT GUT, AGUJAS, ELECTRODOS, APOSITOS, LAPICERO DE ELECTROBISTURI, INSERCION DE CATETER YUGULAR,   SEGÚN DECRETO 2423/1996. EPS SIN CONTRATO PARA LA FECHA DE PRESTACION DEL SERVICIO$999.869</t>
  </si>
  <si>
    <t>HUS0000388761</t>
  </si>
  <si>
    <t>HUS0000391933</t>
  </si>
  <si>
    <t>AU0302</t>
  </si>
  <si>
    <t>HUS0000389747</t>
  </si>
  <si>
    <t>EN CONCILIACION ESE HUS ACEPTA GLOSA PARCIAL $1.048.000 POR MAYOR VALOR COBRADO EN ESTUDIO MACRO Y MICROSCOPICO  SEGÚN DECRETO 2423/1996. EPS SIN CONTRATO PARA LA FECHA DE PRESTACION DEL SERVICIO</t>
  </si>
  <si>
    <t>HUS0000393273</t>
  </si>
  <si>
    <t>HUS0000403004</t>
  </si>
  <si>
    <t>HUS0000408868</t>
  </si>
  <si>
    <t>HUS0000411125</t>
  </si>
  <si>
    <t>EN CONCILIACION ESE HUS ACEPTA GLOSA PARCIAL $841.000 POR MAYOR VALOR COBRADO EN ESTANCIA  SEGÚN DECRETO 2423/1996. EPS SIN CONTRATO PARA LA FECHA DE PRESTACION DEL SERVICIO</t>
  </si>
  <si>
    <t>SO0701</t>
  </si>
  <si>
    <t>EN CONCILIACION ESE HUS ACEPTA GLOSA PARCIAL $254.000 POR MAYOR VALOR COBRADO EN MEDICAMENTOS COD 20152991-1, 224249-2. EPS SIN CONTRATO PARA LA FECHA DE PRESTACION DEL SERVICIO</t>
  </si>
  <si>
    <t>EN CONCILIACION ESE HUS ACEPTA GLOSA PARCIAL $1.450.000 POR MAYOR VALOR COBRADO EN DERECHOS DE SALA Y SERVICIOS DE MATERIALES DE CURACION EN PROCEDIMIENTOS QUIRURGICOS SEGÚN DECRETO 2423/1996. EPS SIN CONTRATO PARA LA FECHA DE PRESTACION DEL SERVICIO</t>
  </si>
  <si>
    <t>HUS0000409297</t>
  </si>
  <si>
    <t>HUS0000412410</t>
  </si>
  <si>
    <t>HUS0000411525</t>
  </si>
  <si>
    <t>HUS0000414386</t>
  </si>
  <si>
    <t>HUS0000425804</t>
  </si>
  <si>
    <t>HUS0000417368</t>
  </si>
  <si>
    <t>EN CONCILIACION ESE HUS ACEPTA GLOSA PARCIAL $547.036 POR MAYOR VALOR COBRADO EN TOMOGRAFIA AXIAL COMPUTADA DE COLUMNA SEGMENTOS CERVICAL,
TORACICO, LUMBAR Y/O SACRO SEGÚN DECRETO 2423/1996. EPS SIN CONTRATO PARA LA FECHA DE PRESTACION DEL SERVICIO</t>
  </si>
  <si>
    <t>HUS0000424886</t>
  </si>
  <si>
    <t>HUS0000428824</t>
  </si>
  <si>
    <t>EN CONCILIACION ESE HUS ACEPTA GLOSA PARCIAL $1.358.000 POR MAYOR VALOR COBRADO EN ESTANCIA SEGÚN DECRETO 2423/1996. EPS SIN CONTRATO PARA LA FECHA DE PRESTACION DEL SERVICIO</t>
  </si>
  <si>
    <t>EN CONCILIACION ESE HUS ACEPTA GLOSA PARCIAL $686.000 POR MAYOR VALOR COBRADO EN MATERIALES E ISUMOS.  NO FACTURABLES INCLUIDOS EN LA ESTANCIA U OBSERVACION DE URGENCIAS EPS SIN CONTRATO PARA LA FECHA DE PRESTACION DEL SERVICIO</t>
  </si>
  <si>
    <t>HUS0000431852</t>
  </si>
  <si>
    <t>EN CONCILIACION ESE HUS ACEPTA GLOSA PARCIAL $362.000 POR MAYOR VALOR COBRADO EN ESTANCIA SEGÚN DECRETO 2423/1996. EPS SIN CONTRATO PARA LA FECHA DE PRESTACION DEL SERVICIO</t>
  </si>
  <si>
    <t>TA3801</t>
  </si>
  <si>
    <t>HUS0000406059</t>
  </si>
  <si>
    <t>CAPITALSALUD EPS-S</t>
  </si>
  <si>
    <t>HUS0000406930</t>
  </si>
  <si>
    <t>AU0802</t>
  </si>
  <si>
    <t>AU0602</t>
  </si>
  <si>
    <t>AU0202</t>
  </si>
  <si>
    <t>HUS0000412021</t>
  </si>
  <si>
    <t>HUS0000413991</t>
  </si>
  <si>
    <t>HUS0000165193</t>
  </si>
  <si>
    <t xml:space="preserve"> $                     -</t>
  </si>
  <si>
    <t xml:space="preserve"> $                            -</t>
  </si>
  <si>
    <t>HUS0000165387</t>
  </si>
  <si>
    <t>EN CONCILIACION ESE HUS ACEPTA GLOSA PARCIAL POR $11.100 EN INSUMO TAPON LIBRE DE AGUJA PEDIATRICO NO SOPORTADO SU USO SEGÚN HISTORIA CLINICA, ENTIDAD LEVANTA EL RESTANTE</t>
  </si>
  <si>
    <t>HUS0000165436</t>
  </si>
  <si>
    <t xml:space="preserve"> $                         -</t>
  </si>
  <si>
    <t>EN CONCILIACION ESE HUS ACEPTA GLOSA POR  VALOR $67.220 CORRESPONDIENTE A: $65.600 DE ELECTROLITOS EN GASES NO FACTURABLES INCLUIDOS EN LOS GASES ARTERIALES  ADEMAS TAMPOCO FUERON SOLICITADOS. $1.620 MASCARILLA NO FACTURABLE  YA QUE HACE PARTE DE LOS PROTOCOLOS DE BIOSEGURIDAD  INCLUIDO EN LA ESTANCIA (HABILITACIÓN).</t>
  </si>
  <si>
    <t>HUS0000165488</t>
  </si>
  <si>
    <t>HUS0000165514</t>
  </si>
  <si>
    <t>EN CONCILIACION ESE HUS ACEPTA GLOSA POR VALOR $21.840 CORRESPONDIENTES A: $18.600 CONSULTA POR TRABAJO SOCIAL NO FACTURABLE  TRAMITE ADMINISTRATIVO  INCLUIDO EN LA ESTANCIA. $3.240 DE MASCARILLA NO FACTURABLE  YA QUE HACE PARTE DE LOS PROTOCOLOS DE BIOSEGURIDAD  INCLUIDO EN LA ESTANCIA (HABILITACIÓN).</t>
  </si>
  <si>
    <t>HUS0000165821</t>
  </si>
  <si>
    <t>EN CONCILIACION ESE HUS ACEPTA GLOSA POR VALOR $20.220 CORRESPONDIENTES A: $18.600 CONSULTA POR TRABAJO SOCIAL NO FACTURABLE  TRAMITE ADMINISTRATIVO  INCLUIDO EN LA ESTANCIA. $1620 DE MASCARILLA NO FACTURABLE  YA QUE HACE PARTE DE LOS PROTOCOLOS DE BIOSEGURIDAD  INCLUIDO EN LA ESTANCIA (HABILITACIÓN).</t>
  </si>
  <si>
    <t>HUS0000165866</t>
  </si>
  <si>
    <t xml:space="preserve">EN CONCILIACION ESE HUS ACEPTA GLOSA $18.600 CONSULTA POR TRABAJO SOCIAL NO FACTURABLE  TRAMITE ADMINISTRATIVO  INCLUIDO EN LA ESTANCIA  </t>
  </si>
  <si>
    <t>HUS0000165881</t>
  </si>
  <si>
    <t>HUS0000165888</t>
  </si>
  <si>
    <t xml:space="preserve">EN CONCILIACION ESE HUS ACEPTA GLOSA POR VALOR $23.460 CORRESPONDIENTES A: $18.600 CONSULTA POR TRABAJO SOCIAL NO FACTURABLE  TRAMITE ADMINISTRATIVO  INCLUIDO EN LA ESTANCIA. $4.860 MASCARILLA NO FACTURABLE  YA QUE HACE PARTE DE LOS PROTOCOLOS DE BIOSEGURIDAD  INCLUIDO EN LA ESTANCIA (HABILITACIÓN).    </t>
  </si>
  <si>
    <t>HUS0000165973</t>
  </si>
  <si>
    <t xml:space="preserve">VALOR $175.360 ACEPTADO EN TRAMITE INICIAL CON NC 27215
</t>
  </si>
  <si>
    <t>HUS0000165990</t>
  </si>
  <si>
    <t xml:space="preserve">VALOR $18.600 ACEPTADO EN TRAMITE INICIAL CON NC 27216
</t>
  </si>
  <si>
    <t>HUS0000166115</t>
  </si>
  <si>
    <t>EN CONCILIACION ESE HUS ACEPTA GLOSA POR VALOR $21.840 CORRESPONDIENTE A:  $18.600 CONSULTA POR TRABAJO SOCIAL NO FACTURABLE  TRAMITE ADMINISTRATIVO  INCLUIDO EN LA ESTANCIA. $3.240 DE MASCARILLA NO FACTURABLE  YA QUE HACE PARTE DE LOS PROTOCOLOS DE BIOSEGURIDAD  INCLUIDO EN LA ESTANCIA (HABILITACIÓN).</t>
  </si>
  <si>
    <t>HUS0000166179</t>
  </si>
  <si>
    <t>EN CONCILIACION ESE HUS ACEPTA GLOSA PARCIAL POR $139.800 SE REALIZA HOMOLOGACION A SALA DE OBSERVACION PACIENTE DE 12 AÑOS CON ANTECEDENTE DE CAIDA DE UN CAMAROTE CON FRACTURA DE LA EPIFISIS INFERIOR DEL HUMERO VALORADO POR ORTOPEDISTA CON RADIOGRAFIA DE CONTROL SE EVIDENCIA REDUCCION ACEPTABLE  PARA LA EDAD SE INMOVILIZA NO ME BENEFICIA TURNO QUIRURGICO CONTINUAR CON MANEJO ORTPEDICO. ENTIDAD LEVANTA EL RESTANTE</t>
  </si>
  <si>
    <t>HUS0000166189</t>
  </si>
  <si>
    <t>EN CONCILIACION ESE HUS ACEPTA GLOSA POR $8.100 EN GLUCOMETRIA LA CUAL NO ESTA SOLICITADA EN HISTORIA CLINICA</t>
  </si>
  <si>
    <t>HUS0000166253</t>
  </si>
  <si>
    <t>EN CONCILIACION ESE HUS ACEPTA GLOSA $18.600 CONSULTA POR TRABAJO SOCIAL NO FACTURABLE  TRAMITE ADMINISTRATIVO  INCLUIDO EN LA ESTANCIA.</t>
  </si>
  <si>
    <t>HUS0000166278</t>
  </si>
  <si>
    <t>EN CONCILIACION ESE HUS ACEPTA GLOSA POR VALOR $29.940 CORRESPONDIENTE A: $18.600 CONSULTA POR TRABAJO SOCIAL NO FACTURABLE  TRAMITE ADMINISTRATIVO  INCLUIDO EN LA ESTANCIA. $11.340 DE MASCARILLA NO FACTURABLE  YA QUE HACE PARTE DE LOS PROTOCOLOS DE BIOSEGURIDAD  INCLUIDO EN LA ESTANCIA (HABILITACIÓN).</t>
  </si>
  <si>
    <t>HUS0000166286</t>
  </si>
  <si>
    <t>EN CONCILIACION ESE HUS ACEPTA GLOSA POR VALOR $20.220 CORRESPONDIENTE A:  $18.600 CONSULTA POR TRABAJO SOCIAL NO FACTURABLE  TRAMITE ADMINISTRATIVO  INCLUIDO EN LA ESTANCIA. $1.620 DE MASCARILLA NO FACTURABLE  YA QUE HACE PARTE DE LOS PROTOCOLOS DE BIOSEGURIDAD  INCLUIDO EN LA ESTANCIA (HABILITACIÓN).</t>
  </si>
  <si>
    <t>HUS0000166309</t>
  </si>
  <si>
    <t xml:space="preserve">EN CONCILIACION ESE HUS ACEPTA GLOSA  $17.820 DE MASCARILLA NO FACTURABLE  YA QUE HACE PARTE DE LOS PROTOCOLOS DE BIOSEGURIDAD  INCLUIDO EN LA ESTANCIA (HABILITACIÓN).  </t>
  </si>
  <si>
    <t>HUS0000166310</t>
  </si>
  <si>
    <t xml:space="preserve">EN CONCILIACION ESE HUS ACEPTA GLOSA POR VALOR $9.720 DE MASCARILLA NO FACTURABLE  YA QUE HACE PARTE DE LOS PROTOCOLOS DE BIOSEGURIDAD  INCLUIDO EN LA ESTANCIA (HABILITACIÓN).  </t>
  </si>
  <si>
    <t>HUS0000166377</t>
  </si>
  <si>
    <t>SSS RATIFICA GLOSA INICIALMENTE FORMULADA, SE DEVUELVE TOTAL FACTURA POR BD Y POR COBERTURA USUARIO REGISTRA CON DNP EN FLORIDABLANCA PARA LA FECHA DE ATENCION POR LO TANTO NO CORRESPONDE A LA COBERTURA DECRETO 866., ESE HUS NO ACEPTA GLOSA POR FACTURACION - USUARIO O SERVICIO CORRESPONDE A OTRO PLAN O RESPONSABLE. SE CONSULTA PAGINA DEL DNP Y PACIENTE NO REGISTRA CON SISBEN DE FLORIDABLANCA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</si>
  <si>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HUS0000166378</t>
  </si>
  <si>
    <t>EN CONCILIACION ESE HUS ACEPTA GLOSA PARCIAL POR $138.520 ASI: $89.400 POR MVC EN MONITOREO INTRAPARTO A MONITOREO ANTE PARTO SEGÚN REGISTRO EN HC POR EL GINECOLOGO DE ACUERDO A LA RESOLUCION 15997.  $28.900 MVC EN INTERCONSULTAS DE PERINATOLOGÍA DE ACUERDO A LA RESOLUCION 15997. $18.600 CONSULTA POR TRABAJO SOCIAL NO FACTURABLE  TRAMITE ADMINISTRATIVO  INCLUIDO EN LA ESTANCIA. $1.620 POR MASCARILLA NO FACTURABLE YA QUE HACE PARTE DE LOS PROTOCOLOS DE BIOSEGURIDAD  INCLUIDO EN LA ESTANCIA (HABILITACIÓN).
ENTIDAD LEVANTA EL RESTANTE</t>
  </si>
  <si>
    <t>HUS0000166379</t>
  </si>
  <si>
    <t>EN CONCILIACION ESE HUS ACEPTA GLOSA  POR VALOR $25.080 CORRESPONDIENTE A: $18.600 CONSULTA POR TRABAJO SOCIAL NO FACTURABLE  TRAMITE ADMINISTRATIVO  INCLUIDO EN LA ESTANCIA. $6.480 DE MASCARILLA NO FACTURABLE  YA QUE HACE PARTE DE LOS PROTOCOLOS DE BIOSEGURIDAD  INCLUIDO EN LA ESTANCIA (HABILITACIÓN).</t>
  </si>
  <si>
    <t>HUS0000166381</t>
  </si>
  <si>
    <t>EN CONCILIACION ESE HUS ACEPTA GLOSA PARCIAL POR $120.600 POR SOBREFACTURACION DE VENDAJE INMOVILIZACION  FX 2° METACARPIANO MANO. ENTIDAD LEVANTA EL RESTANTE</t>
  </si>
  <si>
    <t>HUS0000166394</t>
  </si>
  <si>
    <t>HUS0000166397</t>
  </si>
  <si>
    <t>EN CONCILIACION ESE HUS ACEPTA GLOSA PARCIAL POR $357.405 ASI: $275.191 POR INSUMOS DE AGUJAS STIMUPLEX  NYLON PLACAS BIPOLARES MASCARILLA MANGO PORTA ELECTRODOS INSUMOS NO FACTURABLES SEGUN ART. 44 Y 55 SOAT MANUAL VIGENTE.$82.214 AGENTES ANESTESICOS (MORFINA  FENTANILO  MIDAZOLAN Y REMIFENTANILO) INCLUIDOS EN DERECHOS DE SALA MEDICAMENTOS QUE SE UTILIZAN DURANTE EL PROCEDIMIENTO DE ANESTESIA. ENTIDAD LEVANTA EL RESTANTE</t>
  </si>
  <si>
    <t>HUS0000166516</t>
  </si>
  <si>
    <t>EN CONCILIACION ESE HUS ACEPTA GLOSA POR VALOR $3.240 MASCARILLA NO FACTURABLE  YA QUE HACE PARTE DE LOS PROTOCOLOS DE BIOSEGURIDAD  INCLUIDO EN LA ESTANCIA (HABILITACIÓN).</t>
  </si>
  <si>
    <t>HUS0000166526</t>
  </si>
  <si>
    <t xml:space="preserve">VALOR $21.840 ACEPTADO EN TRAMITE INICIAL CON NC 28251
</t>
  </si>
  <si>
    <t>HUS0000166612</t>
  </si>
  <si>
    <t>HUS0000166635</t>
  </si>
  <si>
    <t xml:space="preserve">VALOR $18.600 ACEPTADO EN TRAMITE INICIAL CON NC 27217
</t>
  </si>
  <si>
    <t>HUS0000166756</t>
  </si>
  <si>
    <t xml:space="preserve">SSS MANTIENE GLOSA $57.300 INTERCONSULTA POR ANESTESIA LA CUAL NO ES FACTURABLE EN PACIENTE QUIRURGICO
VALOR $4.860 ACEPTADO EN TRAMITE INICIAL CON NC 28252
</t>
  </si>
  <si>
    <t>HUS0000166873</t>
  </si>
  <si>
    <t xml:space="preserve">VALOR $20.220 ACEPTADO EN TRAMITE INICIAL CON NC 28253
</t>
  </si>
  <si>
    <t>HUS0000166889</t>
  </si>
  <si>
    <t xml:space="preserve">EN CONCILIACION ESE HUS ACEPTA GLOSA $4.860 DE MASCARILLA NO FACTURABLE  YA QUE HACE PARTE DE LOS PROTOCOLOS DE BIOSEGURIDAD  INCLUIDO EN LA ESTANCIA (HABILITACIÓN).  </t>
  </si>
  <si>
    <t>HUS0000166982</t>
  </si>
  <si>
    <t>EN CONCILIACION ESE HUS ACEPTA GLOSA $18.600 CONSULTA POR TRABAJO SOCIAL NO FACTURABLE  TRAMITE ADMINISTRATIVO  INCLUIDO EN LA ESTANCIA</t>
  </si>
  <si>
    <t>HUS0000166983</t>
  </si>
  <si>
    <t xml:space="preserve">VALOR $34.800 ACEPTADO EN TRAMITE INICIAL CON NC 28254
</t>
  </si>
  <si>
    <t>HUS0000167020</t>
  </si>
  <si>
    <t xml:space="preserve">EN CONCILIACION ESE HUS ACEPTA GLOSA  $4.860 DE MASCARILLA NO FACTURABLE  YA QUE HACE PARTE DE LOS PROTOCOLOS DE BIOSEGURIDAD  INCLUIDO EN LA ESTANCIA (HABILITACIÓN).  </t>
  </si>
  <si>
    <t>HUS0000167037</t>
  </si>
  <si>
    <t xml:space="preserve">VALOR $20.220 ACEPTADO EN TRAMITE INICIAL CON NC 28255
</t>
  </si>
  <si>
    <t>HUS0000167073</t>
  </si>
  <si>
    <t>HUS0000167178</t>
  </si>
  <si>
    <t>IPS ACEPTA GLOSA $89.400 YA QUE LO QUE SE REALIZO FUE ANTEPARTO Y SE FACTURO FUE MONITOREO FETAL INTRAPARTO
VALOR $4.860 ACEPTADO EN TRAMITE INICIAL CON NC 28256</t>
  </si>
  <si>
    <t>HUS0000167237</t>
  </si>
  <si>
    <t xml:space="preserve">IPS ACEPTA GLOSA $89.400  YA QUE LO QUE SE REALIZO FUE ANTEPARTO Y SE FACTURO FUE MONITOREO FETAL INTRAPARTO, IPS ACEPTA GLOSA $18.600 CONSULTA POR TRABAJO SOCIAL NO FACTURABLE  TRAMITE ADMINISTRATIVO  INCLUIDO EN LA ESTANCIA, IPS ACEPTA GLOSA $12.000  DE CATGUT CROMADO NO FACTURABLE  INCLUIDO EN DERECHOS DE SALA Y MATERIALES, IPS ACEPTA GLOSA $9.720 MASCARILLA NO FACTURABLE  YA QUE HACE PARTE DE LOS PROTOCOLOS DE BIOSEGURIDAD  INCLUIDO EN LA ESTANCIA (HABILITACIÓN).  </t>
  </si>
  <si>
    <t>HUS0000167238</t>
  </si>
  <si>
    <t>EN CONCILIACION ESE HUS ACEPTA GLOSA POR VALOR $41.860 CORRESPONDIENTE A: $28.900 MVC EN INTERCONSULTAS DE GENETICA DE ACUERDO A LA RESOLUCION 15997.  $12.960 POR MASCARILLA NO FACTURABLE YA QUE HACE PARTE DE LOS PROTOCOLOS DE BIOSEGURIDAD  INCLUIDO EN LA ESTANCIA (HABILITACIÓN).
ENTIDAD LEVANTA EL RESTANTE
VALOR $18.600 ACEPTADO EN TRAMITE INICIAL CON NC 28258</t>
  </si>
  <si>
    <t>HUS0000167303</t>
  </si>
  <si>
    <t xml:space="preserve">EN CONCILIACION ESE HUS ACEPTA GLOSA $1.620 DE MASCARILLA NO FACTURABLE  YA QUE HACE PARTE DE LOS PROTOCOLOS DE BIOSEGURIDAD  INCLUIDO EN LA ESTANCIA (HABILITACIÓN).  </t>
  </si>
  <si>
    <t>HUS0000167375</t>
  </si>
  <si>
    <t xml:space="preserve">VALOR $59.130 ACEPTADO EN TRAMITE INICIAL CON NC 27218
</t>
  </si>
  <si>
    <t>HUS0000167515</t>
  </si>
  <si>
    <t>EN CONCILIACION ESE HUS ACEPTA GLOSA $35.670 LA DIFERENCIA ENTRE PCR DEL ALTA PRECISIÓN Y SEMICUANTITATIVA  NO PERTINENTE  SE RECONOCE SEMICUANTITATIVA PACIENTE SIN SIGNOS DE SEPSIS
VALOR $1.620 ACEPTADO EN TRAMITE INICIAL CON NC 27218</t>
  </si>
  <si>
    <t>HUS0000167528</t>
  </si>
  <si>
    <t>EN CONCILIACION ESE HUS ACEPTA GLOSA POR VALOR $28.900 MVC EN INTERCONSULTAS DE NEUROLOGIA DE ACUERDO A LA RESOLUCION 15997.
ENTIDAD LEVANTA EL RESTANTE
VALOR $23.460 ACEPTADO EN TRAMITE INICIAL CON NC 28260</t>
  </si>
  <si>
    <t>HUS0000167630</t>
  </si>
  <si>
    <t>EN CONCILIACION ESE HUS ACEPTA GLOSA $35.670 LA DIFERENCIA ENTRE PCR DEL ALTA PRECISIÓN Y SEMICUANTITATIVA  NO PERTINENTE  SE RECONOCE SEMICUANTITATIVA PACIENTE  SIN SIGNOS  DE SEPSIS. 
VALOR $26.700 ACEPTADO EN TRAMITE INICIAL CON NC 28261</t>
  </si>
  <si>
    <t>HUS0000167696</t>
  </si>
  <si>
    <t>EN CONCILIACION ESE HUS ACEPTA GLOSA POR VALOR $14.734.076 CORRESPONDIENTES A: $9.506.300 POR MVC EN MATERIAL DE HEMODINAMIA, $4.665.700 POR MAYOR VALOR FACTURADO EN EMBOLIZACION, $38.700 POR MVC EN INTERCONSULTAS DE NEUROLOGIA, $523.376 POR MVC EN PANANGIOGRAFIA SE REALIZA LOS AJUSTES DE ACUERDO A LA RESOLUCION 15997 DE 2017
ENTIDAD LEVANTA EL RESTANTE</t>
  </si>
  <si>
    <t>HUS0000167747</t>
  </si>
  <si>
    <t xml:space="preserve">EN CONCILIACION ESE HUS ACEPTA GLOSA POR $8.100 POR SOBREFACTURACION DE INSUMOS DE (5) EN MASCARILLA PROTECTORA DESECHABLE, INSUMO NO FACTURABLE INCLUIDO EN LA ESTANCIA DEL PACIENTE ART 40 DECRETO 2423/96. </t>
  </si>
  <si>
    <t>HUS0000167750</t>
  </si>
  <si>
    <t>HUS0000167779</t>
  </si>
  <si>
    <t xml:space="preserve">VALOR $29.940 ACEPTADO EN TRAMITE INICIAL CON NC 28262
</t>
  </si>
  <si>
    <t>HUS0000167792</t>
  </si>
  <si>
    <t xml:space="preserve">VALOR $28.320 ACEPTADO EN TRAMITE INICIAL CON NC 28263
</t>
  </si>
  <si>
    <t>HUS0000167813</t>
  </si>
  <si>
    <t xml:space="preserve">VALOR $3.240 ACEPTADO EN TRAMITE INICIAL CON NC 28264
</t>
  </si>
  <si>
    <t>HUS0000167817</t>
  </si>
  <si>
    <t xml:space="preserve">VALOR $37.290 ACEPTADO EN TRAMITE INICIAL CON NC 27219
</t>
  </si>
  <si>
    <t>HUS0000168143</t>
  </si>
  <si>
    <t>VALOR $2.297.480 ACEPTADO EN TRAMITE INICIAL CON NC 27220
ENTIDAD LEVANTA EL RESTANTE</t>
  </si>
  <si>
    <t>HUS0000168152</t>
  </si>
  <si>
    <t>EN CONCILIACION ESE HUS ACEPTA GLOSA POR VALOR $28.900 POR MVC EN INTERCONSULTAS DE INFECTOLOGIA DE ACUERDO A LA RESOLUCION 15997. 
ENTIDAD LEVANTA EL RESTANTE
VALOR $18.600 ACEPTADO EN TRAMITE INICIAL CON NC 28265</t>
  </si>
  <si>
    <t>HUS0000168189</t>
  </si>
  <si>
    <t>HUS0000168205</t>
  </si>
  <si>
    <t xml:space="preserve">VALOR $6.500 ACEPTADO EN TRAMITE INICIAL CON NC 28266
</t>
  </si>
  <si>
    <t>HUS0000168237</t>
  </si>
  <si>
    <t xml:space="preserve">EN CONCILIACION ESE HUS ACEPTA GLOSA POR VALOR $3.240 MASCARILLA NO FACTURABLE  YA QUE HACE PARTE DE LOS PROTOCOLOS DE BIOSEGURIDAD  INCLUIDO EN LA ESTANCIA (HABILITACIÓN).  </t>
  </si>
  <si>
    <t>HUS0000168282</t>
  </si>
  <si>
    <t>EN CONCILIACION ESE HUS ACEPTA GLOSA POR VALOR $336.010 CORRESPONDIENTE A: $268.200 YA QUE LO QUE SE REALIZO FUE ANTEPARTO Y SE FACTURO FUE MONITOREO FETAL INTRAPARTO, $28.900 POR MVC EN INTERCONSULTAS DE PERINATOLOGÍA DE ACUERDO A LA RESOLUCION 15997. $35.670 LA DIFERENCIA ENTRE PCR DEL ALTA PRECISIÓN Y SEMICUANTITATIVA  NO PERTINENTE, PACIENTE  SIN SIGNOS  DE SEPSIS, $3.240 MASCARILLA NO FACTURABLE  YA QUE HACE PARTE DE LOS PROTOCOLOS DE BIOSEGURIDAD  INCLUIDO EN LA ESTANCIA (HABILITACIÓN).  
ENTIDAD LEVANTA EL RESTANTE.</t>
  </si>
  <si>
    <t>HUS0000168325</t>
  </si>
  <si>
    <t xml:space="preserve">EN CONCILIACION ESE HUS ACEPTA GLOSA POR VALOR $9.094.846 Y SE DEVUELVE TOTAL FACTURA POR BD Y POR COBERTURA  USUARIO REGISTRA CON DNP EN BARRANCABERMEJA  PARA LA FECHA DE ATENCION POR LO TANTO NO CORRESPONDE A LA COBERTURA DECRETO 866. </t>
  </si>
  <si>
    <t>HUS0000168507</t>
  </si>
  <si>
    <t>EN CONCILIACION ESE HUS ACEPTA GLOSA POR VALOR $359.822 CORRESPONDIENTE A: $353.342 POR MVC EN TROCARES DE ACUERDO A LA RESOLUCION 15997. $6.480 MASCARILLA NO FACTURABLE  YA QUE HACE PARTE DE LOS PROTOCOLOS DE BIOSEGURIDAD  INCLUIDO EN LA ESTANCIA (HABILITACIÓN).  
ENTIDAD LEVANTA EL RESTANTE</t>
  </si>
  <si>
    <t>HUS0000168553</t>
  </si>
  <si>
    <t>HUS0000168697</t>
  </si>
  <si>
    <t>EN CONCILIACION ESE HUS ACEPTA GLOSA POR VALOR $89.400 YA QUE LO QUE SE REALIZO FUE ANTEPARTO Y SE FACTURO FUE MONITOREO FETAL INTRAPARTO
VALOR $5.100 ACEPTADO EN TRAMITE INICIAL CON NC 28268</t>
  </si>
  <si>
    <t>HUS0000168805</t>
  </si>
  <si>
    <t>SSS RATIFICA GLOSA INICIALMENTE FORMULADA, SE DEVUELVE TOTAL FACTURA POR BD Y POR COBERTURA USUARIO REGISTRA CON DNP EN LEBRIJA PARA LA FECHA DE ATENCION POR LO TANTO NO CORRESPONDE A LA COBERTURA DECRETO 866, //SE GLOSA EL 40% DE LOS INSUMOS DE HEMODINAMIA PRECIO MAYOR POR ENCIMA DEL PRECIO DEL MERCADO ANEXAR FACTURA DE COMPRA. SE GLOSA MVC EN PINZAS DE LAPAROTOMIA SE RECONOCE POR REUSO (4 USOS) SE GLOSA LA LIBERACION DEL ADHERENCIA NO FACTURABLES YA QUE SE TRATA DE LA VIA DE ACCESO// SE GLOSA CONSULTA POR ANESTESIA NO FACTURABLE EN PACIENTE QUIRURGICO ART 48 PARAGRAFO 1 DECRETO 2423// SE GLOSA MASCARILLA NO FACTURABLE YA QUE HACE PARTE DE LOS PROTOCOLOS DE BIOSEGURIDAD INCLUIDO EN LA ESTANCIA (HABILITACIÓN), //SE GLOSA $18.600 CONSULTA POR TRABAJO SOCIAL NO FACTURABLE TRAMITE ADMINISTRATIVO INCLUIDO EN LA ESTANCIA, 116. ESE HUS NO ACEPTA GLOSA POR FACTURACION - USUARIO O SERVICIO CORRESPONDE A OTRO PLAN O RESPONSABLE. SE VERIFICA DNP Y PACIENTE NO FIGURA CON SISBEN DE LEBRIJA NI PARA EL MOMENTO DE LA PRESTACION DEL SERVICIO NI EN LA ACTUALIDAD, POR LO ANTERIOR, GLOSA NO JUSTIFICADA. // ADICIONALMENTE NO ACEPTA  GLOSA POR MVC EN INSUMOS FACTURADOS AL NO EXISTIR ACUERDO DE VOLUNTADES SE FACTURA A TARIFAS PROPIAS DE LAS RESOLUCIONES INTERNAS DEL HUS. IGUALMENTE NO ACEPTA GLOSA POR PROCEDIMIENTO QUIRURGICO LIBERACION DE ADHERENCIAS, EL CUAL ES FACTURABLE POR HALLAZGOS CLINICOS ENCONTRADOS Y EL CUAL ESTA DEBIDAMENTE SOPORTADO Y JUSTIFICADO EN LA HOJA DE PROCEDIMIENTO QUIRURGICO. TAMPOCO ACEPTA GLOSA POR MASCARILLAS DESECHABLES ENTREGADAS AL PACIENTE POR EMERGENCIA COVID19. NO PERTENECE A DOTACIÓN BÁSICA DE ELEMENTOS DE PROTECCION DE PERSONAL DE ENFERMERÍA Y SE FACTURA DE ACUERDO A CIRCULAR 010 DEL 18 MAYO DE 2020 EMITIDA A LAS ERP DONDE SE ACLARA QUE LA ESE HUS SUMINISTRARA ESTE INSUMO CON FRECUENCIA DIARIA DURANTE TODA LA ESTADIA INTRAHOSPITALARIA."., ES POR ESTO POR LO QUE NO SE LLEGA A UN ACUERDO ENTRE LAS PARTES CON ESTA OBJECIÓN, Y SE REMITE A CONCILIACIÓN EN SEGUNDA INSTANCIA EN LOS TERMINOS DESCRITOS EN EL ART 57 DE LA LEY N. 1438 DE 2011.</t>
  </si>
  <si>
    <t>HUS0000168834</t>
  </si>
  <si>
    <t>EN CONCILIACION ESE HUS ACEPTA GLOSA POR VALOR $14.580 EN MANGO PORTA ELECTRODO  NO FACTURABLE INCLUIDOS EN LOS DERECHOS DE SALA
VALOR $61.856 ACEPTADO EN TRAMITE INICIAL CON NC 28268</t>
  </si>
  <si>
    <t>HUS0000168878</t>
  </si>
  <si>
    <t>EN CONCILIACION ESE HUS ACEPTA GLOSA POR VALOR $20.220 CORRESPONDIENTE A: $18.600 CONSULTA POR TRABAJO SOCIAL NO FACTURABLE  TRAMITE ADMINISTRATIVO  INCLUIDO EN LA ESTANCIA. $1.620 DE MASCARILLA NO FACTURABLE  YA QUE HACE PARTE DE LOS PROTOCOLOS DE BIOSEGURIDAD  INCLUIDO EN LA ESTANCIA (HABILITACIÓN).</t>
  </si>
  <si>
    <t>HUS0000168979</t>
  </si>
  <si>
    <t>EN CONCILIACION ESE HUS ACEPTA GLOSA POR VALOR $32.140 CORRESPONDIENTE A: $28.900 POR MVC EN INTERCONSULTAS DE PERINATOLOGÍA DE ACUERDO A LA RESOLUCION 15997. $3.240 MASCARILLA NO FACTURABLE  YA QUE HACE PARTE DE LOS PROTOCOLOS DE BIOSEGURIDAD  INCLUIDO EN LA ESTANCIA (HABILITACIÓN).  
ENTIDAD LEVANTA EL RESTANTE</t>
  </si>
  <si>
    <t>HUS0000168983</t>
  </si>
  <si>
    <t xml:space="preserve">EN CONCILIACION ESE HUS ACEPTA GLOSA POR VALOR $4.860 MASCARILLA NO FACTURABLE  YA QUE HACE PARTE DE LOS PROTOCOLOS DE BIOSEGURIDAD  INCLUIDO EN LA ESTANCIA (HABILITACIÓN).  </t>
  </si>
  <si>
    <t>HUS0000168990</t>
  </si>
  <si>
    <t>EN CONCILIACION ESE HUS ACEPTA GLOSA POR VALOR $2.678.300 CORRESPONDIENTE A: $1.698.600 POR MVC EN GRAPADORA  TIJERAS Y RECARGA LINEAL DE ACUERDO A RESOLUCION 15997. $899.300 LA MASCARA DE ANESTESIA NO FACTURABLE HACE PARTE DEL EQUIPO DE ANESTESIA INCLUIDO EN LOS DERECHOS DE SALA Y MATERIALES. $80.400 LA TRANSFUSION NO FACTURABLE PACIENTE EN UCI  ACTIVIDAD DE ENFERMERIA.
ENTIDAD LEVANTA EL RESTANTE</t>
  </si>
  <si>
    <t>HUS0000169077</t>
  </si>
  <si>
    <t>EN CONCILIACION ESE HUS  ACEPTA GLOSA POR VALOR $40.240 CORRESPONDIENTE A: $28.900 POR MVC EN INTERCONSULTAS DE NEUROLOGIA DE ACUERDO A LA RESOLUCION 15997. $11.340 MASCARILLA NO FACTURABLE  YA QUE HACE PARTE DE LOS PROTOCOLOS DE BIOSEGURIDAD  INCLUIDO EN LA ESTANCIA (HABILITACIÓN).    
ENTIDAD LEVANTA EL RESTANTE</t>
  </si>
  <si>
    <t>HUS0000169082</t>
  </si>
  <si>
    <t xml:space="preserve">EN CONCILIACION ESE HUS ACEPTA GLOSA POR VALOR $62.160 CORRESPONDIENTE A: $57.300 INTERCONSULTA POR ANESTESIA NO  FACTURABLE EN PACIENTE QUIRURGICO. $4.860 MASCARILLA NO FACTURABLE  YA QUE HACE PARTE DE LOS PROTOCOLOS DE BIOSEGURIDAD  INCLUIDO EN LA ESTANCIA (HABILITACIÓN).  </t>
  </si>
  <si>
    <t>HUS0000169104</t>
  </si>
  <si>
    <t>EN CONCILIACION ESE HUS ACEPTA GLOSA POR VALOR $138.520 CORRESPONDIENTE A: $89.400  YA QUE LO QUE SE REALIZO FUE ANTEPARTO Y SE FACTURO FUE MONITOREO FETAL INTRAPARTO. $28.900 POR MVC EN INTERCONSULTAS DE PERINATOLOGÍA DE ACUERDO A LA RESOLUCION 15997. $18.600 CONSULTA POR TRABAJO SOCIAL NO FACTURABLE  TRAMITE ADMINISTRATIVO  INCLUIDO EN LA ESTANCIA. $1.620  MASCARILLA NO FACTURABLE  YA QUE HACE PARTE DE LOS PROTOCOLOS DE BIOSEGURIDAD  INCLUIDO EN LA ESTANCIA (HABILITACIÓN).    
ENTIDAD LEVANTA EL RESTANTE</t>
  </si>
  <si>
    <t>HUS0000169118</t>
  </si>
  <si>
    <t>EN CONCILIACION ESE HUS ACEPTA GLOSA PARCIAL POR VALOR DE $49.800 POR PROCEDIMIENTO DE REDUCCION CERRADA LX EN HOMBRO YA QUE FUE REALIZADO POR MEDICO GENERAL POR LO CUAL NO ES FACTURABLE
ENTIDAD LEVANTA EL RESTANTE</t>
  </si>
  <si>
    <t>HUS0000169130</t>
  </si>
  <si>
    <t>EN CONCILIACION ESE HUS ACEPTA GLOSA POR VALOR $28.900 MVC EN INTERCONSULTAS DE NEUROLOGIA DE ACUERDO A LA RESOLUCION 15997. 
ENTIDAD LEVANTA EL RESTANTE
VALOR $21.840 ACEPTADO EN TRAMITE INICIAL CON NC 28269</t>
  </si>
  <si>
    <t>HUS0000169139</t>
  </si>
  <si>
    <t xml:space="preserve">EN CONCILIACION ESE HUS ACEPTA GLOSA POR VALOR $21.840 CORRESPONDIENTE A:  $18.600 CONSULTA POR TRABAJO SOCIAL NO FACTURABLE  TRAMITE ADMINISTRATIVO  INCLUIDO EN LA ESTANCIA. $3.240 MASCARILLA NO FACTURABLE  YA QUE HACE PARTE DE LOS PROTOCOLOS DE BIOSEGURIDAD  INCLUIDO EN LA ESTANCIA (HABILITACIÓN).  </t>
  </si>
  <si>
    <t>HUS0000169284</t>
  </si>
  <si>
    <t>EN CONCILIACION ESE HUS ACEPTA GLOSA POR VALOR $55.600 CORRESPONDIENTE A: $28.900 POR MVC EN INTERCONSULTAS DE NEUROLOGIA, DE ACUERDO A LA RESOLUCION 15997.  $18.600 CONSULTA POR TRABAJO SOCIAL NO FACTURABLE  TRAMITE ADMINISTRATIVO  INCLUIDO EN LA ESTANCIA. $8.100 MASCARILLA NO FACTURABLE  YA QUE HACE PARTE DE LOS PROTOCOLOS DE BIOSEGURIDAD  INCLUIDO EN LA ESTANCIA (HABILITACIÓN).  
ENTIDAD LEVANTA EL RESTANTE.</t>
  </si>
  <si>
    <t>HUS0000169331</t>
  </si>
  <si>
    <t>VALOR $247.800 ACEPTADO EN TRAMITE DE RESPUESTA DE GLOSA INICIAL, CON NOTA CREDITO: 27221</t>
  </si>
  <si>
    <t>HUS0000169337</t>
  </si>
  <si>
    <t>VALOR $134.260 ACEPTADO EN TRAMITE INICIAL CON NC 27223
ENTIDAD LEVANTA EL RESTANTE</t>
  </si>
  <si>
    <t>HUS0000169412</t>
  </si>
  <si>
    <t>HUS0000169457</t>
  </si>
  <si>
    <t xml:space="preserve">EN CONCILIACION ESE HUS ACEPTA GLOSA POR VALOR $2.817.890 Y SE DEVUELVE TOTAL FACTURA POR BD Y POR COBERTURA  USUARIO REGISTRA CON DNP EN BUCARAMANGA  PARA LA FECHA DE ATENCION POR LO TANTO NO CORRESPONDE A LA COBERTURA DECRETO 866. </t>
  </si>
  <si>
    <t>HUS0000169469</t>
  </si>
  <si>
    <t>EN CONCILIACION ESE HUS ACEPTA GLOSA POR VALOR $4.860 MASCARILLA NO FACTURABLE  YA QUE HACE PARTE DE LOS PROTOCOLOS DE BIOSEGURIDAD  INCLUIDO EN LA ESTANCIA (HABILITACIÓN).   
ENTIDAD LEVANTA EL RESTANTE
VALOR $790.060 ACEPTADO EN TRAMITE INICIAL CON NC 28270</t>
  </si>
  <si>
    <t>HUS0000169540</t>
  </si>
  <si>
    <t>EN CONCILIACION ESE HUS ACEPTA GLOSA POR VALOR $1.211.280 CORRESPONDIENTE A: $1.120.800 POR MVC EN PINZAS LAPAROTROMIA DE ACUERDO A LA RESOLUCION 15997. $57.300 INTERCONSULTA POR ANESTESIA NO FACTURABLE EN PACIENTE QUIRURGICO.  $18.600 CONSULTA POR TRABAJO SOCIAL NO FACTURABLE TRAMITE ADMINISTRATIVO  INCLUIDO EN LA ESTANCIA. $14.580 MASCARILLA NO FACTURABLE  YA QUE HACE PARTE DE LOS PROTOCOLOS DE BIOSEGURIDAD  INCLUIDO EN LA ESTANCIA (HABILITACIÓN).  
ENTIDAD LEVANTA EL RESTANTE</t>
  </si>
  <si>
    <t>HUS0000169676</t>
  </si>
  <si>
    <t>HUS0000169689</t>
  </si>
  <si>
    <t>HUS0000169766</t>
  </si>
  <si>
    <t xml:space="preserve">EN CONCILIACION ESE HUS ACEPTA GLOSA POR VALOR $11.340 DE MASCARILLA NO FACTURABLE  YA QUE HACE PARTE DE LOS PROTOCOLOS DE BIOSEGURIDAD  INCLUIDO EN LA ESTANCIA (HABILITACIÓN).  </t>
  </si>
  <si>
    <t>HUS0000169813</t>
  </si>
  <si>
    <t>EN CONCILIACION ESE HUS ACEPTA GLOSA POR VALOR $289.928 POR MVC EN MOTS DE ACUERDO A LA RESOLUCION 15997
ENTIDAD LEVANTA EL RESTANTE</t>
  </si>
  <si>
    <t>HUS0000169825</t>
  </si>
  <si>
    <t>EN CONCILIACION ESE HUS ACEPTA GLOSA POR VALOR $57.300 DE CONSULTA POR ANESTESIA NO FACTURABLE EN PACIENTE QUIRURGICO.
VALOR $2.457.361 ACEPTADO EN TRAMITE INICIAL CON NC 27227</t>
  </si>
  <si>
    <t>HUS0000169867</t>
  </si>
  <si>
    <t>EN CONCILIACION ESE HUS ACEPTA GLOSA POR VALOR $25.080 CORRESPONDIENTE A: $18.600 CONSULTA POR TRABAJO SOCIAL NO FACTURABLE  TRAMITE ADMINISTRATIVO  INCLUIDO EN LA ESTANCIA. $6.480 DE MASCARILLA NO FACTURABLE  YA QUE HACE PARTE DE LOS PROTOCOLOS DE BIOSEGURIDAD  INCLUIDO EN LA ESTANCIA (HABILITACIÓN).</t>
  </si>
  <si>
    <t>HUS0000169999</t>
  </si>
  <si>
    <t xml:space="preserve">EN CONCILIACION ESE HUS ACEPTA GLOSA POR VALOR $29.076 CORRESPONDIENTE A $18.600 CONSULTA POR TRABAJO SOCIAL NO FACTURABLE  TRAMITE ADMINISTRATIVO  INCLUIDO EN LA ESTANCIA. $10.476 DE MASCARILLA IMPREGNADA Y APOSITOS NO FACTURABLES. </t>
  </si>
  <si>
    <t>HUS0000170007</t>
  </si>
  <si>
    <t>EN CONCILIACION ESE HUS ACEPTA GLOSA POR VALOR $59.317 CORRESPONDIENTE A: $56.072 POR MVC EN MOTS DE ACUERDO A LA RESOLUCION 15997. $3.245 MASCARILLA NO FACTURABLE  YA QUE HACE PARTE DE LOS PROTOCOLOS DE BIOSEGURIDAD  INCLUIDO EN LA ESTANCIA (HABILITACIÓN).  
ENTIDAD LEVANTA EL RESTANTE</t>
  </si>
  <si>
    <t>HUS0000170075</t>
  </si>
  <si>
    <t>EN CONCILIACION ESE HUS ACEPTA GLOSA POR VALOR $23.460 CORRESPONDIENTE A: $18.600 CONSULTA POR TRABAJO SOCIAL NO FACTURABLE  TRAMITE ADMINISTRATIVO  INCLUIDO EN LA ESTANCIA. $4.860 DE MASCARILLA NO FACTURABLE  YA QUE HACE PARTE DE LOS PROTOCOLOS DE BIOSEGURIDAD  INCLUIDO EN LA ESTANCIA (HABILITACIÓN).</t>
  </si>
  <si>
    <t>HUS0000170127</t>
  </si>
  <si>
    <t>EN CONCILIACION ESE HUS ACEPTA GLOSA POR VALOR $63.700 CORRESPONDIENTE A:  $45.100 MVC EN INTERCONSULTAS POR PERINATOLOGIA SE RECONOCE A TARIFAS SOAT  NO EXISTE CONTRATO ENTRE LAS PARTES.  $18.600 CONSULTA POR TRABAJO SOCIAL NO FACTURABLE  TRAMITE ADMINISTRATIVO  INCLUIDO EN LA ESTANCIA</t>
  </si>
  <si>
    <t>HUS0000170200</t>
  </si>
  <si>
    <t>VALOR $247.800 ACEPTADO EN TRAMITE DE RESPUESTA DE GLOSA INICIAL, CON NOTA CREDITO: 27222</t>
  </si>
  <si>
    <t>HUS0000170245</t>
  </si>
  <si>
    <t xml:space="preserve">EN CONCILIACION ESE HUS ACEPTA GLOSA POR VALOR $8.560 CORRESPONDIENTE A:  $4.860 DE MASCARILLA NO FACTURABLE  YA QUE HACE PARTE DE LOS PROTOCOLOS DE BIOSEGURIDAD  INCLUIDO EN LA ESTANCIA (HABILITACIÓN). $3.700 DE VENDAS ELASTICAS NO FACTURABLE EN ATENCIÓN DEL PARTO.  </t>
  </si>
  <si>
    <t>HUS0000170248</t>
  </si>
  <si>
    <t>EN CONCILIACION ESE HUS ACEPTA GLOSA POR VALOR $28.320 CORRESPONDIENTE A: $18.600 CONSULTA POR TRABAJO SOCIAL NO FACTURABLE  TRAMITE ADMINISTRATIVO  INCLUIDO EN LA ESTANCIA. $9.720 DE MASCARILLA NO FACTURABLE  YA QUE HACE PARTE DE LOS PROTOCOLOS DE BIOSEGURIDAD  INCLUIDO EN LA ESTANCIA (HABILITACIÓN).</t>
  </si>
  <si>
    <t>HUS0000170310</t>
  </si>
  <si>
    <t>EN CONCILIACION ESE HUS ACEPTA GLOSA POR VALOR $33.760 CORRESPONDIENE A: $28.900 POR MVC EN INTERCONSULTAS DE PERINATOLOGÍA DE ACUERDO A LA RESOLUCION 15997. $4.860 MASCARILLA NO FACTURABLE  YA QUE HACE PARTE DE LOS PROTOCOLOS DE BIOSEGURIDAD  INCLUIDO EN LA ESTANCIA (HABILITACIÓN).  
ENTIDAD LEVANTA EL RESTANTE</t>
  </si>
  <si>
    <t>HUS0000170313</t>
  </si>
  <si>
    <t>HUS0000170392</t>
  </si>
  <si>
    <t>HUS0000170434</t>
  </si>
  <si>
    <t xml:space="preserve">EN CONCILIACION ESE HUS ACEPTA GLOSA POR VALOR $153.180 CORRESPONDIENTE A:  $89.400  YA QUE LO QUE SE REALIZO FUE ANTEPARTO Y SE FACTURO FUE MONITOREO FETAL INTRAPARTO. $57.300  DE INTERCONSULTA DE ANESTESIOLOGIA NO FACTURABLE  HACE PARTE DEL PROCEDIMIENTO QUIRURGICO. $6.480 MASCARILLA NO FACTURABLE  YA QUE HACE PARTE DE LOS PROTOCOLOS DE BIOSEGURIDAD  INCLUIDO EN LA ESTANCIA (HABILITACIÓN).  </t>
  </si>
  <si>
    <t>HUS0000170444</t>
  </si>
  <si>
    <t>EN CONCILIACION ESE HUS ACEPTA GLOSA POR VALOR $57.300 INTERCONSULTA POR  ANESTESIA NO FACTURABLE EN TURNO QUIRURGICO. 
ENTIDAD LEVANTA EL RESTANTE
VALOR $1.009.020 ACEPTADO EN TRAMITE INICIAL CON NC 27225</t>
  </si>
  <si>
    <t>HUS0000170447</t>
  </si>
  <si>
    <t>EN CONCILIACION ESE HUS ACEPTA GLOSA POR VALOR $217.860 POR 1 DIA DE ESTANCIA POR INOPORTUNIDAD EN DEFINIR CONDUCTA Y NO PERTINENTE EN ESTE TIPO DE LESION.
ENTIDAD LEVANTA EL RESTANTE
VALOR $29.940 ACEPTADO EN TRAMITE INICIAL CON NC 27226</t>
  </si>
  <si>
    <t>HUS0000170455</t>
  </si>
  <si>
    <t>EN CONCILIACION ESE HUS ACEPTA GLOSA POR VALOR $28.900 POR MVC EN INTERCONSULTAS DE PERINATOLOGÍA DE ACUERDO A LA RESOLUCION 15997
ENTIDAD LEVANTA EL RESTANTE</t>
  </si>
  <si>
    <t>HUS0000170459</t>
  </si>
  <si>
    <t xml:space="preserve">VALOR $48.630 ACEPTADO EN TRAMITE INICIAL CON NC 27227
</t>
  </si>
  <si>
    <t>HUS0000170483</t>
  </si>
  <si>
    <t xml:space="preserve">EN CONCILIACION ESE HUS ACEPTA GLOSA POR VALOR $38.910 CORRESPONDIENTE A: $35.670 LA DIFERENCIA ENTRE PCR DEL ALTA PRECISIÓN Y SEMICUANTITATIVA  NO PERTINENTE POR EMESIS Y EDA DE 10 HORAS  SE RECONOCE SEMICUANTITATIVA PACIENTE  SIN SIGNOS  DE SEPSIS. $3.240 MASCARILLA NO FACTURABLE  YA QUE HACE PARTE DE LOS PROTOCOLOS DE BIOSEGURIDAD  INCLUIDO EN LA ESTANCIA (HABILITACIÓN).  </t>
  </si>
  <si>
    <t>HUS0000170491</t>
  </si>
  <si>
    <t>EN CONCILIACION ESE HUS ACEPTA GLOSA POR VALOR $8.100 POR GLUCOMETRIA YA QUE NO SE ENCUENTRA JUSTIFICADA LA SOLICITUD EN LA HISTORIA CLINICA.
ENTIDAD LEVANTA EL RESTANTE</t>
  </si>
  <si>
    <t>HUS0000170500</t>
  </si>
  <si>
    <t>EN CONCILIACION ESE HUS ACEPTA GLOSA $183.660 CORRESPONDIENTE A: $178.800 YA QUE LO QUE SE REALIZO FUE ANTEPARTO Y SE FACTURO FUE MONITOREO FETAL INTRAPARTO. $4.860 MASCARILLA NO FACTURABLE  YA QUE HACE PARTE DE LOS PROTOCOLOS DE BIOSEGURIDAD  INCLUIDO EN LA ESTANCIA (HABILITACIÓN)</t>
  </si>
  <si>
    <t>HUS0000097537</t>
  </si>
  <si>
    <t>EN CONCILIACION ESE HUS ACEPTA GLOSA PARCIAL POR $1.449.740 POR PROCEDIMIENTO: $1.025.300 LISIS DE ADHERENCIAS PERITONEALES VIA ABIERTA DADO QUE, CORRESPONDE A UN HALLAZGO INTRAQUIRURGICO QUE SEGUN LO DESCRITO NO AMERITA SU FACTURACION ADICIONAL HACE PARTE Y ES INHERENTE AL PROCEDIMIENTO PRINCIPAL, NO FACTURABLE EN ATENCION AL DECRETO 2423/1996. $364.500 POR TRANSFUSION O APLICACIÓN DE HEMODERIVADOS INCLUIDOS EN EL PROCESAMIENTO DE LA SANGRE Y EN LA TARIFA DE LA ESTANCIA. $59.940 (37) MASCARILLAS PROTECTORAS DESECHABLES ELEMENTOS DE PROTECCIÓN EL CUAL HACE PARTE DE LOS DERECHOS DE INTERNACIÓN Y HABILITACIÓN DEL SERVICIO. 
EN CONCILIACION ESE HUS RATIFICA GLOSA POR VALOR $1.508.522 CORRESPONDIENTE A COBRO DEL INSUMO TIJERA ULTRASONIDO PARA LAPAROTOMÍA. BASADOS EN LA FICHA TÉCNICA QUE SE ADJUNTA COMO SOPORTE INTEGRAL DE ESTA RESPUESTA, SE DEMUESTRA QUE EL DISPOSITIVO ES DE CARÁCTER NO REUTILIZABLE. ENTIDAD RATIFICA GLOSA POR MOTIVO INICIAL</t>
  </si>
  <si>
    <t>HUS0000095941</t>
  </si>
  <si>
    <t>EN CONCILIACION ENTIDAD LEVANTA GLOSA PARCIAL POR VALOR $560.200, POR DOS DIAS DE ESTANCIA ESTOS NO ESTAN INCLUIDOS EN EL PROCEDIMIENTO QUIRURGICO.
EN CONCILIACION ESE HUS RATIFICA GLOSA POR VALOR $1.323.267 CORRESPONDIENTE A COBRO DEL INSUMO TIJERA ULTRASONIDO CURVA 9 CM. BASADOS EN LA FICHA TÉCNICA QUE SE ADJUNTA COMO SOPORTE INTEGRAL DE ESTA RESPUESTA, SE DEMUESTRA QUE EL DISPOSITIVO ES DE CARÁCTER NO REUTILIZABLE. ENTIDAD RATIFICA GLOSA POR MOTIVO INICIAL</t>
  </si>
  <si>
    <t>HUS0000083086</t>
  </si>
  <si>
    <t>502</t>
  </si>
  <si>
    <t>HUS0000109469</t>
  </si>
  <si>
    <t>202</t>
  </si>
  <si>
    <t>HUS0000105518</t>
  </si>
  <si>
    <t>EN CONCILIACION ESE HUS ACEPTA GLOSA PARCIAL $5.700 POR MVC CONSULTA AMBULATORIA MEDICINA ESPECIALIZADA DE ACUERDO A LA RES 15997 DEL 2017 SOAT VIGENTE 2022 -10%. DECRETO 2423/96. ENTIDAD LEVANTA EL RESTANTE</t>
  </si>
  <si>
    <t>HUS0000280186</t>
  </si>
  <si>
    <t>EN CONCILIACION ESE HUS ACEPTA GLOSA PARCIAL POR $21.300 CORRESPONDIENTE A: MVC EN AYUDA DIAGNOSTICA UROCULTIVO SE AJUSTA A CODIGO 19966 TARIFA ESTABLECIDA POR LA SSS SOAT 2024 -10%. ENTIDAD LEVANTA EL RESTANTE</t>
  </si>
  <si>
    <t>HUS0000371550</t>
  </si>
  <si>
    <t>HUS0000369486</t>
  </si>
  <si>
    <t>EN CONCILIACION ESE HUS ACEPTA GLOSA TOTAL POR $437.500 PARA REFACTURAR USUARIO REGISTRA EN LA EPS COOSALUD PARA LA FECHA DE ATENCION POR LO TANTO NO ES PERTINENTE SU COBRO A LA SSS.</t>
  </si>
  <si>
    <t>FA1606</t>
  </si>
  <si>
    <t>HUS0000371388</t>
  </si>
  <si>
    <t>EN CONCILIACION ESE HUS ACEPTA GLOSA PARCIAL POR VALOR $23.400 POR MVC EN AYUDA DIAGNOSTICA UROCULTIVO SE AJUSTA TARIFA ESTABLECIDA POR LA SSS SOAT 2025 -10%. ENTIDAD LEVANTA EL RESTANTE</t>
  </si>
  <si>
    <t>HUS0000399527</t>
  </si>
  <si>
    <t>EN CONCILIACION ESE HUS ACEPTA GLOSA POR $112.000 (16) INTERNACION ADULTOS COMPLEJIDAD ALTA HABITACION MULTIPLE  129A02 SE AJUSTA A CODIGO 38133 MANUAL TARIFARIO DECRETO 2423/96 VIGENTE -10%, DE ACUERDO A LA RESOLUCION 15997 DE 2017</t>
  </si>
  <si>
    <t>HUS0000418928</t>
  </si>
  <si>
    <t>EN CONCILIACIÓN ENTRE LA ESE HUS Y LA ENTIDAD RESPONSABLE DE PAGO, Y TENIENDO EN CUENTA LAS DIFERENCIAS DE CRITERIO FRENTE A LOS CONCEPTOS FACTURADOS, SE DECIDE RATIFICAR EN SU TOTALIDAD LA GLOSA INICIALMENTE FORMULADA.
DURANTE LA CONCILIACIÓN, LA IPS PROPONE AJUSTAR EL COBRO, PASANDO DE ESTANCIA DE INTERNACIÓN (4 CAMAS) A SALA DE HEMODIÁLISIS, CONSIDERANDO QUE EL PACIENTE NO SE ENCONTRABA HOSPITALIZADO, Y QUE LA SALA DE HEMODIÁLISIS ES FACTURABLE, DE CONFORMIDAD CON LO ESTABLECIDO EN EL DECRETO 2423 DE 1996. NO OBSTANTE, LA ENTIDAD RESPONSABLE DE PAGO NO ACEPTA LA PROPUESTA PRESENTADA Y MANIFIESTA SU DECISIÓN DE MANTENER RATIFICADA LA GLOSA INICIAL</t>
  </si>
  <si>
    <t>HUS0000419856</t>
  </si>
  <si>
    <t>EN CONCILIACION ESE HUS ACEPTA GLOSA PARCIAL POR $1.505.750 CORRESPONDIENTES A: $1.439.750 POR MVC TARIFAS EN (1) PLACA DHS/DCS DE 135 GRADOS,  (2) TORNILLO CORTICAL TI AUTORROSCANTE 4.5MM DIFERENTES, (1) TORNILLOS CANULADOS DE 7.0 MM DIFERENTES LONGITUDES, (1) TORNILLO DESLIZANTE, (1) TORNILLO COMPRENSION DHS/DCS, (6) PIN GUIA, (1) AGUJA KIRSCHNER 2.0 * 30 (MATERIAL DE OSTEOSINTESIS) SE RECONOCE SEGUN RESOLUCION 15997 DE LA SSS FACURA DE COMPRA +10%. $13.600 GLOSA MVC EN (8) PRUEBA CRUZADA MAYOR ERITROCITARIA POR MICROTECNICA TECNOLOGÍA INCLUIDA EN MANUAL TARIFARIO DECRETO 2423/96 CÓDIGO 19828  SE RECONOCE VIGENCIA 2025-10%. $52.400 (2) APOSITO DE GAS 45CMX90CM PARA ESPALDA  ELEMENTO DE PROTECCIÓN Y CURACIÓN  INCLUIDO EN DERECHOS DE MATERIALES SUTURA Y CURACIÓN DE PROCEDIMIENTOS QUIRÚRGICOS. ENTIDAD LEVANTA RESTANTE</t>
  </si>
  <si>
    <t>HUS0000295802</t>
  </si>
  <si>
    <t>EN CONCILIACION ESE HUS ACEPTA GLOSA PARCIAL POR $5.846.894 CORRESPONDIENTES A: $3.058.463 POR MVC TARIFAS MATERIAL DE OSTEOSINTESIS SE RECONOCE SEGUN FACTURA DE COMPRA PRECIMEN No. 10220, +10% DE ACUERDO A LA RESOLUCION 15997.  $1.822.731 CORRESPONDIENTE A TOMOGRAFIA CORONARIAS NO SOPORTADA, NO SE ENCUENTRA CUAL ES SU JUSTIFICACION NO SE ENCUENTRA CUANDO FUE ORDENADA. $965.700 CORRESPONDIENTE FALTA DE OPORTUNIDAD QUIRURGICA PACIENTE INGRESO EL 29 DE JUNIO SE CONSIDERA QE DEL 29 DE JUNIO AL 2 DE JUNIO TIEMPO PERTINENTE PARA TODAS LAS VALORACION REQUERIDAS PARACLINICOS Y DISPONIBILIDAD DE MATERIAL DE OTS. ENTIDAD LEVANTA RESTANTE</t>
  </si>
  <si>
    <t>HUS0000300324</t>
  </si>
  <si>
    <t>EN CONCILIACION ESE HUS ACEPTA GLOSA PARCIAL $328.470 CORRESPONDIENTE A: $81.000 MVC EN (3) PIPERACILINA TAZOBACTAM AMP SE AJUSTA A TARIFAS PROMEDIO DEL MERCADO, DE ACUERDO A LA RESOLUCION 15997. $121.670 POR MVC EN AYUDA DIAGNOSTICA (4) HEMOCULTIVO SE AJUSTA A CODIGO 19514 TARIFA ESTABLECIDA POR LA SSS SOAT 2024 -10%. $21.300 POR MVC EN AYUDA DIAGNOSTICA (1) UROCULTIVO SE AJUSTA A CODIGO 19966 TARIFA ESTABLECIDA POR LA SSS SOAT 2024 -10%. $104.500 POR TRANSFUSION O APLICACIÓN DE HEMODERIVADOS INCLUIDOS EN EL PROCESAMIENTO DE LA SANGRE Y EN LA TARIFA DE LA ESTANCIA. ENTIDAD LEVANTA RESTANTE</t>
  </si>
  <si>
    <t>HUS0000301001</t>
  </si>
  <si>
    <t>HUS0000303468</t>
  </si>
  <si>
    <t>EN CONCILIACION ESE HUS ACEPTA GLOSA PARCIAL POR $4.072.977 CORRESPONDIENTES A: MVC TARIFAS MATERIAL DE OSTEOSINTESIS SE RECONOCE SEGUN FACTURA DE COMPRA PRECIMEN No. 10394, +10% DE ACUERDO A LA RESOLUCION 15997. ENTIDAD LEVANTA RESTANTE</t>
  </si>
  <si>
    <t>HUS0000304728</t>
  </si>
  <si>
    <t xml:space="preserve">EN CONCILIACION ESE HUS ACEPTA GLOSA PARCIAL POR $1.317.260 CORRESPONDIENTES A: MVC TARIFAS MATERIAL DE OSTEOSINTESIS SE RECONOCE SEGUN FACTURA DE COMPRA PRECIMEN No. 10356, +10% DE ACUERDO A LA RESOLUCION 15997.  $21.300 POR MVC EN AYUDA DIAGNOSTICA (1) UROCULTIVO SE AJUSTA A CODIGO 19966 TARIFA ESTABLECIDA POR LA SSS SOAT 2024 -10%. ENTIDAD LEVANTA RESTANTE
</t>
  </si>
  <si>
    <t>HUS0000368508</t>
  </si>
  <si>
    <t>HUS0000370917</t>
  </si>
  <si>
    <t>EN CONCILIACION ESE HUS ACEPTA GLOSA POR $294.600 EN HONORARIOS DE AYUDANTIA EN PROCEDIMIENTOS ORQUIDOPEXIA UNILATERAL VIA ABIERTA ORQUIECTOMIA CON EPIDIDIDECTOMIA  SEGUN DESCRIPCION NO SE REQUIRIÓ DE AYUDANTE.</t>
  </si>
  <si>
    <t>HUS0000423242</t>
  </si>
  <si>
    <t>EN CONCILIACION ESE HUS ACEPTA GLOSA PARCIAL POR $533.820 CORRESPONDIENTE A: $183.900 MVC EN (3) INTERNACION COMPLEJIDAD ALTA HABITACION INDIVIDUAL (INCLUYE AISLAMIENTO GENERAL Y PARA TRANSPLANTE DE CELULAS PROGENITORAS) 129A01 SE AJUSTA A CODIGO 38131 MANUAL TARIFARIO SOAT 2025 DECRETO 2423/96 VIGENTE -10%, DE ACUERDO A LA RESOLUCION 15997. $349.920 MVC EN AMPICILINA SULBACTAM 1.5GR AMP SE AJUSTA A TARIFAS PROMEDIO DEL MERCADO, DE ACUERDO A LA RESOLUCION 15997. ENTIDAD LEVANTA RESTANTE</t>
  </si>
  <si>
    <t>HUS0000424044</t>
  </si>
  <si>
    <t>ANAS WAYUU E.P.S.I.</t>
  </si>
  <si>
    <t>EN CONCILIACION ESE HUS ACEPTA GLOSA PARCIAL $48.390 POR AYUDA DX (UROCULTIVO (ANTIBIOGRAMA CONCENTRACIÓN MÍNIMA INHIBITORIA AUTOMATIZADA) POR NO INTERPRETACION NI REGISTRADO EL RESULTADO DE LA AYUDA DX EN LA HISTORIA CLINICA.//  EPS LEVANTA LA DIFERENCIA</t>
  </si>
  <si>
    <t>HUS0000413929</t>
  </si>
  <si>
    <t>CAPRESOCA EPS</t>
  </si>
  <si>
    <t xml:space="preserve">NO SE ACEPTA GLOSA, LA CUAL ES NOTIFICADA COMO EXTEMPORANEA, FECHA RADICACION 04/09/2025 FECHA DE OBJECION 09/10/2025. 
CON RESPECTO AL VALOR DEL OMEPRAZOL REFIERE SIN INDICACION INVIMA, PRIMERO: SEGÚN ALERTA SANITARIA No  153-2020  DE RETIRO DEL MERCADO RANITIDINA SOLUCION INYECATBLE, SIENDO LOS INHIBIDORES DE LA BOMBA DE PROTONES LA PRIMERA LINEA DE TRATAMIENTO.
PACIENTE  LEUCEMIA MIELOMONOCÍTICA AGUDA, —- BICITOPENIA, – TROMBOCITOPENIA SEVERA, — PLT 31.000 (06/08/2025), – ANEMIA NORMOCITICA, NBORMOCRÓMICA, HETEROGÉNEA
2. CHOQUE SÉPTICO DE ORIGEN PULMONAR --NEUMONÍA MULTILOBAR POR GERMEN A FILIAR - INFECCIÓN VIRAL A DESCARTAR
LESIÓN RENAL AGUDA KDIGO 1
SOSPECHA DE HEMORRAGIA DE VIAS DIGESTIVAS ALTAS 08/08/25
AL INGRESO SE DEJA MANEJO CON OMEPRAZOL ORAL, CADA 24 HORAS, PACIENTE INESTABLE, MALAS CONDICIONES GENERALES CON NECESIDAD DE MANEJO EN LA UNIAD DE CUIDADOS INTENSIVOS. EL DIA 08 DE GOSTO FOLIO 172 SE INDICA OMPERAZOL ENV CADA 12 HORAS, PRESENTA DRENAJE HEMATICO POR SONDA DE NUTRICION. 
SE ANEXA HC PARA SU REVISIONY VERIFICACION 
</t>
  </si>
  <si>
    <t>NO SE ACEPTA GLOSA, LA CUAL ES NOTIFICADA COMO EXTEMPORANEA, FECHA RADICACION 04/09/2025 FECHA DE OBJECION 09/10/2025
CON RESPECTO A LOS LABORATORIOSDE HEPATITIS, ESTOS SON SOLICITADOS AL INGRESO DEL PACIENTE AL SERVICIO DE URGENCIAS EL DIA 01/ 08/2025 FOLIO 9 EN LA VALORACION POR MEDICINA INTERNA . 
SE ANEXA HC PARA SU REVISION Y CONFIRMACION</t>
  </si>
  <si>
    <t>NO SE ACEPTA GLOSA, LA CUAL ES NOTIFICADA COMO EXTEMPORANEA, FECHA RADICACION 04/09/2025 FECHA DE OBJECION 09/10/2025
CON RESPECTO AL VALOR DE LA CASPOFUNGINA ES UN MEDICAMENTO REGULADO POR LA CIRCULAR 19 DE 2024 NUMERO 106 VALOR MG $ 20,234.18 + 7% = $ 1,082,528</t>
  </si>
  <si>
    <t>HUS0000359574</t>
  </si>
  <si>
    <t>EN CONCILIACION LA ESE HUS ACEPTA GLOSA TOTAL POR $7.700 POR MAYOR VALOR COBRADO EN: CONSULTA DE URGENCIAS, DE ACUERDO CON LA CIRCULAR 0025 DEL 31 DE DICIEMBRE DE 2024 
DONDE SE PROCEDE A EXPRESAR EN UNIDADES DE VALOR BÁSICO (UVB) LAS TARIFAS CONTENIDAS EN EL ANEXO TÉCNICO 1 DEL DECRETO 780 DE 2016, MODIFICADAS DESDE LA VIGENCIA 2023 A UNIDADES DE VALOR TRIBUTARIO (UVT), MEDIANTE EL 
DECRETO 2644 DE 2022. ENTIDAD LEVANTA LA DIFERENCIA</t>
  </si>
  <si>
    <t>EN CONCILIACION LA ESE HUS ACEPTA GLOSA PARCIAL DE $13.800 POR MAYOR VALOR COBRADO EN: SALA DE OBSERVACION, DE ACUERDO CON LA CIRCULAR 0025 DEL 31 DE DICIEMBRE DE 2024 
DONDE SE PROCEDE A EXPRESAR EN UNIDADES DE VALOR BÁSICO (UVB) LAS TARIFAS CONTENIDAS EN EL ANEXO TÉCNICO 1 DEL DECRETO 780 DE 2016, MODIFICADAS DESDE LA VIGENCIA 2023 A UNIDADES DE VALOR TRIBUTARIO (UVT), MEDIANTE EL 
DECRETO 2644 DE 2022. ENTIDAD LEVANTA LA DIFERENCIA</t>
  </si>
  <si>
    <t>EN CONCILIACION LA ESE HUS ACEPTA GLOSA PARCIAL DE $7000 POR MAYOR VALOR COBRADO EN: POS-MONITORIA FETAL ANTEPARTO, DE ACUERDO CON LA CIRCULAR 0025 DEL 31 DE DICIEMBRE DE 2024 
DONDE SE PROCEDE A EXPRESAR EN UNIDADES DE VALOR BÁSICO (UVB) LAS TARIFAS CONTENIDAS EN EL ANEXO TÉCNICO 1 DEL DECRETO 780 DE 2016, MODIFICADAS DESDE LA VIGENCIA 2023 A UNIDADES DE VALOR TRIBUTARIO (UVT), MEDIANTE EL 
DECRETO 2644 DE 2022. ENTIDAD LEVANTA LA DIFERENCIA</t>
  </si>
  <si>
    <t>EN CONCILIACION LA ESE HUS ACEPTA GLOSA PARCIAL DE $31.800 POR MAYOR VALOR COBRADO EN: POR POS-ULTRASONOGRAFIA OBSTETRICA CON PERFIL BIOFISICO +, DE ACUERDO CON LA CIRCULAR 0025 DEL 31 DE DICIEMBRE DE 2024 
DONDE SE PROCEDE A EXPRESAR EN UNIDADES DE VALOR BÁSICO (UVB) LAS TARIFAS CONTENIDAS EN EL ANEXO TÉCNICO 1 DEL DECRETO 780 DE 2016, MODIFICADAS DESDE LA VIGENCIA 2023 A UNIDADES DE VALOR TRIBUTARIO (UVT), MEDIANTE EL 
DECRETO 2644 DE 2022. ENTIDAD LEVANTA LA DIFERENCIA</t>
  </si>
  <si>
    <t>HUS0000231029</t>
  </si>
  <si>
    <t>SEGUROS COMERCIALES BOLIVAR S.A.  SOAT</t>
  </si>
  <si>
    <t>N/A</t>
  </si>
  <si>
    <t>EN CONCILIACION ASEGURADORA LEVANTA OBJECION</t>
  </si>
  <si>
    <t>PEND</t>
  </si>
  <si>
    <t>EN CONCILIACION SE APLICA NOTA CREDITO POR VALOR DE $301.590 PARA REFACTURARSE AL ADRES, POR MOTIVO DE LIMITE DE COBERTURA POLIZA SOAT.
ASEGURADORA LEVANTA DIFERENCIA.</t>
  </si>
  <si>
    <t>HUS0000428026</t>
  </si>
  <si>
    <t xml:space="preserve">EN CONCILIACION ESE HUS ACEPTA GLOSA POR VALOR DE  $100 MAYOR VALOR COBRADO EN CONSULTA DE URGENCIAS, EN APLICACION DE TARIFAS SE RECONOCE TARIFAS SOAT UVB VIGENTE PARA LA FECHA DE PRESTACION DE SERVICIOS SEGÚN CIRCULAR EXTERNA Nº025 DE 2024. </t>
  </si>
  <si>
    <t>HUS0000432434</t>
  </si>
  <si>
    <t xml:space="preserve">EN CONCILIACION  ESE HUS  ACEPTA $359.500 POR CONCEPTO DE UN DIA DE ESTANCIA EN HABITACION MULTIPLE, EN REVISION DE LA HSITORIA CLINICA SE EVIDENCIA INOPORTUNIDAD DE MANEJO REQUERIDO, MATERIAL DE OSTS Y PROCEDIMIENTO QUIRURGICO.RESTANTE LEVANTADO POR LA ASEGURADORA </t>
  </si>
  <si>
    <t>EN CONCILIACION ESE HUS ACEPTA GLOSA PARCIAL $221.400 POR CONCEPTO DE PORTÁTILES CON FLUOROSCOPIA YO INTENSIFICADOR DE IMAGEN (PRACTICADO EN QUIRÓFANOS);SE EVIDENCIA TOMA DE DOS EN UNA MISMA REGION OPERATORIA MISMO TIEMPO QUIRURGICO, SE REALIZA ACAPTACION DE ACUERDO ARTICULO 23 NUMERAL 6 DEC 2423. ASEGURADORA LEVANTA DIFERENCIA.</t>
  </si>
  <si>
    <t>HUS0000164725</t>
  </si>
  <si>
    <t>EN CONCILIACION ESE HUS RATIFICA RESPUESTA DE NO ACEPTACION DE LA DEVOLUCION PRESENTADA POR LA ASEGURADORA, SE MANTIENE RESPUESTA INICIAL POR LO QUE SE SOLICITA EL ESTUDIO DE CAMPO PARA VERIFICAR LA VERSION DE LOS HECHOS Y SEGÚN EL CASO PODER DAR CONTINUIDAD AL RESPECTIVO COBRO DE LA ATENCION DE LOS SERVICIOS FACTURADOS A LA ENTIDAD RESPONSABLE DE PAGO. ADICIONAL SE SOLICITA APOYO CON EL AREA DE JURIDICA PARA TRAMITAR DICHAS ATENCION Y REALIZAR EL COBRO AL RESPECTIVO RESPONSABLE DE PAGO.</t>
  </si>
  <si>
    <t>HUS0000170109</t>
  </si>
  <si>
    <t>HUS0000178336</t>
  </si>
  <si>
    <t>HUS0000178420</t>
  </si>
  <si>
    <t>HUS0000201120</t>
  </si>
  <si>
    <t>HUS0000178390</t>
  </si>
  <si>
    <t>HUS0000169268</t>
  </si>
  <si>
    <t>HUS0000175482</t>
  </si>
  <si>
    <t>HUS0000236617</t>
  </si>
  <si>
    <t>HUS0000224256</t>
  </si>
  <si>
    <t>HUS0000222605</t>
  </si>
  <si>
    <t>HUS0000220099</t>
  </si>
  <si>
    <t>HUS0000242247</t>
  </si>
  <si>
    <t>HUS0000223972</t>
  </si>
  <si>
    <t>HUS0000414339</t>
  </si>
  <si>
    <t>HUS0000433513</t>
  </si>
  <si>
    <t xml:space="preserve">EN CONCILIACION SE SUBSANA OBJECION TOTAL, NO OBSTANTE ESE HUS ACEPTA GLOSA POR VALOR DE  $200 MAYOR VALOR COBRADO EN 21101 RX MANO DEDOS PUÑO (MUÑECA), EN APLICACION DE TARIFAS SE RECONOCE TARIFAS SOAT UVB VIGENTE PARA LA FECHA DE PRESTACION DE SERVICIOS SEGÚN CIRCULAR EXTERNA Nº025 DE 2024. </t>
  </si>
  <si>
    <t>HUS0000258033</t>
  </si>
  <si>
    <t>HUS0000281038</t>
  </si>
  <si>
    <t>HUS0000256638</t>
  </si>
  <si>
    <t>HDI SEGUROS COLOMBIA S.A</t>
  </si>
  <si>
    <t>EN CONCILIACION ESE HUS ACEPTA GLOSA $ 629,700 POR INTENSIFICADOR DE IMAGEN, SE  RECONOCE 1 POR REGION ANATOMICA.</t>
  </si>
  <si>
    <t>HUS0000257988</t>
  </si>
  <si>
    <t>EN CONCILIACION ESE HUS ACEPTA GLOSA $ 629,700 POR INTENSIFICADOR DE IMAGEN, SE  RECONOCE 1 POR  REGION ANATOMICA.</t>
  </si>
  <si>
    <t>HUS0000272633</t>
  </si>
  <si>
    <t>EN CONCILIACION ESE HUS ACEPTA GLOSA $ 209,900 POR INTENSIFICADOR DE IMAGEN, SE  RECONOCE 1 POR  REGION ANATOMICA.</t>
  </si>
  <si>
    <t>HUS0000277616</t>
  </si>
  <si>
    <t>EN CONCILIACION ASEGURADORA LEVANTA OBJECION.</t>
  </si>
  <si>
    <t xml:space="preserve">EN CONCILIACION ESE HUS ACEPTA GLOSA $ 90,400 POR RADIOGRAFIA DE PIERNA, EN LA VALORACION FISICA NO DESCRIBEN LESIONES A ESTE NIVEL, SE DESCRIBEN LESIONES A NIVEL DE RODILLA Y TOBILLO. </t>
  </si>
  <si>
    <t>HUS0000274080</t>
  </si>
  <si>
    <t xml:space="preserve">EN CONCILIACION ESE HUS ACEPTA GLOSA $ 192,100 POR ESTANCIA EN HABITACION 4 CAMAS, SE AJUSTA A SALA DE OBSERVACION, PACIENTE QUE SE DEBIO DEFINIR MANEJO DENTRO DE LAS 6 HORAS SIGUIENTES A LA ATENCION. </t>
  </si>
  <si>
    <t>HUS0000275339</t>
  </si>
  <si>
    <t xml:space="preserve">EN CONCILIACION ESE HUS ACEPTA GLOSA $ 318,000 POR TERAPIAS FISICAS. NO HAY JUSTIFICACION MEDICA PARA REALIZAR 2 POR DIA EN EL MISMO SITIO ANATOMICO. </t>
  </si>
  <si>
    <t>HUS0000275922</t>
  </si>
  <si>
    <t xml:space="preserve">EN CONCILIACION ESE HUS ACEPTA GLOSA POR $46,700 EN CREATININA, BUN, GLUCOMETRIA, AYUDAS DX NO PERTINENTES ENUN PACIENTE SIN ANTECEDENTES DE IMPORTANCIA, ADEMAS NO HAY INTERPRETACION EN LA HC. </t>
  </si>
  <si>
    <t>HUS0000276005</t>
  </si>
  <si>
    <t>EN CONCILIACION ESE HUS ACEPTA GLOSA POR $10,300  POR AJUSTE ENTRE 39143 - CONSULTA AMBULATORIA DE MEDICINA ESPECIALIZADA POR 39139 - CONSULTA PREANESTESICA SEGÚN EVOLUCION MEDICA POR ANESTESIOLOGIA.</t>
  </si>
  <si>
    <t>HUS0000276075</t>
  </si>
  <si>
    <t xml:space="preserve">EN CONCILIACION SE RATIFICA GLOSA POR MEDIO DE CONTRASTE UTILIZADO EN  EL TAC DE ABDOMEN EL CUAL  ESTA BIEN JUSTIFICADO SU SOLICITUD Y RELIZACION. </t>
  </si>
  <si>
    <t xml:space="preserve">EN CONCILIACION ESE HUS ACPETA GLOSA POR $ 98.400 POR AYUDAS DIAGNOSTICAS PT, PTT LAS CUALES NO SON PERTINENTES DE ACUERDO AL TRAUMA, PROCEDIMIENTO A REALIZAR, ANTECEDENTES PERSONALES DE IMPORTANCIA.  
EN CONCILIACION SE RATIFICA GLOSA POR  TAC ABDOMEN, AYUDA DIAGNOSTICA JUSTIFICADA SU SOLICITU Y REALIZACION EN PACIENTE ADULTO QUE INGRESA REMITIDO DE PRIMER NIVEL CON POLITRAUMATISMO, AL EXAMEN FISICO SE ENCUENTRA ABDOMEN CON ESCORIACIONE SUPERFICIALES, DOLOR A LA PALPACIÓN PROFUNDA DE FOSA ILIACA IZQUIRDA, NO SIGNOS DE IRRITACIÓN PERITONEAL, NO SE PALPAN MASAS NI MEGALIAS. ENTIDAD REFIERE QUE SE HOMOLOGUE A ECOGRAFIA ABDOMINAL, PUES EL SIGNO CLINICO REFEREIDOA LA VALROACION NO ES SUFCIENTE PARA REALIZAR UNA TOMOGRAFIA. 
</t>
  </si>
  <si>
    <t>HUS0000281584</t>
  </si>
  <si>
    <t>EN CONCILIACION ESE HUS ACEPTA GLOSA PARCIAL $ 1,022,900 ASI:  $ 1.002.500 POR RECONSTRUCCION 3D NO JUSTIFICADA, NO HAY EVOLUCION DE ORTOPEDIA DONDE INDIQUE QUE LA TOMOGRAFIA DE TOBILLO SE REALICE CON RECONSTRUCCION, ADEMAS PACIENTE NO ES LLEVADO A PROCEDIMIENTO QCO, SE DESCARTAN LESIONES OSEAS... $ 20.400 POR AJUSTE DE AYUDAS DIAGNOSTICAS ACEPTADAS EN TRAMITE INICIAL, LA HOMOLOGACION SE REALIZO CON SMLV Y NO CON UVT. ASEGURADORA LEVANTA EL VALOR RESTANTE.</t>
  </si>
  <si>
    <t>HUS0000281464</t>
  </si>
  <si>
    <t>EN CONCILIACION ESE HUS ACEPTA GLOSA PARCIAL POR VALOR DE $181,700 POR AJUSTE DE TAC CERVICAL ENTRE #1  - 21708 COLUMNA CERVICAL DORSAL O LUMBAR (HASTA TRES ESPACIOS) POR #4 - 21709	COLUMNA CERVICAL DORSAL O LUMBAR (ESPACIO ADICIONAL). SEGÚN ANATOMIA DE COLUMNA.
ASEGURADORA LEVANTA DIFERENCIA.</t>
  </si>
  <si>
    <t>EN CONCILIACION ESE HUS ACEPTA GLOSA PARCIAL $ 1,424,626 ASI:  $ 672.600, SE AJUSTA TOMOGRAFIA DE ABDOMEN CONTRASTADO A ECOGRAFIA DE ABDOMEN, AYUDA DIAGNOSTIC ANO PERTINENTE DE ACUERDO AL EXAMEN FISICO DE INGRESO(BLANDO, DEPRESIBLE, NO DOLOROSO A LA PALPACIÓN, NO HAY SIGNOS DE IRRITACIÓN PERITONEAL) Y POSTERIORES EVOLUCIONES. ABDOMEN BLANDO DEPRESIBLE NO DOLOROSO A LA PALPACION, NO HAY SIGNOS DE IRRITACION PERITONEAL. ...$ 685.326 SISTEMA DE ADMINISTRACIÓN DE MEDIOS DE CONTRASTE + MEDIO DE CONTRASTE. TOMOGRAFIAS NO JUSTIFICADAS...SE ACEPTA GLOSA PARCIAL POR $66,700 POR HEMOCLASIFICACION PRUEBA GLOBULAR Y PRUEBA SERICA, COMO PROTOCOLO PRE-QCO SE SOLICITA HEMOCLASIFICACIÒN (GRUPO SANGUINEO Y FACTOR RH). 
ASEGURADORA LEVANTA DIFERENCIA.</t>
  </si>
  <si>
    <t>HUS0000276697</t>
  </si>
  <si>
    <t>EN CONCILIACION SE APLICA NOTA CREDITO POR VALOR DE $93,200 PARA REFACTURAR AL ADRES, SE EVIDENCIA LIMITE DE COBERTURA POLIZA SOAT.</t>
  </si>
  <si>
    <t>HUS0000275987</t>
  </si>
  <si>
    <t>HUS0000292465</t>
  </si>
  <si>
    <t>EN CONCILIACION ESE HUS ACEPTA GLOSA PARCIAL POR $40.800 POR FACTURACION DE INSUMOS (#2 - FILTRO HME ADULTO/PEDIATRICO), INCLUIDO EN DERECHOS DE SALA DE CX  SEGÚN ARTICULO 49, PARAGRAFO 2 DEL DECRETO 2423/96.
ASEGURADORA LEVANTA DIFERENCIA.</t>
  </si>
  <si>
    <t>EN CONCILIACION ESE HUS ACEPTA GLOSA PARCIAL POR $20.660 MAYOR VALOR COBRADO EN INSUMOS (CATETER INTRAVENOSO #18 CANT 2 , EQUIPO BOMBA INFUSION CANT 1, VENDA DE  ALGODON 5X5 CANT 4 , VENDA ELASTICA 6X5 CANT 4), SE RECONOCE TARIFAS SEGÚN PRECIO PROMEDIO DEL MERCADO.
ASEGURADORA LEVANTA DIFERENCIA.</t>
  </si>
  <si>
    <t>HUS0000289145</t>
  </si>
  <si>
    <t>HUS0000289911</t>
  </si>
  <si>
    <t>EN CONCILIACION ESE HUS ACEPTA GLOSA POR $743.000 POR ERROR EN FACTURACION DEL SERVICIO (TAC DE PROTOCOLO TAVI), ASEGURADORA RECONOCE TAC DE ABDOMEN TOTAL + TAC 3D, ACEPTANDOSE LA DIFERENCIA.</t>
  </si>
  <si>
    <t>EN CONCILIACION ESE HUS ACEPTA GLOSA PARCIAL POR $57.950 MAYOR VALOR COBRADO EN INSUMOS (EXTENSION DE ANETESIA # 2,  EQUIPO DE MACROGOTEO # 3, CATETER IV 18 # 1, CATETER IV 22 # 1,  EQUIPO BOMBA DE INFUSIÓN # 3, EQUIPO BURETROL # 3) . SE RECONOCE APLICACION DE TARIFA SEGUN PRECIO PROMEDIO DEL MERCADO.
ASEGURADORA LEVANTA DIFERENCIA.</t>
  </si>
  <si>
    <t>HUS0000288074</t>
  </si>
  <si>
    <t>EN CONCILIACION ESE HUS ACEPTA GLOSA POR $25.900 POR MAYOR VALOR COBRADO EN SERVICIO (39143 CONSULTA DE PRIMERA VEZ POR ESPECIALISTA EN ORTOPEDIA Y TRAUMATOLOGÍA), SE VERIFICA APLICACIÓN DE TARIFA Y SE RECONOCE SEGÚN MANUAL TARIFARIO SOAT UVT, ACEPTANDOSE LA DIFERENCIA.</t>
  </si>
  <si>
    <t>HUS0000291499</t>
  </si>
  <si>
    <t xml:space="preserve">EN CONCILIACION ESE HUS ACEPTA GLOSA $ 98,400 POR LABORATORIOS, PT, PTT,  LOS CUALES NO SON PERTINENTES EN PACIENTE QUE SERA LLEVADA A PROCEDIMIENTO QCO. EN HC NO REPORTAN ANTECEDENTES DE IMPORTANCIA QUE AMERITE LA TOMA DE DICHOS LABORATORIOS.  </t>
  </si>
  <si>
    <t>HUS0000276057</t>
  </si>
  <si>
    <t>EN CONCILIACION ESE HUS ACEPTA GLOSA PARCIAL POR $4.100 MAYOR VALOR COBRADO EN INSUMOS (EQUIPO VENOCLISIS # 1 , CATETER INTRAVENOSOS # 1 , EQUIPO EXTENSION DE  ANESTESIA # 2 ) SE RECONOCE SEGUN PRECIO DEL MERCADO.
ASEGURADORA LEVANTA DIFERENCIA.</t>
  </si>
  <si>
    <t>EN CONCILIACION ESE HUS ACEPTA GLOSA PARCIAL $ 625.500 POR TAC DE ABDOMEN, SE AJUSTA A ECOGRAFIA DE ABDOMEN CODIGO 31109. AYUDA DIAGNOSTICA NO PERTINENTE DE ACUERDO  A LA VALORACION FISICA DE INGRESO: ABDOMEN BLANDO NO DISTENSION, NO DOLOROSO  LA PALPACION, SIN SIGNOS DE IRRITACIPN PERITONEAL, RUIDOS INTESTNALES PRESENTES, NORMALES, E INTENSIDAD Y FRECUENCIA. ADEMAS PACIENTE CON MAS DE 15 HORAS DE EVOLCUION DESDE EL ACCIDENTE DE TRANSITO EL CUAL OCURRE EL DIA 26 DE ABRIL  A LAS 19 HORAS. ATENCION DE LA URGENCIA 27 DE ABRIL  11AM. ENTIDAD LEVANTA EL RESTANTE. 
ASEGURADORA LEVANTA DIFERENCIA.</t>
  </si>
  <si>
    <t>HUS0000293313</t>
  </si>
  <si>
    <t>EN CONCILIACION ESE HUS ACEPTA GLOSA PARCIAL POR $10.750 MAYOR VALOR COBRADO EN INSUMOS (CATETER # 18 INSU # 1,  EQUIPO BOMBA DE INFUSION INSU # 1,  JERINGA 10ML INSU # 4, EQUIPO BURETROL INSU # 1), SE RECONOCE APLICACIÓN DE TARIFA SEGÚN PRECIO PROMEDIO DEL MERCADO.
ASEGURADORA LEVANTA DIFERENCIA.</t>
  </si>
  <si>
    <t>HUS0000297065</t>
  </si>
  <si>
    <t>EN CONCILIACION ESE HUS ACEPTA GLOSA POR $31.993 MAYOR VALOR COBRADO EN FMO01691 - ANCLAJE MINI TI 3.5 MM (SISTEMAS DE ANCLAJE PEEK), SE RECONOCE APLICACIÓN DE TARIFA SEGÚN FACTURA DE COMPRA NUMERO PR-10133 DE LA CASA ORTOPEDICA "JAIMES RUEDA Y COMPAÑÍA PRECIMEC SAS", ACEPTANDO LA DIFERENCIA.</t>
  </si>
  <si>
    <t xml:space="preserve">EN CONCILIACION ESE HUS ACEPTA GLOSA POR $121,700 ASI:
$31.700 POR FACTURACION EN PLACA BIPOLARES ADULTO CON CABLE, CONTIDAD 1. INCLUIDO EN DERECHOS DE SALA DEL PROCEDIMIENTO QUIRURGICO SEGUN ART 49, PAR. 2 DEL DECRETO 2423/96.
$90.000 POR FACTURACCION EN FMQ4055-1 SISTEMA DE GEL SOLIDIFICANTE, CANTIDAD 3. INCLUIDO EN DERECHOS DE SALA DEL PROCEDIMIENTO QUIRURGICO SEGUN ART 49, PAR. 2 DEL DECRETO 2423/96.
NO OBSTANTE SE RATIFICA SET ARTROSCOPIA POR CANTIDAD 2, ASEGURADORA MENCIONA ESTAR INCLUIDA EN DERECHOS DE SALA DE CX, ESE HUS MANTIENE RESPUESTA DE NO ACEPTACION, TOTALMENTE FACTURABLE YA QUE NO HACE PARTE DE LA DOTACION BASICA DEL QUIROFANO.
ASEGURADORA LEVANTA DIFERENCIA. 
</t>
  </si>
  <si>
    <t>HUS0000293711</t>
  </si>
  <si>
    <t>HUS0000296318</t>
  </si>
  <si>
    <t>HUS0000297057</t>
  </si>
  <si>
    <t>EN CONCILIACION ESE HUS ACEPTA GLOSA PARCIAL POR $539.384 POR MAYOR VALOR COBRADO EN MAOS (FMO01147 INTERCONECTOR UNIVERSAL, FMO01150 BARRA DE CARBONO 11 X 350, FMO01151 CLAVO DE SCHANZ  R 40/6.0 X 180 MM) SE RECONOCE APLICACIÓN DE TARIFA SEGÚN FACTURA DE COMPRA NUMERO PR-10215 DE LA CASA ORTOPEDICA "JAIMES RUEDA Y COMPAÑIA PRECIMEC SAS".
ASEGURADORA ACEPTA LA DIFERENCIA.</t>
  </si>
  <si>
    <t>EN CONCILIACION ESE HUS ACEPTA GLOSA PARCIAL POR $78.900 POR MAYOR VALOR COBRADO EN MEDICAMENTOS (AMPICILINA + SULBACTAM AMPOLLA # 8, CEFRADINA AMP 1G # 3, ), SE RECONOCE APLICACIÓN DE TARIFA SEGÚN PRECIO PROMEDIO DEL MERCADO.
ASEGURADORA LEVANTA DIFERENCIA.</t>
  </si>
  <si>
    <t>EN CONCILIACION ESE HUS ACEPTA GLOSA PARCIAL POR $13.600 POR MAYOR VALOR COBRADO EN INSUMOS (EQUIPO BOMBA DE INFUSIÓN # 1, EQUIPO EXTENSION DE ANETESIA # 2, EQUIPO DE MACROGOTEO # 1), SE RECONOCE APLICACIÓN DE TARIFA SEGÚN PRECIO PROMEDIO DEL MERCADO.
ASEGURADORA LEVANTA DIFERENCIA.</t>
  </si>
  <si>
    <t xml:space="preserve">EN CONCILIACION ESE HUS ACEPTA GLOSA $ 90,400 POR UROCULTIVO,  PACIENTE CON REPORTE DE  PARCIAL DE ORINA NEGATIVO. </t>
  </si>
  <si>
    <t>HUS0000304489</t>
  </si>
  <si>
    <t>EN CONCILIACION ESE HUS ACEPTA GLOSA POR $25.900 POR MAYOR VALOR COBRADO EN SERVICIO (39143A-14 CONSULTA DE PRIMERA VEZ POR ESPECIALISTA EN OFTALMOLOGÍA), SE VERIFICA APLICACIÓN DE TARIFA Y SE RECONOCE SEGÚN MANUAL TARIFARIO SOAT UVT, ACEPTANDOSE LA DIFERENCIA.</t>
  </si>
  <si>
    <t>HUS0000305340</t>
  </si>
  <si>
    <t xml:space="preserve">EN CONCILIACION ESE HUS  ACEPTA GLOSA PARCIAL POR $ 77,100  ASI: $66.700 POR HEMOCLASIFICACION PRUEBA GLOBULAR Y PRUEBA SERICA, COMO PROTOCOLO PRE-QCO SE SOLICITA HEMOCLASIFICACIÒN (GRUPO SANGUINEO Y FACTOR RH). $ 10,400 GLUCOMETRIA NO PERTINENTE, NO SOLICITADA NI REGISTRADA EN LA HC. </t>
  </si>
  <si>
    <t>EN CONCILIACION ESE HUS ACEPTA GLOSA POR VALOR DE $505.805 SE RECONOCE APLICACIÓN DE TARIFAS SEGÚN FACTURA DE COMPRA NUMERO PR-10666 DE LA CASA ORTOPEDICA"JAIMES RUEDA Y COMPAÑÍA PRECIMEC", ACEPTANDOSE LA DIFERENCIA.</t>
  </si>
  <si>
    <t>EN CONCILIACION ESE HUS ACEPTA GLOSA POR $ 340.800 DIA 19 DE AGOSTO, INOPORTUNIDAD EN VALORACION POR ANESTESIA. LA CUAL ES SOLICITDA DESDE EL DIA 18 Y ES REALIZADA EL DIA 20. 
ASEGURADORA LEVANTA DIFERENCIA.</t>
  </si>
  <si>
    <t>EN CONCILIACION ESE HUS ACEPTA GLOSA POR $195.000 ASI:
$82.000 - AGUJA STIMUPLEX 22X50MM, NO FACTURABLE INCLUIDO EN MATERIALES DE SUTURA Y CURACION.
$63.900 - EQUIPO EN Y PARA IRRIGACION TUR, NO FACTURABLE INCLUIDO EN MATERIALES DE SUTURA Y CURACION.
$49.100 - 2#  FILTRO HME ADULTO INTERCAMBIADOR DE CALOR Y HUMEDAD REF-MP05805 GRAGER, NO FACTURABLE INCLUIDO EN DERECHOS DE SALA.
ASEGURADORA LEVANTA DIFERENCIA.</t>
  </si>
  <si>
    <t>SE RATIFICA PARA CARGAR SOPORTES EN PLATAFORMA (ORDEN MEDICA, RESULTADOS, FACTURA DEL ADRES). EL CUAL SE CARGA EL DIA 06/02/2026 CON NUMERO DE RADICADO: R2026499614.  Y NUMERO DE CASO:  20261219204.</t>
  </si>
  <si>
    <t>EN CONCILIACION ESE HUS ACEPTA GLOSA PARCIAL POR $41.900 MAYOR VALOR COBRADO EN INSUMOS (CATÉTER IV N°18 # 1, EQUIPO BOMBA DE INFUSIÓN # 3, EQUIPO BURETROL # 1, EQUIPO EXTENSIÓN DE ANESTESIA # 1, VENDA DE YESO 4*5 #3) SE RECONOCE APLICACIÓN DE TARIFAS SEGÚN PRECIO PROMEDIO DEL MERCADO.
ASEGURADORA LEVANTA DIFERENCIA.</t>
  </si>
  <si>
    <t>SE RATIFICA PARA CARGAR SOPORTES EN PLATAFORMA (SOPORTE DE INMOVILIZACION.) EL CUAL SE CARGA EL DIA 06/02/2026 CON NUMERO DE RADICADO: R2026499614.  Y NUMERO DE CASO:  20261219204.</t>
  </si>
  <si>
    <t>SE RATIFICA EN ESPERA DE CARGAR SOPORTES EN PLATAFORMA (SOPORTE DE INMOVILIZACION.) EL CUAL SE CARGA EL DIA 06/02/2026 CON NUMERO DE RADICADO: R2026499614.  Y NUMERO DE CASO:  20261219204.</t>
  </si>
  <si>
    <t>HUS0000294114</t>
  </si>
  <si>
    <t>EN CONCILIACION ESE HUS ACEPTA GLOSA POR $25.900 POR MAYOR VALOR COBRADO EN SERVICIO (39143A-18 CONSULTA DE PRIMERA VEZ POR ESPECIALISTA EN OTORRINOLARINGOLOGÍA9143A-18 CONSULTA DE PRIMERA VEZ POR ESPECIALISTA EN OTORRINOLARINGOLOGÍA), SE VERIFICA APLICACIÓN DE TARIFA Y SE RECONOCE SEGÚN MANUAL TARIFARIO SOAT UVT, ACEPTANDOSE LA DIFERENCIA.</t>
  </si>
  <si>
    <t>HUS0000275509</t>
  </si>
  <si>
    <t>AUD-1000-2026</t>
  </si>
  <si>
    <t>EN CONCILIACION SE APLICA NOTA CREDITO POR $1.279.600 PARA REFACTURAR AL ADRES, SE EVIDENCIA AGOTAMIENTO DE COBERTURA POLIZA SOAT. -- AUD-1000-2026</t>
  </si>
  <si>
    <t>HUS0000276382</t>
  </si>
  <si>
    <t xml:space="preserve">EN CONCILIACION ESE HUS ACEPTA GLOSA PARCIAL POR $12.950  MAYOR VALOR COBRADO EN INSUMOS (CATETER IV 20G # 2, EQUIPO BOMBA DE INFUSIÓN # 1, EQUIPO BURETROL # 1,EQUIPO EXTENSION DE ANETESIA # 2) SE RECONOCE APLICACIÓN DE TARIFAS SEGÚN PRECIO PROMEDIO DEL MERCADO.
ASEGURADORA LEVANTA DIFERENCIA.
 </t>
  </si>
  <si>
    <t>HUS0000282825</t>
  </si>
  <si>
    <t>EN CONCILIACION ESE HUS ACEPTA GLOSA POR $25.900 POR MAYOR VALOR COBRADO EN SERVICIO (39143A-3	CONSULTA DE PRIMERA VEZ POR ESPECIALISTA EN INFECTOLOGÍA), SE VERIFICA APLICACIÓN DE TARIFA Y SE RECONOCE SEGÚN MANUAL TARIFARIO SOAT UVT, ACEPTANDOSE LA DIFERENCIA.</t>
  </si>
  <si>
    <t>HUS0000300913</t>
  </si>
  <si>
    <t>EN CONCILIACION ESE HUS ACEPTA GLOSA POR $26.100 POR MAYOR VALOR COBRADO EN SERVICIO (339147A-18 CONSULTA DE CONTROL O DE SEGUIMIENTO POR ESPECIALISTA EN OTORRINOLARINGOLOGÍA), SE VERIFICA APLICACIÓN DE TARIFA Y SE RECONOCE SEGÚN MANUAL TARIFARIO SOAT UVT, ACEPTANDOSE LA DIFERENCIA.</t>
  </si>
  <si>
    <t>HUS0000300966</t>
  </si>
  <si>
    <t>EN CONCILIACION ESE HUS ACEPTA GLOSA POR $25.900 POR MAYOR VALOR COBRADO EN SERVICIO (39143A-18 CONSULTA DE PRIMERA VEZ POR ESPECIALISTA EN OTORRINOLARINGOLOGÍA), SE VERIFICA APLICACIÓN DE TARIFA Y SE RECONOCE SEGÚN MANUAL TARIFARIO SOAT UVT, ACEPTANDOSE LA DIFERENCIA.</t>
  </si>
  <si>
    <t>HUS0000287565</t>
  </si>
  <si>
    <t>EN CONCILIACION ESE HUS ACEPTA GLOSA POR $25.900 POR MAYOR VALOR COBRADO EN SERVICIO (39143A-16 CONSULTA DE PRIMERA VEZ POR ESPECIALISTA EN ANESTESIOLOGÍA), SE VERIFICA APLICACIÓN DE TARIFA Y SE RECONOCE SEGÚN MANUAL TARIFARIO SOAT UVT, ACEPTANDOSE LA DIFERENCIA.</t>
  </si>
  <si>
    <t>HUS0000274640</t>
  </si>
  <si>
    <t>HUS0000288005</t>
  </si>
  <si>
    <t>HUS0000271952</t>
  </si>
  <si>
    <t>HUS0000268926</t>
  </si>
  <si>
    <t>HUS0000270000</t>
  </si>
  <si>
    <t>HUS0000255715</t>
  </si>
  <si>
    <t>HUS0000413061</t>
  </si>
  <si>
    <t xml:space="preserve">SEGUROS LA EQUIDAD  SOAT </t>
  </si>
  <si>
    <t xml:space="preserve">EN CONCILIACION ENTIDAD LEVANTA GLOSA </t>
  </si>
  <si>
    <t>HUS0000428980</t>
  </si>
  <si>
    <t>EN CONCILIACION ESE HUS ACEPTA GLOSA PARCIAL POR VALOR DE $186.652, ESTO DESPUES DE QUE LA ESE HUS Y ENTIDAD HALLAN  DEFINIDO EL CODIGO CORRECTO A FACTURAR SE AJUSTA Y SE ACEPTA LA DIFERENCIA, SE ACLARA QUE LOS SERVICIOS A LAS ASEGUADORAS SOAT, SE LE DEBEN FACTURAR SEGÚN MANUAL TARIFARIO SOAT UVB VIGENTE PARA LA FECHA DE PRESTACION DEL SERVICIO.
ENTIDAD LEVANTA EL RESTANTE</t>
  </si>
  <si>
    <t>HUS0000401816</t>
  </si>
  <si>
    <t>FIDEICOMISOS PATRIMONIOS AUTONOMOS FIDUCIARIA LA PREVISORA S.A. PPL</t>
  </si>
  <si>
    <t>HUS0000399506</t>
  </si>
  <si>
    <t>HUS0000401403</t>
  </si>
  <si>
    <t xml:space="preserve">EN CONCILIACION ESE HUS ACEPTA GLOSA POR $37.600  SOBREFACTURACION DE 8 GLUCOMETRIAS SE REVISA HC Y  NO SE EVIDENCIA SOLICITUD POR MEDICO TRATANTE  NI INTERPRETACION DE LAS MISMAS. </t>
  </si>
  <si>
    <t>HUS0000401724</t>
  </si>
  <si>
    <t>EN CONCILIACIÓN ESE HUS ACEPTA GLOSA TOTAL POR $367.004 DE MVC (4) 129A01 INTERNACION ADULTOS COMPLEJIDAD ALTA HABITACION INDIVIDUAL, SEGÚN CONTRATO VIGENTE ENTRE LAS PARTES N°IPS-001B-2022 SOAT MENOS EL 15%, POR LO CUAL SE AJUSTA A LA TARIFA PACTADA.</t>
  </si>
  <si>
    <t>EN CONCILIACIÓN ESE HUS ACEPTA GLOSA TOTAL POR $1.581 DE MVC MEDICAMENTO REGULADO 20066836-1 BROMURO DE IPRATROPIO 20 MCG/ X 200 DOSIS AEROSOL, SEGÚN CIRCULAR 13 DE 2022 MINISTERIO DE SALUD, SE AJUSTA A LA TARIFA.</t>
  </si>
  <si>
    <t>HUS0000401715</t>
  </si>
  <si>
    <t xml:space="preserve">EN CONCILIACION ENTIDAD LEVANTA </t>
  </si>
  <si>
    <t>EN CONCILIACIÓN ESE HUS ACEPTA GLOSA PARCIAL POR $4.718 MVC EN 901102 COLORACION ACIDO ALCOHOL RESISTENTE MODIFICADA Y LECTURA [ZIEHL-NEELSEN], SEGÚN CONTRATO VIGENTE ENTRE LAS PARTES N°IPS-001B-2022 SOAT MENOS EL 15% + TARIFA INSTITUCIONAL SEGÚN ANEXO DE TARIFAS 2025.</t>
  </si>
  <si>
    <t xml:space="preserve">EN CONCILIACION ESE HUS ACEPTA GLOSA POR $13.978 DE 1 HEPARINA SOBREFACTURADA SE REVISA REGISTRO DE ENFERMERIA SOLO SE EVIDENCIA 4 DE LAS 5 FACTURAS CON UNA DEVOLUCION DF0000264256 NO DESCONTADA EN LA FACTURA RADICADA A LA ENTIDAD. </t>
  </si>
  <si>
    <t>HUS0000406667</t>
  </si>
  <si>
    <t>EN CONCILIACIÓN ESE HUS ACEPTA GLOSA PARCIAL POR $1.669.596 DE MVC ASI: FMQ1179 KIT DE TROCAR 5 MM (LAPAROSCOPIA) REF: K5LT $922.734, FMQ5145 TROCAR CUCHILLA PLANA PROTEGIDA 12*100 DUAL PACK REF CTB75 $519.800, DE ACUERDO A FACTURA DE COMPRA FVBG 92218 ADJUNTA,PACTADO EN EL CONTRATO VIGENTE N°IPS-001B-2022 A FACTURA COMPRA + 20%. ENTIDAD LEVANTA LA DIFERENCIA. ESE HUS ACEPTA MVC EN FMQ0660 TIJERAS LAPAROSCOPIA 5X35 MM REF:5DCS $227.062 DE ACUERDO A FACTURA DE COMPRA FVBG 90728 MÁS EL 20% PACTADO EN EL CONTRATO VIGENTE N°IPS-001B-2022.ENTIDAD LEVANTA LA DIFERENCIA.</t>
  </si>
  <si>
    <t>HUS0000407642</t>
  </si>
  <si>
    <t xml:space="preserve">EN CONCILIACIÓN ESE HUS ACEPTA GLOSA DE $25.300 POR FMQ1482 APOSITO DE GAS 45CMX90CM PARA ESPALDA X 3 REF: 0390 (INGERTOS), INSUMO NO FACTURABLE, INCLUIDO EN PROCEDIMIENTO QUIRURGICO, ART 55 DEC 2423, ADEMAS NO SE EVIDENCIA UTILIZACION EN ESTANCIA NI EN NOTAS DE CURACION. </t>
  </si>
  <si>
    <t>HUS0000410527</t>
  </si>
  <si>
    <t>HUS0000411325</t>
  </si>
  <si>
    <t>HUS0000410441</t>
  </si>
  <si>
    <t>EN CONCILIACION ESE HUS ACEPTA GLOSA POR $91.200 DE INSUMOS APOSITOS SOBRE FACTURADOS INCLUIDOS EN DERECHO DE MATERIALES SEGÚN MANUAL SOAT AR 55.</t>
  </si>
  <si>
    <t>HUS0000412335</t>
  </si>
  <si>
    <t>EN CONCILIACIÓN ESE HUS ACEPTA GLOSA POR $1.009.961 DE MVC (11) 129A01 INTERNACION ADULTOS COMPLEJIDAD ALTA HABITACION INDIVIDUAL BIPERSONAL, SEGÚN CONTRATO VIGENTE ENTRE LAS PARTES N°IPS-001B-2022 SOAT MENOS EL 15%, POR LO CUAL SE AJUSTA A LA TARIFA PACTADA.</t>
  </si>
  <si>
    <t>EN CONCILIACIÓN ESE HUS ACEPTA GLOSA TOTAL POR $76.929 MVC EN AYUDAS DIAGNOSTICAS 19116H GENEXPERT BK Y CULTIVO, SEGÚN CONTRATO VIGENTE ENTRE LAS PARTES N°IPS-001B-2022 SOAT MENOS EL 15% + TARIFA INSTITUCIONAL, POR LO CUAL SE AJUSTA A LA TARIFA PACTADA.</t>
  </si>
  <si>
    <t>HUS0000413046</t>
  </si>
  <si>
    <t xml:space="preserve">EN CONCILIACIÓN ESE HUS ACEPTA GLOSA PARCIAL POR $67 PESOS ASI: DE  MVC EN 903854 MAGNESIO EN SUERO U OTROS FLUIDOS $48, 903863 PROTEINAS TOTALES EN SUERO Y OTROS FLUIDOS $19, SEGÚN CONTRATO VIGENTE ENTRE LAS PARTES N°IPS-001B-2022 SOAT MENOS EL 15% + TARIFA INSTITUCIONAL SEGÚN ANEXO DE TARIFAS 2025. ENTIDAD LEVANTA LA DIFERENCIA . </t>
  </si>
  <si>
    <t xml:space="preserve">EN CONCILIACIÓN ESE HUS ACEPTA GLOSA PARCIAL POR $95.500 AS: MVC EN 20067799-01 FUROSEMIDA AMP X 20MG/2ML $55.200, 20080133-3 RIFAXIMINA CAPSULA 550 MG $28.900, 211363-03 POTASIO CLORURO AMP X 2 MEQ/ML X 10 ML $11.400, SEGÚN CONTRATO VIGENTE ENTRE LAS PARTES N°IPS-001B-2022 SOAT MENOS EL 15% + TARIFA INSTITUCIONAL SEGÚN ANEXO DE TARIFAS 2025, POR LO CUAL SE AJUSTA A LA TARIFA PACTADA. ENTIDAD LEVANTA LA DIFERENCIA.
</t>
  </si>
  <si>
    <t>CO0101</t>
  </si>
  <si>
    <t>HUS0000409043</t>
  </si>
  <si>
    <t>HUS0000413884</t>
  </si>
  <si>
    <t xml:space="preserve">ENCONCILIACION ENTIDAD LEVANTA </t>
  </si>
  <si>
    <t>HUS0000412020</t>
  </si>
  <si>
    <t>HUS0000187210</t>
  </si>
  <si>
    <t>EMSSANAR S.A.S</t>
  </si>
  <si>
    <t>HUS0000413526</t>
  </si>
  <si>
    <t>ASEGURADORA SOLIDARIA DE COLOMBIA  E.C</t>
  </si>
  <si>
    <t>VALOR ACEPTADO EN TRAMITE DE GLOSA INICIAL, CON NUMERO DE NOTA CREDITO 191965.</t>
  </si>
  <si>
    <t>EN CONCILIACION ESE HUS ACEPTA GLOSA POR VALOR DE $100 MVC EN AYUDA DIAGNOSTICA (21102 - RX BRAZO PIERNA RODILLA FEMUR HOMBRO OMOPLATO), SE RECONOCE SEGÚN CIRCULAR 025 DE 2024 VIGENTE PARA LA FECHA DE PRESTACION DE SERVICIOS, VALOR RESTANTE YA ACEPTADO EN TRAMITE DE GLOSA INICIAL CON NUMERO DE NOTA CREDITO 191965.</t>
  </si>
  <si>
    <t>EN CONCILIACION ESE HUS ACEPTA GLOSA POR VALOR DE $100 MVC EN AYUDA DIAGNOSTICA (39145 - CONSULTA DE URGENCIAS), SE RECONOCE SEGÚN CIRCULAR 025 DE 2024 VIGENTE PARA LA FECHA DE PRESTACION DE SERVICIOS, VALOR RESTANTE YA ACEPTADO EN TRAMITE DE GLOSA INICIAL CON NUMERO DE NOTA CREDITO 191965.</t>
  </si>
  <si>
    <t>HUS0000276255</t>
  </si>
  <si>
    <t>LA PREVISORA S.A. COMPAÑIA DE SEGUROS SOAT</t>
  </si>
  <si>
    <t>EN CONCILIACION ESE HUS ACEPTA GLOSA PARCIAL POR VALOR DE $171.826 MVC EN INSUMO (FMQ1352 - SISTEMA PARA ADMINISTRACION DE MEDIOS DE CONTRASTE CT 9000 JERINGA X 200ML), SE RECONOCE SEGÚN  TARIFA INSTITUCIONAL INTERNA DE LA ESE HUS, RESOLUCION 212 DE 2023.
ASEGURADORA LEVANTA DIFERENCIA.</t>
  </si>
  <si>
    <t>EN CONCILIACION ESE HUS ACEPTA GLOSA POR VALOR DE $8.000 MVC EN AYUDA DIAGNOSTICA (GLUCOMETRIA), SE RECONOCE SEGÚN TARIFA INSTITUCIONAL.</t>
  </si>
  <si>
    <t>EN CONCILIACION ESE HUS ACEPTA GLOSA PARCIAL POR $108,100 CORRESPONDIENTE A AJUSTE DE TOMOGRAFIA FACTURADA COMO TAC DE ABDOMEN CON PROTOCOLO TAVI NO PERTINENTE NI JUSTIFICADO Y SEGÚN LA INDICACION CORRESPONDE A TAC DE ABDOMEN,  Y COMO EN GLOSA INICIAL SE HABIA ACEPTADO 1,637,400 QUEDABA SALDO PENDIENTE DE 108,100 A COMPLETAR EL COSTO REAL Y TOTAL DE LA TOMOGRAFIA DE ABDOMEN. ENTIDAD LEVANTA LA DIFERENCIA. ENTIDAD LEVANTA GLOSA A ESTUDIO BUN JUSTIFICADO Y PERTINENTE DADA LA EDAD DEL PACIENTE CON REQUERIMIENTO DE ESTUDIO CON CONTRASTE. 
ASEGURADORA LEVANTA DIFERENCIA.</t>
  </si>
  <si>
    <t xml:space="preserve">EN CONCILIACION ASEGURADORA LEVANTA OBJECION. </t>
  </si>
  <si>
    <t>HUS0000276928</t>
  </si>
  <si>
    <t xml:space="preserve">EN CONCILIACION ESE HUS ACEPTA GLOSA POR $1,745,500 POR CONCEPTO DE AJUSTE DE AYUDA DIAGNOSTICA TOMOGRAFIA DE ABDOMEN CON PROTOCOLO TAVI A TOMOGRAFIA CONTRASTADA DE ABDOMEN EN ATENCION A LOS HALLAZGOS DESCRITOS AL EXAMEN FISICO DE INGRESO Y LA INDICACION MEDICA QUE SOPORTA LA ORDEN DE TOMOGRAFIA DE ABDOMEN Y NO PROTOCOLO TAVI,  PACIENTE NO CUMPLE CON CRITERIOS ESTABLECIDOS PARA LA TOMA DE ESTUDIO. </t>
  </si>
  <si>
    <t xml:space="preserve">EN CONCILIACION ESE HUS ACEPTA GLOSA POR 1,002,500 POR CONCEPTO DE TAC CON RECONSTRUCCION SENOS PARANASALES NO PERTINENTE EN ATENCION A LOS HALLAZGOS Y CONDICION DEL PACIENTE SEGÚN LO DESCRITO EN LA HISTORIA CLINICA DE INGRESO. </t>
  </si>
  <si>
    <t>HUS0000280579</t>
  </si>
  <si>
    <t>EN CONCILIACION ESE HUS ACEPTA GLOSA POR $110,500 CORRESPONDIENTE A: $48,500 POR HEMOCLASIFICACION SERICA + $18,200 POR HEMOCLASIFICACION SERICA + $43,800 POR HEMOCLASIFICACION RH FACTURADA DOBLE, ESTUDIOS QUE EN ATENCION A LO SOLICITADO Y FACTURADO SE CONSIDERA NO PERTINENTE SU FACTURACION. 
ASEGURADORA LEVANTA DIFERENCIA.</t>
  </si>
  <si>
    <t>HUS0000285047</t>
  </si>
  <si>
    <t xml:space="preserve">EN CONCILIACION SE SUBSANA GLOSA POR SOPORTE EN MAOS, NO OBSTANTE ESE HUS ACEPTA GLOSA PARCIAL POR VALOR DE $9.200 MVC EN (FMO00432 - PIN 1.5 MM SS LISO PUNTA TROCAR  X 230 (CLAVO DE KIRSCHNER DOBLE PUNTA 1.5 MM DE 51 A 380CM DE LARGO )), SE RECONOCE SEGUN FACTURA DE COMPRA NUMERO PR-5655 DE LA CASA ORTOPEDICA "JAIMES RUEDA Y COMPAÑIA PRECIEMEC SAS".
ASEGURADORA LEVANTA DIFERENCIA. </t>
  </si>
  <si>
    <t>EN CONCILIACION ESE HUS ACEPTA GLOSA PARCIAL POR $ 681,600 CORRESPONDIENTE A 2 DIAS DE ESTANCIA INACTIVA (1 Y 2) PACIENTE CON INDICACION DE PROCEDIMIENTO EL DIA 28 Y SE GARANTIZA EL DIA 4 CON NOTA DE ESPERA DE MEJORIA DE TEJIDOS BLANDOS EN PACIENTE CON MAS DE 7 DIAS DE EVOLUCION, POR LO QUE NO SE CONSIDERA PERTINENTE ESPERA BAJO ESTE CONCEPTO.
ASEGURADORA LEVANTA DIFERENCIA.</t>
  </si>
  <si>
    <t>EN CONCILIACION ESE HUS ACEPTA GLOSA POR $34,700 POR ALBUMINA ACIDA, NO SE EVIDENCIA PERTINENCIA NI JUSTIFICACION EN LA HISTORIA CLINICA QUE SOPORTE LA INDICACION DADO EL CUADRO CLINICO DEL PACIENTE. 
ASEGURADORA LEVANTA DIFERENCIA.</t>
  </si>
  <si>
    <t>HUS0000269919</t>
  </si>
  <si>
    <t>EN CONCILIACION ESE HUS ACEPTA GLOSA PARCIAL POR $19,300 CORRESPONDIENTE A HOMOLOGACION DE ATENCION DE URGENCIAS EN PACIENTE REMITIDIO CON INDICACION DE MANEJO, POR ATENCION INICIAL POR MEDICO GENERAL INTRAHOSPITALARIA. SEGÚN LO DESCRITO AL INGRESO DEL PACIENTE, REMITIDO DE SEGUNDO NIVEL PARA CONTINUACION DE ESTUDIOS.
ASEGURADORA LEVANTA DIFERENCIA.</t>
  </si>
  <si>
    <t>EN CONCILIACION ESE HUS ACEPTA GLOSA POR $ 1,002,500 POR TOMOGRAFIA CON RECONSTRUCCION 3D DE SENOS PARANASALES NO JUSTIFICADA SU INDICACION TENIENDO EN CUENTA LA CLINICA DESCRITA AL EXAMEN FISICO DE INGRESO. ASI: ROSTRO CON ESCORIACIONES, EDEMA Y DOLOR INTENSO A LA DIGITOPRESIÓN GENERALIZADA,  HERIDA EN CUERO CABELLUDO EN REGIÓN TEMPOROOCCIPITAL DERECHA.
- ACEPTABLE ESTADO GENERAL,  AFEBRIL, SIN DISNEA,  SIN REQUERIMIENTO DE OXÍGENO. CABEZA: NORMOCÉFALO, PUPILAS ISOCÓRICAS NORMORREACTIVAS A LA LUZ  Y ACOMODACIÓN,  ESCLERAS  ANICTÉRICAS,  CONJUNTIVAS NORMOCRÓMICAS, MUCOSA  ORAL  HÚMEDA SIN LESIONES EVIDENTES.
ASEGURADORA LEVANTA DIFERENCIA.</t>
  </si>
  <si>
    <t>EN CONCILIACION ESE HUS ACEPTA GLOSA PARCIAL POR $87,000 CORRESPONDIENTE A AJUSTE DE ESTANCIA A SALA DE OBSERVACION, UNA VEZ VERIFICADA LA HISTORIA CLINICA NO SE EVIDENCIA PERTINENCIA DE LA MISMA DADO POR ESPERA EN RESPUESTA INTERCONSULTA POR CIRUGIA PLASTICA ADEMAS POR PARTE DE MEDICINA GENERAL DEMORA EN SOLICITUD DE VALORACION POR ORTOPEDIA, ESPECIALIDADES QUE UNA VEZ VALORAN INDICAN EGRESO.
ASEGURADORA LEVANTA DIFERENCIA.</t>
  </si>
  <si>
    <t>HUS0000271580</t>
  </si>
  <si>
    <t>EN CONCILIACION ESE HUS ACEPTA GLOSA PARCIAL POR $19,300 CORRESPONDIENTE A HOMOLOGACION DE ATENCION DE URGENCIAS EN PACIENTE REMITIDIO CON INDICACION DE MANEJO, POR ATENCION INICIAL POR MEDICO GENERAL INTRAHOSPITALARIA. SEGÚN LO DESCRITO AL INGRESO DEL PACIENTE.
ASEGURADORA LEVANTA DIFERENCIA.</t>
  </si>
  <si>
    <t>EN CONCILIACION SE RATIFICA GLOSA, NO SE LOGRA ACUERDO ENTRE LAS PARTES, ESE HUS SE CONSIDERA PROCEDIMIENTO PERTINENTE Y JUSTIFICADO EN LA DESCRIPCION QUIRURGICA, ENTIDAD NO CONSIDERA VIABLE REALIZAR ACEPTACION A PROCEDIMIENTO NO PERTINENTE</t>
  </si>
  <si>
    <t xml:space="preserve">EN CONCILIACION SE RATIFICA GLOSA, NO SE LOGRA ACUERDO ENTRE LAS PARTES, ESE HUS SE CONSIDERA ESTANCIA JUSTIFICADA Y PERTINENTE EN ATENCION A GARANTIA DE PROCEDIMIENTO EN MENOS DE 24 HORAS Y ENTIDAD CONSIDERA QUE LO ANTERIOR SE DEBE GARANTIZAR EN MENOS DE 6 HORAS LO QUE NO SE CONSIDERA VIABLE DADO LOS TIEMPOS ESTABLECIDOS EN UN III NIVEL DE ATENCION. </t>
  </si>
  <si>
    <t>EN CONCILIACION ESE HUS ACEPTA GLOSA POR $20,800 CORRESPONDIENTE A GLUCOMETRIA NO SOLICITADA POR MEDICO, SIN EVIDENCIA DE INDICACION Y TOMADA EN TRANFER PREVIO PROCEDIMIENTO SIN NOTA DE SU INDICACION O JUSTIFICACION PARA PODER AVALAR LA PERTINENCIA DEL ESTUDIO.</t>
  </si>
  <si>
    <t>EN CONCILIACION SE SUBSANA OBJECION POR SOPORTE DE MAOS, NO OBSTANTE ESE HUS ACEPTA GLOSA PARCIAL POR VALOR DE $18.400 MVC EN  #2  - FMO00431  PIN 0.35/1.2/1.0 X 150/230 (CLAVO DE KIRSCHNER DOBLE PUNTA 1.2 MM DE 51 A 380/16 A 50), SE RECONOCE APLICACIÓN DE TARIFA SEGUN FACTURA DE COMPRA NUMERO PR-5655 DE LA CASA ORTOPEDICA "JAIMES RUEDA Y COMPAÑIA PRECIMEC SAS".
ASEGURADORA LEVANTA DIFERENCIA.</t>
  </si>
  <si>
    <t>HUS0000269347</t>
  </si>
  <si>
    <t xml:space="preserve">EN CONCILIACION ESE HUS ACEPTA GLOSA POR $1.363.200 EN ESTANCIA INACTIVA DEL 8,9,10,11 POR INOPORTUNIDAD EN REALIZACION DE RESONANCIA CEREBRAL, SOLICITADA EL DIA 6, EL DIA 7 CON APTO DE ANESTESIA, Y REALIZADA EL DIA 12 POR LO QUE NO HAY NOTA DE JUSTIFICACION DE INOPORTUNIDAD EN LA PROGRAMACION Y REALIZACION DE LA MISMA. </t>
  </si>
  <si>
    <t>HUS0000289923</t>
  </si>
  <si>
    <t>EN CONCILIACION ESE HUS ACEPTA GLOSA POR $20,800 POR GLUCOMETRIA REALIZADO EN TRANFER DE CIRUGIA PREVIO INGRESO A CX NO SOPORTADA NO INDICADA NO JUSTIFICADA.</t>
  </si>
  <si>
    <t>EN CONCILIACION SE SUBSANA GLOSA POR SOPORTE EN MAOS, NO OBSTANTE ESE HUS ACEPTA GLOSA PARCIAL POR VALOR DE $435.790 POR MVC EN MAOS ASI:
$302.917 - FM000651, DESCRIPCION PL.RAD.DIST.VOLAR II COLUMNA IZQ TI AV25X3 (PLACA PARA RADIO DISTAL DE  ANGULO VARIABLE), SE RECONOCE SEGUN FACTURA DE COMPRA NUMERO PR-10103 DE LA CASA ORTOPEDICA "JAIMES RUEDA Y COMPAÑIA PRECIMEC".
$132.873 - FM000671, DESCRIPCION TORN CORT 2.7 MM C, SE RECONOCE SEGUN FACTURA DE COMPRA NUMERO PR-10103 DE LA CASA ORTOPEDICA "JAIMES RUEDA Y COMPAÑIA PRECIMEC".
ASEGURADORA LEVANTA DIFERENCIA.</t>
  </si>
  <si>
    <t>EN CONCILIACION ESE HUS ACEPTA GLOSA PARCIAL POR VALOR DE $5.400 POR FACTURACION DE INSUMO (CANULA NASAL) INCLUIDO EN DERECHOS DE SALA DE ACUERDO AL ARTICULO 55 DECRETO 2423/96.
ASEGURADORA LEVANTA DIFERENCIA.</t>
  </si>
  <si>
    <t>HUS0000286155</t>
  </si>
  <si>
    <t xml:space="preserve">EN CONCILIACION ESE HUS ACEPTA GLOSA PARCIAL POR $1,670,300 ASI:
$667.800 CORRESPONDIENTE A AJUSTE DE TOMOGRAFIA DE SENOS PARANASALES A RADIOGRAFIA DE CARA, TENIENDO EN CUENTA QUE EXAMEN FISICO DE INGRESO REGISTRADO EN LA HISTORIA CLINICA NO JUSTIFICA LA REALIZACION DE ESTUDIO TOMOGRAFICO, EN ATENCION A PRINCIPIO DE RACIONALIDAD Y PERTINENCIA DE AYUDAS DIAGNOSTICAS.
$1,002,500 POR CONCEPTO DE TOMOGRAFIA CON RECONSTRUCCION 3D NO JUSTIFICADA SU INDICACION EN LA HISTORIA CLINICA SOLICITADA AL INGRESO POR MEDICINA GENERAL SIN PREVIA REVISION POR LA ESPECIALIDAD. 
ASEGURADORA LEVANTA DIFERENCIA.
</t>
  </si>
  <si>
    <t>HUS0000296085</t>
  </si>
  <si>
    <t>EN CONCILIACION ESE HUS ACEPTA GLOSA PARCIAL POR $619.900 CORRESPONDIENTE AL AJUSTE DEL ESTUDIO TOMOGRAFIA DE TORAX A RADIOGRAFIA DE TORAX, TENIENDO EN CUENTA LA REVISION DE HISTORIA CLINICA LO REGISTRADO EN EL EXAMEN FISICO DE INGRESO, LOS HALLAZGOS NO JUSTIFICA LA TOMA DE UNA TOMOGRAFIA SIN EL PREVIO ESCALONAMIENTO EN FUNCION DE LA RACIONALIDAD DE LAS AYUDAS DIAGNOSTICAS. EXAMEN FISICO SIN HALLAZGOS. ADEMAS TENIENDO EN CUENTA LOS FUNDAMENTOS DEL ATLS QUE ESTABLECE LAS RADIOGRAFIAS COMO ESTUDIO INICIAL RAPIDO Y EFECTIVO ASI “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LA DE PELVIS PUEDE EVIDENCIAR FRACTURAS DE PELVIS QUE INDIQUEN LA NECESIDAD DE TRANSFUSIÓN TEMPRANA. DEBE OBTENER RADIOGRAFÍAS DIAGNÓSTICAS ESENCIALES, INCLUSIVE EN PACIENTES EMBARAZADAS. FAST, EFAST Y LPD SON HERRAMIENTAS DIAGNÓSTICAS ÚTILES PARA LA DETECCIÓN RÁPIDA DE SANGRADO INTRAABDOMINAL, NEUMOTÓRAX Y HEMOTÓRAX. SU USO DEPENDE DE LA HABILIDAD Y EXPERIENCIA DEL PROFESIONAL MÉDICO. ESTUDIO TOMOGRAFICO NO PERTINENTE NI JUSTIFICADO EN HC.
ASEGURADORA LEVANTA DIFERENCIA.</t>
  </si>
  <si>
    <t>EN CONCILIACION ESE HUS ACEPTA GLOSA POR $38,431 CONCEPTO DEE INTERCONSULTA DE PROFESIONAL QUE DEFINE CONDUCTA QUIRURGICA LLEVADO A PROCEDIMIENTO. NO FACTURABLE EN ATENCION A DECRETO 2423/1996.</t>
  </si>
  <si>
    <t>EN CONCILIACION ESE HUS ACEPTA GLOSA POR $1,309,100 POR CONCEPTO DE $76700 RADIOGRAFIA COMPARATIVA DE PELVIS NO JUSTIFICADA EN ATENCION A LO DESCRITO, PACIENTE REMITIDO CON IMÁGENES QUE DX FRACTURA DE PELVIS ADEMAS SE FACTURA TAMBIEN TAC DE PELVIS, $34,300  HEMOGRAMA NO JUSTIFICADO EN ATENCION A LOS HALLAZGOS DESCRITOS AL EXAMEN FISICO PACIENTE JOVEN SIN SANGRADO SIN JUSTIFICACION DE ESTUDIO REALIZADO. $81400 TP ESTUDIO SIN JUSTIFICACION NI PERTINENCIA CLINICA PARA SU INDICACION.$ 49,900 TPT ESTUDIO SIN JUSTIFICACION NI PERTINENCIA CLINICA PARA SU INDICACION DADA LA CLINICA DEL PACIENTE SIN INDICACION DE TRANSFUSION NI UTILIZADOS COMO PREQUIRURGICOS, $48,500 HEMOCLASIFICACION GLOBULAR, $97,000 HEMOCLASIFICACION RH FACTURADA DOBLE. $36,400 HEMOCLASIFICACION SERICA. $43,800 HEMOCLASIFICACION RH ESTUDIOS FACTURADOS DOBLE ADEMAS SIN JUSTIFICACION PACIENTE LLEVADO A TRANSFUSION EN MENOS DE 5 DIAS POR LO CUAL NO SE DEBE SOLICITAR NUEVA PRUEBA CON LA INICIAL SE DEFINE EL PROCESAMIENTO DE LA TRANSFUSION. $76,700 GASES ARTERIALES ESTUDIO NO JUSTIFICADO EN HC SOLICITADO AL INGRESO SIN DEFINIR SU APORTE A LA CONDICION DEL PACIENTE SIN UNA INTERPRETACION POSTERIOR. $72,500 LACTATO ESTUDIO NO JUSTIFICADO EN HC SOLICITADO AL INGRESO SIN DEFINIR SU APORTE A LA CONDICION DEL PACIENTE SIN UNA INTERPRETACION POSTERIOR. $691,900 CORRESPONDIENTE AL AJUSTE DEL ESTUDIO TOMOGRAFIA DE ABDOMEN  A ECOGRAFIA DE ABDOMEN, TENIENDO EN CUENTA LA REVISION DE HISTORIA CLINICA LO REGISTRADO EN EL EXAMEN FISICO DE INGRESO, LOS HALLAZGOS NO JUSTIFICA LA TOMA DE UNA TOMOGRAFIA SIN EL PREVIO ESCALONAMIENTO EN FUNCION DE LA RACIONALIDAD DE LAS AYUDAS DIAGNOSTICAS. EXAMEN FISICO REGISTRADO SIN HALLAZGOS. ADEMAS TENIENDO EN CUENTA LOS FUNDAMENTOS DEL ATLS QUE ESTABLECE EL EFAST COMO ESTUDIO INICIAL RAPIDO Y EFECTIVO ASI “ EL FAST, eFAST  son herramientas diagnósticas útiles para la detección rápida de sangrado intraabdominal, neumotórax y hemotórax”. Su uso depende de la habilidad y experiencia del profesional médico. ESTUDIO TOMOGRAFICO NO PERTINENTE NI JUSTIFICADO EN HC. 
ASEGURADORA LEVANTA DIFERENCIA.</t>
  </si>
  <si>
    <t>HUS0000289916</t>
  </si>
  <si>
    <t>EN CONCILIACION SE APLICA NOTA CREDITO POR VALOR DE $1.382.850 PARA REFACTURAR AL ADRES, POR MOTIVO DE AGOTAMIENTO DE COBERTURA POLIZA SOAT.
ASEGURADORA LEVANTA DIFERENCIA.</t>
  </si>
  <si>
    <t>HUS0000287451</t>
  </si>
  <si>
    <t>HUS0000303911</t>
  </si>
  <si>
    <t xml:space="preserve">EN CONCILIACION ESE HUS ACEPTA GLOSA PARCIAL  POR  $2,647,500 POR CONCEPTO DE  $40,900 RADIOGRAFIA DE CADERAS COMPARATIVAS SIN SOPORTE CLINICO AL EXAMEN FISICO DE INGRESO QUE JUSTIFIQUE SU INDICACION SEGÚN LO DESCRITO EN LA HISTORIA CLINICA ASI: EXTREMIDADES: EDEMA EN MUSLO IZQUIERDO, CON PARAPLEJIA, NO ESTIGMAS DE FRACTURA EN MIEMBROS SUPERIORES E INFERIORES, DEMÁS EXTREMIDADES SIN ALTERACIONES.// $1,286,800 POR CONCEPTO DE AYUDA DIAGNOSTICA TOMOGRAFIA DE COLUMNA CERVICAL  EN ATENCION A LOS HALLAZGOS DESCRITOS AL EXAMEN FISICO DE INGRESO, - CUELLO: NO MASAS,  NI MEGALIAS,  NO INGURGITACIÓN  YUGULAR.  EL CUAL NO SOPORTA PERTRINENCIA DEL ESTUDIO REALIZADO, SE EVIDENCIA SOLICITUD NO ACORDE AL ADECUADO ESCALONAMIENTO Y RACIONALIDAD DEL USO DE LAS AYUDAS DIAGNOSTICAS, ADEMAS SEGÚN LOS FUNDAMENTOS DEL ATLS ESTABLECE QUE La evaluacion puede incluir radiografias y/o tomografias, las cuales deben ser revisadas por un medico con experiencia en la deteccion radiografica de fracturas de la columna cervical. La evaluacion radiografica puede no ser requerida en pacientes que cumplan con los siguientes parametros: National Emergency X-Radiography Utilization Study (NEXUS), Low-Risk Criteria (NLC) o Canadian C-Spine Rule (CCR). DADO LO ANTERIOR PACIENTE NO CUMPLE CON CRITERIOS DE NEXUS ESTABLECIDOS PARA LA TOMA DE ESTUDIO. //$8000 POR CONCEPTO DE AJUSTE DE AYUDA DIAGNOSTICA TOMOGRAFIA DE COLUMNA CERVICAL ESPACIO ADICIONAL A RADIOGRAFIA CERVICAL  COD:21140 EN ATENCION A LOS HALLAZGOS DESCRITOS AL EXAMEN FISICO DE INGRESO, ASI: - CUELLO: NO MASAS,  NI MEGALIAS,  NO INGURGITACIÓN  YUGULAR. EL CUAL NO SOPORTA PERTRINENCIA DEL ESTUDIO REALIZADO, SE EVIDENCIA SOLICITUD NO ACORDE AL ADECUADO ESCALONAMIENTO Y RACIONALIDAD DEL USO DE LAS AYUDAS DIAGNOSTICAS, ADEMAS SEGÚN LOS FUNDAMENTOS DEL ATLS ESTABLECE QUE La evaluacion puede incluir radiografias y/o tomografias, las cuales deben ser revisadas por un medico con experiencia en la deteccion radiografica de fracturas de la columna cervical. La evaluacion radiografica puede no ser requerida en pacientes que cumplan con los siguientes parametros: National Emergency X-Radiography Utilization Study (NEXUS), Low-Risk Criteria (NLC) o Canadian C-Spine Rule (CCR). DADO LO ANTERIOR PACIENTE NO CUMPLE CON CRITERIOS DE NEXUS ESTABLECIDOS PARA LA TOMA DE ESTUDIO. //ESE HUS ACEPTA GLOSA PARCIAL POR $619.900 POR CONCEPTO DE AJUSTE DE AYUDA DIAGNOSTICA TOMOGRAFIA DE TORAX A RADIOGRAFIA DE TORAX COD:21201 EN ATENCION A LOS HALLAZGOS DESCRITOS AL EXAMEN FISICO DE INGRESO, ASI: - - TÓRAX: NORMOEXPANSIBILIDAD TORÁCICA, RUIDOS RESPIRATORIOS NORMALES, NO TIRAJES, NO ESFUERZO RESPIRATORIO, RUIDOS CARDIACOS RÍTMICOS SIN SOPLO AUDIBLES.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///ESE HUS ACEPTA GLOSA PARCIAL POR $691,900 POR CONCEPTO DE AJUSTE DE AYUDA DIAGNOSTICA TOMOGRAFIA DE ABDOMEN A ECOGRAFIA DE ABDOMEN COD:31109 EN ATENCION A LOS HALLAZGOS DESCRITOS AL EXAMEN FISICO DE INGRESO, ASI: -- ABDOMEN: BLANDO,DOLOR A NIVEL DE HIPOGASTRIO Y A NIVEL DEL PUBIS. NO SIGNOS DE IRRITACIÓN PERITONEAL.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ASEGURADORA LEVANTA DIFERENCIA.
</t>
  </si>
  <si>
    <t>EN CONCILIACION ESE HUS ACEPTA GLOSA POR $205,500 POR CONCEPTO DE INSUMOS UTILIZADOS EN ESTUDIOS TOMOGRAFICOS NO PERTINENTES.
ASEGURADORA LEVANTA DIFERENCIA.</t>
  </si>
  <si>
    <t>EN CONCILIACION ESE HUS ACEPTA GLOSA POR $206,000 POR CONCEPTO DE MEDIO DE CONTRASTE UTILIZADOS EN ESTUDIOS TOMOGRAFICOS NO PERTINENTES.
ASEGURADORA LEVANTA DIFERENCIA.</t>
  </si>
  <si>
    <t>HUS0000305432</t>
  </si>
  <si>
    <t>EN CONCILIACION ESE HUS ACEPTA GLOSA POR $107,600 POR CONCEPTO DE: $18,200 POR HEMOCLASIFICACION SERICA NO JUSTIFICADA, REALIZADA Y FACTURADA HEMOCLASIFICACION AB Y RH - $48,500 HEMOCLASIFICACION GLOBULAR NO JUSTIFICADA, REALIZADA Y FACTURADA HEMOCLASIFICACION AB Y RH. $40,900 POR RADIOGRAFIA COMPARATIVA DE CADERAS, SIN JUSTIFICACION CLINICA NI PERTINENCIA SEGUN LO DESCRITO EN HC AL EXAMEN FISICO DE INGRESO.</t>
  </si>
  <si>
    <t>HUS0000301170</t>
  </si>
  <si>
    <t>EN CONCILIACION ESE HUS ACEPTA GLOSA POR VALOR DE $141,000 POR FACTURACION DE INSUMO (FMQ3362	RESUCITADOR MANUAL ADULTO DESECHABLE KIT COMPLETO DE 6 PIEZAS CON VÁLVULA DE SOBREPRESIÓN), NO FACTURABLE INCLUIDO EN DERECHOS DE SALA Y/O MATERIALES DE CIRUGIA SEGÚN DECRETO 2423/96.</t>
  </si>
  <si>
    <t>EN CONCILIACION ESE HUS ACEPTA GLOSA PARCIAL POR $4,270,600 ASI:  $1,172,400 POR CONCEPTO DE AJUSTE DE AYUDA DIAGNOSTICA TOMOGRAFIA DE COLUMNA CERVICAL 2 TAC + ESPACIO ADICIONAL  A RADIOGRAFIA CERVICAL  COD:21140 EN ATENCION A LOS HALLAZGOS DESCRITOS AL EXAMEN FISICO DE INGRESO, EL CUAL NO SOPORTA PERTRINENCIA DEL ESTUDIO REALIZADO, SE EVIDENCIA SOLICITUD NO ACORDE AL ADECUADO ESCALONAMIENTO Y RACIONALIDAD DEL USO DE LAS AYUDAS DIAGNOSTICAS, ADEMAS SEGÚN LOS FUNDAMENTOS DEL ATLS ESTABLECE QUE La evaluacion puede incluir radiografias y/o tomografias, las cuales deben ser revisadas por un medico con experiencia en la deteccion radiografica de fracturas de la columna cervical. La evaluacion radiografica puede no ser requerida en pacientes que cumplan con los siguientes parametros: National Emergency X-Radiography Utilization Study (NEXUS), Low-Risk Criteria (NLC) o Canadian C-Spine Rule (CCR). DADO LO ANTERIOR PACIENTE NO CUMPLE CON CRITERIOS DE NEXUS ESTABLECIDOS PARA LA TOMA DE ESTUDIO. // $619,900 POR CONCEPTO DE AJUSTE DE AYUDA DIAGNOSTICA TOMOGRAFIA DE TORAX A RADIOGRAFIA DE TORAX COD:21201 EN ATENCION A LOS HALLAZGOS DESCRITOS AL EXAMEN FISICO DE INGRESO,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///$ 2,437,400 POR CONCEPTO DE AJUSTE DE AYUDA DIAGNOSTICA TOMOGRAFIA DE ABDOMEN A ECOGRAFIA DE ABDOMEN COD:31109 EN ATENCION A LOS HALLAZGOS DESCRITOS AL EXAMEN FISICO DE INGRESO,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ADEMAS SE EVIDENCIA QUE SE FACTURO TOMOGRAFIA DE ABDOMEN CON PROTOCOLO PARA TAVI NO PERTINENTE PARA EL PACIENTE DADO SU CLINICA Y HALLAZGOS.///$40,900 POR CONCEPTO DE RADIOGRAFIA COMPARATIVA DE CADERAS NO JUTSIFICADA NI PERTINENTE EN ATENCION A LOS HALLAZGOS DESCRITOS AL EXAMEN FISICO DE INGRESO DEL PACIENTE.
ASEGURADORA LEVANTA DIFERENCIA.</t>
  </si>
  <si>
    <t>HUS0000306915</t>
  </si>
  <si>
    <t>EN CONCILIACION ESE HUS ACEPTA GLOSA POR VALOR DE $772.800 POR FACTURACION DE INSUMOS (SONDAS NELATON, POLYDIOXANONA, SUTURAS, APOSITOS Y COMPRESAS) UTILIZADOS E INCLUIDOS EN LOS DERECHOS DE SALA Y/O MATERIALES DE LOS PROCEDIMIENTOS QUIRURGICOS.</t>
  </si>
  <si>
    <t>EN CONCILIACION ESE HUS ACEPTA GLOSA PARCIAL POR $23,400 CORRESPONDIENTE A MEDICAMENTOS LAXANTES NO JUSTIFICADA SU INDICACION EN EL REGISTRO DE HISTORIA CLINICA, NO RELACIONAN CON EL AT NI DESCRIBEN EL PORQUE DE SU INDICACION O NECESIDAD DEL PACIENTE. 
ASEGURADORA LEVANTA DIFERENCIA.</t>
  </si>
  <si>
    <t>EN CONCILIACION ESE HUS ACEPTA GLOSA PARCIAL POR $2,216,810 POR CONCEPTO DE $18,200 CORRESPONDIENTE A HEMOCLASIFICACION GLOBULAR NO JUSTIFICADO EN PACIENTE SIN SOLICITUD POR ESPECIALISTA DE RESERVA DE SANGRE SIN ANEMIZACION NO SOLICITADA PARA LLEVAR A PROCEDIMIENTO POR LO TANTO NO PERTINENTE SU INDICACION.// $48,500 CORRESPONDIENTE A HEMOCLASIFICACION SERICA NO JUSTIFICADO EN PACIENTE SIN SOLICITUD POR ESPECIALISTA DE RESERVA DE SANGRE SIN ANEMIZACION NO SOLICITADA PARA LLEVAR A PROCEDIMIENTO POR LO TANTO NO PERTINENTE SU INDICACION. // $43,800 CORRESPONDIENTE A HEMOCLASIFICACION RH NO JUSTIFICADO EN PACIENTE SIN SOLICITUD POR ESPECIALISTA DE RESERVA DE SANGRE SIN ANEMIZACION NO SOLICITADA PARA LLEVAR A PROCEDIMIENTO POR LO TANTO NO PERTINENTE SU INDICACION. //$30,010 POR RADIOGRAFIA COMPARATIVA DE CADERAS SIN PERTINENCIA NI JUSTIFICACION EN LOS REGISTROS DE LA HC. DADO QUE SE FACTURAN 4 PROYECCIONES ENTIDAD RECONOCE 3 TOMAS JUSTIFICADAS EN HC. ///$73,600 POR PROYECCIONES ADICIONALES SIN SOPORTE DE INDICACION, ADEMAS RESULTADOS NO INTERPRETADOS Y RESULTADOS CORRESPONDEN AL MISMO DESCRITO EN LA RADIOGRAFIA DE CADERA NO SE AVALA PERTINENCIA DEL ESTUDIO SIN SOPORTE. ///$690,900 POR TOMOGRAFIA DE CRANEO INDICADA AL INGRESO CON EXAMEN FISICO SIN SOPORTE DE SU REALIZACION SEGUN LO DESCRITO AL EXAMEN FISICO ASI: NORMOCEFALO, ESCLERAS ANICTERICAS, PUPILAS ISOCORICAS NORMORREACTIVAS A LA LUZ, MUCOSA ORAL HUMEDA, NO LESIONES,CUELLO MOVIL, NO ADENOPATIAS, NO MASAS. SE EVIDENICA HEMATOMA SUBGALEAL A NIVEL TEMPOROFRONTAL, NO LEISONES EN CUERO CABELLUDO NEUROLOGICO ALERTA, ACTIVO, REACTIVO, ORIENTADO EN SUS 3 ESFERAS, NO HAY SIGNOS DE FOCALIZACION, NO DEFICIT NEUROLOGICO, GLASGOW 15/15. EL CUAL NO SOPORTA ESTUDIO REALIZADO, SE EVIDENCIA SOLICITUD NO ACORDE AL ADECUADO ESCALONAMIENTO Y RACIONALIDAD DEL USO DE LAS AYUDAS DIAGNOSTICAS, ADEMAS SEGÚN LOS FUNDAMENTOS DEL ATLS ESTABLECE QUE “Se necesita una TAC en pacientes con sospecha de TCE leve (por ejemplo, pérdida de conciencia atestiguada, amnesia definitiva o desorientación atestiguada en un paciente con ECG de 13–15) Y OTROS FACTORES LOS CUALES PACIENTE NO CUMPLE CON CRITERIOS ESTABLECIDOS PARA LA TOMA DE ESTUDIO. ///$619,900 POR CONCEPTO DE AJUSTE DE AYUDA DIAGNOSTICA TOMOGRAFIA DE TORAX A RADIOGRAFIA DE TORAX COD:21201 EN ATENCION A LOS HALLAZGOS DESCRITOS AL EXAMEN FISICO DE INGRESO, ASI: -SIMETRICO, EXPANSIBLE, NO DOLOROSO A LA PALPACION, NO SE OBSERVAN SIGNOS DE DIFICULTAD RESPIRATORIA, MURMULLO VESICULAR CONSERVADO, NO AUSCULTO AGREGADOS RESPIRATORIOS, RUIDOS CARDIACOS RITMICOS, NO AUSCULTO SOPLOS. SE EVIDENCIA EXCORACIONES A NIVEL DE HEMITORAX .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///$691,900 POR CONCEPTO DE AJUSTE DE AYUDA DIAGNOSTICA TOMOGRAFIA DE ABDOMEN A ECOGRAFIA DE ABDOMEN COD:31109 EN ATENCION A LOS HALLAZGOS DESCRITOS AL EXAMEN FISICO DE INGRESO, ASI: -BLANDO, DEPRESIBLE, NO DOLOROSO A LA PALPACION, NO HAY SIGNOS DE IRRITACION PERITONEAL, NO SE PALPAN MASAS, RUIDOS INTESTINALES PRESENTES CON ADECUADA FRECUENCIA E INTENSIDAD. A NIVEL DE FLANCO DERECHO EXCORAIONES Y EQUIMOSIS CERCA A CRESTA ILIACA DERECHA.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ASEGURADORA LEVANTA DIFERENCIA.</t>
  </si>
  <si>
    <t>HUS0000307382</t>
  </si>
  <si>
    <t>EN CONCILIACION ESE HUS ACEPTA GLOSA PARCIAL POR VALOR DE $7.800 EN INSUMO (EQUIPO DE EXTENSION DE ANESTESIA), NO FACTURABLE INCLUIDO EN ESTANCIA.
ASEGURADORA LEVANTA DIFERENCIA.</t>
  </si>
  <si>
    <t>EN CONCILIACION ESE HUS ACEPTA GLOSA PARCIAL POR $3,316,860 POR CONCEPTO DE: $1,002,500 POR TAC CON RECONSTRUCCION 3D NO PERTINENTE NI JUSTIFICADA SOLICITADA EN PACIENTE CON TRAUMA SIN HALLAZGOS DESCRITOS AL EXAMEN FISICO, ADEMAS SOLICITADA POR PARTE DE MEDICINA GENERAL SIN SOPORTE MEDICO.///$619,900 POR CONCEPTO DE AJUSTE DE AYUDA DIAGNOSTICA TOMOGRAFIA DE TORAX A RADIOGRAFIA DE TORAX COD:21201 EN ATENCION A LOS HALLAZGOS DESCRITOS AL EXAMEN FISICO DE INGRESO,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$667,800 POR CONCEPTO DE AJUSTE DE TOMOGRAFIA DE SENOS PARANASALES A RADIOGRAFIA DE CARA, EN ATENCION A LOS HALLAZGOS DESCRITOS AL EXAMEN FISICO, NO SE REALIZA EL ADECUADA ESCALONAMIENTO Y RACIONALIDAD DE LAS AYUDAS DIAGNOSTICAS. //$76,700 POR CONCEPTO DE ESTUDIO LACTATO SOLICITADO AL INGRESO DEL PACIENTE SIN JUSTIFICACION DADO EL EXAMEN FISICO DESCRITO AL INGRESO ADEMAS NO INTERPRETADO QUE PERMITA DAR AVAL A LA PERTINENCIA DEL ESTUDIO.//$72,500 POR CONCEPTO DE ESTUDIO GASES ARTERIALES SOLICITADO AL INGRESO DEL PACIENTE SIN JUSTIFICACION DADO EL EXAMEN FISICO DESCRITO AL INGRESO ADEMAS NO INTERPRETADO QUE PERMITA DAR AVAL A LA PERTINENCIA DEL ESTUDIO. //$18,200 ESTUDIO HEMOCLASIFICACION NO JUSTIFICADA EN PACIENTE NO LLEVADO A PROCEDIMIENTO NO REQUERIMEINTO DE RESERVA DE HEMODERIVADOS, NO JUSTIFICADO EN HISTORIA CLINICA SU SOLICITUD. //$48,500 ESTUDIO HEMOCLASIFICACION NO JUSTIFICADA EN PACIENTE NO LLEVADO A PROCEDIMIENTO NO REQUERIMEINTO DE RESERVA DE HEMODERIVADOS, NO JUSTIFICADO EN HISTORIA CLINICA SU SOLICITUD.///$643,400 + 167,360 POR CONCEPTO DE AJUSTE DE AYUDA DIAGNOSTICA TOMOGRAFIA DE COLUMNA CERVICAL + ESPACIO ADICIONAL A RADIOGRAFIA PANORAMICA DE COLUMNA VERTEBRAL EN ATENCION A LOS HALLAZGOS DESCRITOS AL EXAMEN FISICO DE INGRESO EL CUAL NO SOPORTA PERTINENCIA DEL ESTUDIO REALIZADO, SE EVIDENCIA SOLICITUD NO ACORDE AL ADECUADO ESCALONAMIENTO Y RACIONALIDAD DEL USO DE LAS AYUDAS DIAGNOSTICAS, ADEMAS SEGÚN LOS FUNDAMENTOS DEL ATLS ESTABLECE QUE La evaluacion puede incluir radiografias y/o tomografias, las cuales deben ser revisadas por un medico con experiencia en la deteccion radiografica de fracturas de la columna cervical. La evaluacion radiografica puede no ser requerida en pacientes que cumplan con los siguientes parametros: National Emergency X-Radiography Utilization Study (NEXUS), Low-Risk Criteria (NLC) o Canadian C-Spine Rule (CCR). DADO LO ANTERIOR PACIENTE NO CUMPLE CON CRITERIOS DE NEXUS ESTABLECIDOS PARA LA TOMA DE ESTUDIO.
ASEGURADORA LEVANTA DIFERENCIA.</t>
  </si>
  <si>
    <t>HUS0000277826</t>
  </si>
  <si>
    <t>EN CONCILIACION SE APLICA NOTA CREDITO POR VALOR DE $1.361.987 PARA REFACTURAR AL ADRES, POR MOTIVO DE AGOTAMIENTO DE COBERTURA POLIZA SOAT.
ASEGURADORA LEVANTA DIFERENCIA.</t>
  </si>
  <si>
    <t>HUS0000310928</t>
  </si>
  <si>
    <t>EN CONCILIACION SE APLICA NOTA CREDITO POR VALOR DE $594.000 PARA REFACTURAR AL ADRES, POR MOTIVO DE AGOTAMIENTO DE COBERTURA POLIZA SOAT.</t>
  </si>
  <si>
    <t>EN CONCILIACION SE APLICA NOTA CREDITO POR VALOR DE $110.500 PARA REFACTURAR AL ADRES, POR MOTIVO DE AGOTAMIENTO DE COBERTURA POLIZA SOAT.</t>
  </si>
  <si>
    <t>EN CONCILIACION SE APLICA NOTA CREDITO POR VALOR DE $753.300 PARA REFACTURAR AL ADRES, POR MOTIVO DE AGOTAMIENTO DE COBERTURA POLIZA SOAT.</t>
  </si>
  <si>
    <t>EN CONCILIACION SE APLICA NOTA CREDITO POR VALOR DE $43.900 PARA REFACTURAR AL ADRES, POR MOTIVO DE AGOTAMIENTO DE COBERTURA POLIZA SOAT.</t>
  </si>
  <si>
    <t>HUS0000308252</t>
  </si>
  <si>
    <t>EN CONCILIACION ASEGURADORA LEVANTA OBEJCION.</t>
  </si>
  <si>
    <t>EN CONCILIACION ESE HUS ACEPTA GLOSA POR $1,171,600 CORRESPONDEINTE A PROCEDIMIENTO DESBRIDAMIENTO FACTURADO EN OSTEOSINETESIS DE PIE, CON DESCRIPCION QUIRURGICA QUE NO SOPORTA LO FACTURADO.
ASEGURADORA LEVANTA DIFERENCIA.</t>
  </si>
  <si>
    <t>EN CONCILIACION ESE HUS ACEPTA GLOSA POR $1,363,200 POR CONCEPTO DE ESTANCIA DE LOS DIAS 24,25,26 Y 27 NO PERTINENTE, ESTANCIA INACTIVA NO JUSTIFICADA EN ESPERA DE FRANJA QUIRURGICA EN PACIENTE CON AVAL DE ANESTESIA Y SOLICITUD MAOS DESDE EL 21. INOPORTUNIDAD DE ASIGNACION DE FRANJA QUIRURGICA.</t>
  </si>
  <si>
    <t xml:space="preserve">EN CONCILACION ESE HUS ACEPTA GLOSA POR $41.600 EN SERVICIO DE GLUCOMETRIA TOMADAS AL PACIENTE SIN UNA JUSTIFICACION, NO HAY INDICACION MEDICA, PACIENTE SIN ANTECEDENTES, NO HAY NOTA QUE AVALE LA TOMA DE GLUCOMETRIA. </t>
  </si>
  <si>
    <t>EN CONCILIACION ESE HUS ACEPTA GLOSA POR VALOR DE $419,800 POR SOPORTE EN INTENSIFICADOR DE IMÁGENES, YA QUE SOLO SE RECONOCE UNO POR EVENTO QUIRURGICO SEGÚN DECRETO 2423/96.</t>
  </si>
  <si>
    <t>HUS0000309341</t>
  </si>
  <si>
    <t>EN CONCILIACION ESE HUS ACEPTA GLOSA POR $43,400 ESTANCIA NO JUSTIFICADA PACIENTE CON DEFINICION DE CONDUCTA ANTES DE LAS 6 HORAS, CON INDICACION DE VALORACION POR ESPECIALIDADES, SE HOMOLOGA A SALA DE OBSERVACION.
ASEGURADORA LEVANTA DIFERENCIA.</t>
  </si>
  <si>
    <t>EN CONCILIACION ESE HUS ACEPTA GLOSA POR  $420,300 POR CONCEPTO DE $ 99,300  RADIOGRAFIA DE TORAX NO PERTINENTE SU INDICACION SEGÚN MOTIVO DE REMISION Y HALLAZGOS DESCRITOS AL EXAMEN FISICO ASI: Tórax: normoexpansibilidad torácica, ruidos respiratorios sin sobreagregados, no tirajes, no esfuerzo respiratorio, ruidos cardiacos rítmicos sin soplo audibles. NO HAY PERTINENCIA EN EL ESTUDIO. /// $321,000 ECOGRAFIA ABDOMINAL NO PERTINENTE SU INDICACION SEGÚN MOTIVO DE REMISION Y HALLAZGOS DESCRITOS AL EXAMEN FISICO ASI: blando, depresible, sin distensión abdominal, sin dolor a la palpación, sin signos de irritación peritoneal,  sin ascitis, sin signos de hepatomegalia, o masas. NO HAY PERTINENCIA EN EL ESTUDIO.
ASEGURADORA LEVANTA OBJECION.</t>
  </si>
  <si>
    <t>HUS0000313306</t>
  </si>
  <si>
    <t>EN CONCILIACION ESE HUS ACEPTA GLOSA POR $43,800 CORRESPONDIENTE A HEMOCLASIFICIACION NO PERTINENTE EN PACIENTE SIN INDICACION DE RESERVA DE HEMODERIVADOS NO LLEVADO A PROCEDIMIENTO NI INDICADO POR ESPECIALIDAD SIN REGISTRO DE ANEMIZACION  O PERDIDA DE SANGRE QUE PERMITA AVALAR ESTUDIO.</t>
  </si>
  <si>
    <t>EN CONCILIACION ESE HUS ACEPTA GLOSA POR $1.090.400 CORRESPONDIENTE A:  $1,002,500 POR RECONSTRUCCION 3D DE SENOS PARANASALE NO JUSTIFICADA SU INDICACION NO SOPORTADA NO SOLICITADA POR ESPECIALISTA. //$48,500 POR HEMOCLASIFICACION SERICA NO PERTINENTE EN PACIENTE SIN INDICACION DE RESERVA DE HEMODERIVADOS NO LLEVADO A PROCEDIMIENTO NI INDICADO POR ESPECIALIDAD SIN REGISTRO DE ANEMIZACION  O PERDIDA DE SANGRE QUE PERMITA AVALAR ESTUDIO.//$18,200 HEMOCLASIFICACION GLOBULAR NO PERTINENTE EN PACIENTE SIN INDICACION DE RESERVA DE HEMODERIVADOS NO LLEVADO A PROCEDIMIENTO NI INDICADO POR ESPECIALIDAD SIN REGISTRO DE ANEMIZACION  O PERDIDA DE SANGRE QUE PERMITA AVALAR ESTUDIO. // $21.200  MVC EN MAOS (2# - FMO00421  CLAVO DE KIRSCHNER DOBLE PUNTA 1.8 MM DE 16 A 50 CM DE LARGO) SE RECONOCE SEGÚN FACTURA DE COMPRA NUMERO PR-10526 DE LA CASA ORTOPEDICA "JAIMES RUEDA  Y COMPAÑÍA PRECIMEC SAS".
ASEGURADORA LEVANTA DIFERENCIA.</t>
  </si>
  <si>
    <t>HUS0000315798</t>
  </si>
  <si>
    <t>EN CONCILIACION ESE HUS ACEPTA GLOSA POR $ 786,500 CORRESPONDIENTE A HOMOLOGACION DE PROCEDIMIENTO 15103 AL 15102 SE ACEPTA SEGÚN DESCRIPCION QUIRURGICA PREVIA ASEPSIA Y ANTISEPSIA. BAJO ANESTESIA RAQUÍDEA. COLOCACIÓN DE CAMPOS ESTÉRILES. SE REALIZA EXPLORACIÓN DE HERIDA TRAUMÁTICA INGUINAL DERECHA, SE IDENTIFICA COMPROMISO DEL TECHO DEL CANAL INGUINAL Y SECCIÓN COMPLETA DE ELEMENTOS DEL CORDÓN, LOS CUALES SE LIGAN CON SEDA 3/0. SE REVISA Y SE REALIZA HEMOSTASIA SELECTIVA. NO SE IDENTIFICAN OTRAS LESIONES. SE REALIZA CIERRE DE APONEUROSIS DE OBLICUO EXTERNO, CIERRE POR PLANOS CON VYCRIL 3/0 Y PIEL CON POLIPROPILENO 3/0.</t>
  </si>
  <si>
    <t>HUS0000316372</t>
  </si>
  <si>
    <t xml:space="preserve">EN CONCILIACION ESE HUS ACEPTA GLOSA POR $2,385,600 POR CONCEPTO DE ESTANCIA INACTIVA DE 7 DIAS EN ESPERA DE ASIGNACION DE FRANJA QUIRURGICA, PACIENTE DESDE EL 27 CON SOLICITUD DE MAOS YA CON AVAL DE ANESTESIA CON CX EL DIA 7. INOPORTUNIDAD EN ASIGNACION DE FRANJA. </t>
  </si>
  <si>
    <t>EN CONCILIACION ESE HUS ACEPTA GLOSA PARCIAL POR $252,900 POR CONCEPTO DE $209,100 POR RADIOGRAFIA NO JUSTIFICADAS NI PERTINENTE EN ATENCION A LAS IMÁGENES REALZIADAS Y LAS FACTURADAS, ENTIDAD RECONOCE LAS PRE Y POSTQUIRURGICAS  FACTURACION SUPERAS LAS SOPORTADAS EN LA HISTORIA CLINICA. $48,500  POR HEMOCLASIFIACION GLOBULAR NO PERTINENTE NI JUSTIFICADA PACIENTE SE LE REALZIA HEMOCLASIFICACION RH Y ABO FACTURADA Y PERTINENTE.</t>
  </si>
  <si>
    <t>EN CONCILIACION ESE HUS ACEPTA GLOSA POR VALOR DE $44,010 MVC EN MAOS (FMO00540	PLACA 1/3 CAÑA SS R X 6/7 (PLAA TERCIO CAÑA DE 4 A 12 HUECOS NO BLOQUEADA)), SE RECONOCE SEGÚN FACTURA DE COMPRA NUMERO PR-11131 DE LA CASA ORTOPEDICA "JAIMES RUEDA Y COMPAÑIA PRECIMEC SAS".</t>
  </si>
  <si>
    <t>EN CONCILIACION ESE HUS ACEPTA GLOSA POR $48,500 POR HEMOCLASIFIACION SERICA NO PERTINENTE NI JUSTIFICADA PACIENTE SE LE REALZIA HEMOCLASIFICACION RH Y ABO FACTURADA Y PERTINENTE.</t>
  </si>
  <si>
    <t>HUS0000316695</t>
  </si>
  <si>
    <t>HUS0000317621</t>
  </si>
  <si>
    <t>EN CONCILIACION ESE HUS ACEPTA GLOSA POR $ 206,000 POR MEDIOS DE CONTRASTE UTILIZADOS EN TOMOGRAFIAS NO PERTINENTES SU INDICACION.</t>
  </si>
  <si>
    <t xml:space="preserve">EN CONCILIACION ESE HUS ACEPTA GLOSA POR $ 2,982,100 CORRESPONDIENTE A $667,800 POR CONCEPTO DE AJUSTE DE AYUDA DIAGNOSTICA TOMOGRAFIA DE SENOS PARANASALES A RADIOGRAFIA DE CARA EN ATENCION A LOS HALLAZGOS DESCRITOS AL EXAMEN FISICO DE INGRESO, EL CUAL NO SOPORTA ESTUDIO REALIZADO, SE EVIDENCIA SOLICITUD NO ACORDE AL ADECUADO ESCALONAMIENTO Y RACIONALIDAD DEL USO DE LAS AYUDAS DIAGNOSTICAS. //$ 619,900 POR CONCEPTO DE AJUSTE DE AYUDA DIAGNOSTICA TOMOGRAFIA DE TORAX A RADIOGRAFIA DE TORAX COD:21201 EN ATENCION A LOS HALLAZGOS DESCRITOS AL EXAMEN FISICO DE INGRESO, ASI: Tórax simétrico excursión adecuada, ruidos cardiacos y respiratorios normales, no tirajes, no dificultad respiratoria; con dolor a la palpación de la reja costal anterior y posterior;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///$691,900 POR CONCEPTO DE AJUSTE DE AYUDA DIAGNOSTICA TOMOGRAFIA DE ABDOMEN A ECOGRAFIA DE ABDOMEN COD:31109 EN ATENCION A LOS HALLAZGOS DESCRITOS AL EXAMEN FISICO DE INGRESO, ASI: Abdomen blando, no se palpan masas, dolor a la palpación de cuadrantes inferiores del abdomen sin irritación peritoneal.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ADEMAS SE EVIDENCIA QUE SE FACTURO TOMOGRAFIA DE ABDOMEN CON PROTOCOLO PARA TAVI NO PERTINENTE PARA EL PACIENTE DADO SU CLINICA Y HALLAZGOS.//$ 1,002,500 POR RECONSTRUCCION 3D SOLICITADA JUNTO CON TAC DE SENOS PARANASALES SIN JUSTIFICACION CLINICA NI PERTINENCIA. </t>
  </si>
  <si>
    <t>HUS0000318006</t>
  </si>
  <si>
    <t>EN CONCILIACION ESE HUS ACEPTA GLOSA POR $189,900 CORRESPONDIENTE A MATERIALES E INSUMOS UTILIZADOS EN TOMOGRAFIAS CON CONTRASTE NO PERTINENTE.</t>
  </si>
  <si>
    <t xml:space="preserve">EN CONCILIACION ESE HUS ACEPTA GLOSA PARCIAL POR $ 619,900 POR CONCEPTO DE AJUSTE DE AYUDA DIAGNOSTICA TOMOGRAFIA DE TORAX A RADIOGRAFIA DE TORAX COD:21201 EN ATENCION A LOS HALLAZGOS DESCRITOS AL EXAMEN FISICO DE INGRESO,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ESTUDIO.//$ 691,900 POR CONCEPTO DE AJUSTE DE AYUDA DIAGNOSTICA TOMOGRAFIA DE ABDOMEN A ECOGRAFIA DE ABDOMEN COD:31109 EN ATENCION A LOS HALLAZGOS DESCRITOS AL EXAMEN FISICO DE INGRESO,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t>
  </si>
  <si>
    <t>HUS0000318529</t>
  </si>
  <si>
    <t xml:space="preserve">EN CONCILIACION ESE HUS ACEPTA GLOSA POR $87600 POR CONCEPTO DE HEMOCLASIFICACION NO PERTINENTE NI JUSTIFICADO EN PACIENTE A QUIEN NO S ELE SOLICITO RESERVA DE SANGRE NO LLEVADO A PROCEDIMIENTO NO JUSTIFICADO EN HISTORIA CLINICA. </t>
  </si>
  <si>
    <t>EN CONCILIACION SE APLICA NOTA CREDITO POR VALOR DE $95.500 PARA REFACTURAR AL ADRES, POR MOTIVO DE AGOTAMIENTO DE COBERTURA POLIZA SOAT.</t>
  </si>
  <si>
    <t>EN CONCILIACION ESE HUS ACEPTA GLOSA PARCIAL POR $ 1,522,700 POR CONCEPTO DE $619,900 POR CONCEPTO DE AJUSTE DE AYUDA DIAGNOSTICA TOMOGRAFIA DE TORAX A RADIOGRAFIA DE TORAX COD:21201 EN ATENCION A LOS HALLAZGOS DESCRITOS AL EXAMEN FISICO DE INGRESO,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///$691,900 POR CONCEPTO DE AJUSTE DE AYUDA DIAGNOSTICA TOMOGRAFIA DE ABDOMEN A ECOGRAFIA DE ABDOMEN COD:31109 EN ATENCION A LOS HALLAZGOS DESCRITOS AL EXAMEN FISICO DE INGRESO,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ADEMAS SE EVIDENCIA QUE SE FACTURO TOMOGRAFIA DE ABDOMEN CON PROTOCOLO PARA TAVI NO PERTINENTE PARA EL PACIENTE DADO SU CLINICA Y HALLAZGOS.///$210,900 PARA REFACTURAR AL ADRES, POR MOTIVO DE AGOTAMIENTO DE COBERTURA POLIZA SOAT.</t>
  </si>
  <si>
    <t>HUS0000323513</t>
  </si>
  <si>
    <t>EN CONCILIACION ESE HUS ACEPTA GLOSA POR $113,100 POR INSUMOS UTILIZADOS EN TOMOGRAFIA CONTRASTADA NO PERTINENTE.</t>
  </si>
  <si>
    <t>EN CONCILIACION ESE HUS ACEPTA GLOSA PARCIAL POR $2,180,500 CORRESPONDIENTE  A: $1,490,900 POR CONCEPTO DE AJUSTE DE TOMOGRAFIA CON PROTOCOLO TAVI FACTURADA NO PERTINENTE EN ATENCION A LA CLINICA DEL PACIENTE , NO SOLICITADA POR ESPECIALISTA, SE HOMOLOGA A TOMOGRAFIA DE ABDOMEN CONTRASTADA PERTINENTE Y JUSTIFICADA EN ATENCION A LOS HALLAZGOS CLINICOS. //$ 619,900 POR CONCEPTO DE AJUSTE DE AYUDA DIAGNOSTICA TOMOGRAFIA DE TORAX A RADIOGRAFIA DE TORAX COD:21201 EN ATENCION A LOS HALLAZGOS DESCRITOS AL EXAMEN FISICO DE INGRESO,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 $ 69,700 LACTATO ESTUDIO NO PERTINENTE NO SOPORTADA SU INDICACION EN LA HC NO SE REGISTRA POR PARTE MEDICA SU IMPORTANCIA O APORTE A LA CONDICION DEL PACIENTE ADEMAS SIN INTERPRETACION.
ASEGURADORA LEVANTA DIFERENCIA.</t>
  </si>
  <si>
    <t>HUS0000323728</t>
  </si>
  <si>
    <t xml:space="preserve">EN CONCILIACION ESE HUS NO ACEPTA GLOSA , ESTUDIO PERTINENTE Y JUSTIFICADO, ENTIDAD NO LEVANTA, SE DEJA EN NO ACUERDO. </t>
  </si>
  <si>
    <t>HUS0000319847</t>
  </si>
  <si>
    <t>HUS0000323054</t>
  </si>
  <si>
    <t xml:space="preserve">EN CONCILIACION SE ACEPTA GLOSA POR $81,400 POR CONSULTA DE URGENCIA, PACIENTE REMITIDO PARA MANEJO PARA MANEJO POR ESPECIALISTA, NO HOMOLOGA A ATENCION INICIAL POR MEDICO GENERAL NO CONCILIA PORQUE YA SE PAGO SERVICIO CONSULTA DE URGENCIAS A CLINICA RIVIERA. </t>
  </si>
  <si>
    <t xml:space="preserve">EN CONCILIACION ESE HUS ACEPTA GLOSA POR $206,600 A MEDICAMENTO UTILIZADOS EN ESTUDIOS TOMOGRAFICOS NO PERTINENTES NI JUSTIFICADOS. </t>
  </si>
  <si>
    <t>EN CONCILIACION ESE HUS ACEPTA GLOSA PARCIAL POR $ 3,155,700 CORRESPONDIENTE A: $48,500 POR  TIEMPO DE COAGULACION NO PERTINENTE NI JUSTIFICADO PACIENTE NO LLEVADO A PROCEDIMIENTO NO INDICADO COMO PREQUIRURGICO. // $49,900 POR  TIEMPO DE COAGULACION NO PERTINENTE NI JUSTIFICADO PACIENTE NO LLEVADO A PROCEDIMIENTO NO INDICADO COMO PREQUIRURGICO. //$ 619,000 POR CONCEPTO DE AJUSTE DE AYUDA DIAGNOSTICA TOMOGRAFIA DE TORAX A RADIOGRAFIA DE TORAX COD:21201 EN ATENCION A LOS HALLAZGOS DESCRITOS AL EXAMEN FISICO DE INGRESO, ASI: - DOLOR INTENSO A LA PALPACIOON DE 6-10 ARCOS COSTALES ANTERIORES IZQUIERDOS, NO CREPITACION A LA PALPACION, NO SIGNOS DE DIFICULTAD RESPIRATORIA. SIMETRICO, EXPANSIBLE, NO SE OBSERVAN SIGNOS DE DIFICULTAD RESPIRATORIA, MURMULLO VESICULAR CONSERVADO, NO AUSCULTO AGREGADOS RESPIRATORIOS, RUIDOS CARDIACOS RITMICOS, .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 $2,437,400 POR CONCEPTO DE AJUSTE DE AYUDA DIAGNOSTICA TOMOGRAFIA DE ABDOMEN A ECOGRAFIA DE ABDOMEN COD:31109 EN ATENCION A LOS HALLAZGOS DESCRITOS AL EXAMEN FISICO DE INGRESO, ASI: - ABUNDANTE PANICULO ADIPOSO, BLANDO, DEPRESIBLE, DOLOR A LA PALPACION DE HEMIABDOMEN IZQUIERDO, CON DEFENSA VOLUNTARIA EN HIPOCONDRIO IZQUIERDO, NO IRRITACION PERITONEAL .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ADEMAS SE EVIDENCIA QUE SE FACTURO TOMOGRAFIA DE ABDOMEN CON PROTOCOLO PARA TAVI NO PERTINENTE PARA EL PACIENTE DADO SU CLINICA Y HALLAZGOS.</t>
  </si>
  <si>
    <t>HUS0000323985</t>
  </si>
  <si>
    <t>EN CONCILIACION SE APLICA NOTA CREDITO POR VALOR DE $81.400 PARA REFACTURAR AL ADRES, POR MOTIVO DE AGOTAMIENTO DE COBERTURA POLIZA SOAT.</t>
  </si>
  <si>
    <t>EN CONCILIACION SE APLICA NOTA CREDITO POR VALOR DE $287.168 PARA REFACTURAR AL ADRES, POR MOTIVO DE AGOTAMIENTO DE COBERTURA POLIZA SOAT.
ASEGURADORA LEVANTA DIFERENCIA.</t>
  </si>
  <si>
    <t>HUS0000322824</t>
  </si>
  <si>
    <t>EN CONCILIACION ESE HUS ACEPTA GLOSA POR VALOR DE $334.074 MVC EN MAOS, SE RECONOCE SEGÚN FACTURA DE COMPRA NUMERO PR-11402 DE LA CASA ORTOPEDICA "JAIMES RUEDA Y COMPAÑÍA PRECIMEC SAS".</t>
  </si>
  <si>
    <t>EN CONCILIACION ESE HUS ACEPTA GLOSA PARCIAL POR $2,385,600 CORRESPONDIENTE A ESTANCIA INACTIVA POR INOPORTUNIDAD EN ASIGNACION DE FRANJA QUIRURGICA DE LOS DIAS 23 AL 29. PACIENTE INGRESA EL DIA 20, CON AVAL E INDICACION DE PROCEDIMIENTO DESDE EL 22, SE PROGRAMA PARA EL DIA 30. SE ACEPTA 7 DIAS DE ESTANCIA INACTIVA NO JUSTIFICADA EN HC.
ASEGURADORA LEVANTA DIFERENCIA.</t>
  </si>
  <si>
    <t xml:space="preserve">EN CONCILIACION ESE HUS ACEPTA GLOSA POR $98.400 ASI:  $49,900 POR TIEMPO DE COAGULACION NO SOPORTADA LA INDICACION EN HISTORIA CLINICA, NO INTERPRETADA POR NINGUNA ESPECIALIDAD QUE SOPORTE LA IMPORTANCIA DEL PARACLINICO. $ 48,500 POR TIEMPO DE COAGULACION NO SOPORTADA LA INDICACION EN HISTORIA CLINICA, NO INTERPRETADA POR NINGUNA ESPECIALIDAD QUE SOPORTE LA IMPORTANCIA DEL PARACLINICO.
SE RATIFICA $1,002,500 ESTUDIO RTECONSTRUCCION 3D INDICADO POR ORTOPEDIA CON EL FIN DE CARACTERIZAR FRACTURA Y PLANEACION QUIRURGICA PERTINENTE Y JUSTIFICADO, ENTIDAD NO CONSIDERA ESTUDIO IMPORTANTE NI SOPORTADO POR LO QUE SE DEJA EN NO ACUERDO. </t>
  </si>
  <si>
    <t>HUS0000328014</t>
  </si>
  <si>
    <t>EN CONCILIACION ESE HUS ACEPTA GLOSA PARCIAL POR VALOR DE  $18,900 POR FACTURACION DE INSUMOS NO FACTURABLES INCLUIDOS EN MATERIALES DE CIRUGIA SEGÚN DECRETO 2423/96 ASI:
$5.400 - CANULA NASAL PARA OXIGENO #1
$3.200 - ELECTRODO ECG ADULTO #4
$10.300 - CANULA YANKAUER #1
ASEGURADORA LEVANTA DIFERENCIA.</t>
  </si>
  <si>
    <t>EN CONCILIACION ESE HUS ACEPTA GLOSA POR $200,100 POR CONCEPTO DE PROCEDIMIENTO DESBRIDAMIENTO NO SOPORTADO EN LA DESCRIPCION QUIRURGICA REGISTRADA QUE PERMITA AVALAR PERTINENCIA DEL MISMO.
ASEGURADORA LEVANTA DIFERENCIA.</t>
  </si>
  <si>
    <t>EN CONCILIACION ESE HUS ACEPTA GLOSA POR $10,400 POR GLUCOMETRIA NO PERTINENTE, NO JUSTIFICADA NI INDICADA POR MEDICO QUE SOPORTE SU PERTINENCIA.</t>
  </si>
  <si>
    <t>HUS0000325349</t>
  </si>
  <si>
    <t>EN CONCILIACION SE APLICA NOTA CREDITO POR VALOR DE $454.235 PARA REFACTURAR AL ADRES, POR MOTIVO DE AGOTAMIENTO DE COBERTURA POLIZA SOAT.
ASEGURAODRA LEVANTA DIFERENCIA.</t>
  </si>
  <si>
    <t>HUS0000337519</t>
  </si>
  <si>
    <t xml:space="preserve">EN CONCILIACION ESE HUS ACEPTA GLOSA POR $206,800 POR MEDIOS DE CONTRASTE UTILIZADOS EN TOMOGRAFIAS NO PERTINENTES. </t>
  </si>
  <si>
    <t>EN CONCILIACION ESE HUS ACEPTA GLOSA POR $1,311,730 POR CONCEPTO DE $619,853 CONCEPTO DE AJUSTE DE AYUDA DIAGNOSTICA TOMOGRAFIA DE TORAX A RADIOGRAFIA DE TORAX COD:21201 EN ATENCION A LOS HALLAZGOS DESCRITOS AL EXAMEN FISICO DE INGRESO,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///$691,877 CONCEPTO DE AJUSTE DE AYUDA DIAGNOSTICA TOMOGRAFIA DE ABDOMEN A ECOGRAFIA DE ABDOMEN COD:31109 EN ATENCION A LOS HALLAZGOS DESCRITOS AL EXAMEN FISICO DE INGRESO,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ASEGURADORA LEVANTA DIFERENCIA.</t>
  </si>
  <si>
    <t>HUS0000320443</t>
  </si>
  <si>
    <t>EN CONCILIACION ESE HUS ACEPTA GLOSA PARCIAL POR VALOR DE $6,700 FACTURACION DE INSUMO (SONDA FOLEY), NO FACTURABLE SEGÚN DECRETO 2423/96.
ASEGURADORA LEVANTA DIFERENCIA.</t>
  </si>
  <si>
    <t>EN CONCILIACION ESE HUS ACEPTA GLOSA POR $66.700 POR CONCEPTO DE HEMOCLASIFICACION SERICA Y GLOBULAR NO PERTINENTE SU FACTURACION EN ATENCION A QUE TAMBIEN SE FACTURA HEMOCLASIFICACION RH Y GRUPO MAS ANTICUERPOS.</t>
  </si>
  <si>
    <t>HUS0000337958</t>
  </si>
  <si>
    <t>EN CONCILIACION SE SUBSANA GLOSA POR FACTURACION DE CONSULTA DE URGENCIAS, NO OBSTANTE ESE HUS ACEPTA GLOSA PARCIAL POR VALOR DE $22 MVC, SE RECONOCE SEGÚN TARIFA SOAT UVT VIGENTE PARA LA FECHA DE PRESTACION DE SERVICIOS.
ASEGURADORA LEVANTA DIFERENCIA.</t>
  </si>
  <si>
    <t>EN CONCILIACION ESE HUS ACEPTA GLOSA POR $1,363,004 POR CONCEPTO DE ESTANCIA INACTIVA DEL 12 AL 15 CON APTO DE ANESTEISIA DESDE 09 Y EN MEJORIA DE TEJIDOS BLANDOS DE MAS DE 5 DIAS, CON PROGRAMACION DE TURNO QUIRURGICO PARA EL 16. INOPORTUNIDAD EN FRANJA QUIRURGICA.</t>
  </si>
  <si>
    <t>HUS0000317625</t>
  </si>
  <si>
    <t xml:space="preserve">EN CONCILIACION ESE HUS ACEPTA GLOSA PARCIAL POR $1,538,800 CORRESPONDIENTE A $691,900 POR CONCEPTO DE AJUSTE DE AYUDA DIAGNOSTICA TOMOGRAFIA DE ABDOMEN A ECOGRAFIA DE ABDOMEN COD:31109 EN ATENCION A LOS HALLAZGOS DESCRITOS AL EXAMEN FISICO DE INGRESO,  EL CUAL NO SOPORTA ESTUDIO REALIZADO, SE EVIDENCIA SOLICITUD NO ACORDE AL ADECUADO ESCALONAMIENTO Y RACIONALIDAD DEL USO DE LAS AYUDAS DIAGNOSTICAS, ADEMAS SEGÚN LOS FUNDAMENTOS DEL ATLS ESTABLECE QUE “FAST, eFAST y LPD son  Herramientas diagnósticas útiles para la detección rápida de sangrado intraabdominal, neumotórax y hemotórax. Su uso depende de la habilidad y experiencia del profesional médico PACIENTE NO CUMPLE CON CRITERIOS ESTABLECIDOS PARA LA TOMA DE ESTUDIO. ADEMAS SE EVIDENCIA QUE SE FACTURO TOMOGRAFIA DE ABDOMEN CON PROTOCOLO PARA TAVI NO PERTINENTE PARA EL PACIENTE DADO SU CLINICA Y HALLAZGOS.//$619,900 POR CONCEPTO DE AJUSTE DE AYUDA DIAGNOSTICA TOMOGRAFIA DE TORAX A RADIOGRAFIA DE TORAX COD:21201 EN ATENCION A LOS HALLAZGOS DESCRITOS AL EXAMEN FISICO DE INGRESO, EL CUAL NO SOPORTA ESTUDIO REALIZADO, SE EVIDENCIA SOLICITUD NO ACORDE AL ADECUADO ESCALONAMIENTO Y RACIONALIDAD DEL USO DE LAS AYUDAS DIAGNOSTICAS, ADEMAS SEGÚN LOS FUNDAMENTOS DEL ATLS ESTABLECE QUE “Las radiografías de tórax anteroposterior (AP) y de pelvis suelen brindar suficiente  Información para guiar la reanimación en pacientes con trauma cerrado. La radiografía de tórax puede mostrar lesiones potencialmente letales que requieran tratamiento o mayor investigación Y OTROS FACTORES LOS CUALES PACIENTE NO CUMPLE CON CRITERIOS ESTABLECIDOS PARA LA TOMA DE ESTUDIO. ///$227,000 POR MEDIOS DE CONTRASTE E INSUMOS UTILIZADOS EN TOMOGRAFIAS NO PERTINENTES. </t>
  </si>
  <si>
    <t>HUS0000310879</t>
  </si>
  <si>
    <t>EN CONCILIACION ESE HUS ACEPTA GLOSA PARCIAL POR $1,990,200 POR CONCEPTO DE: $40,500 ESTUDIO DE SODIO NO JUSTIFICADO EN HISTORIA CLINICA SEGÚN LO DESCRITO AL EXAMEN FISICO Y ANALISIS. // $15,300 ESTUDIO DE COOMBS NO JUSTIFICADO EN HISTORIA CLINICA SEGÚN LO DESCRITO AL EXAMEN FISICO Y ANALISIS NO REQUIRIO RESERVA DE HEMODERIVADOS.///$ 48,900 ESTUDIO DE POTASIO NO JUSTIFICADO EN HISTORIA CLINICA SEGÚN LO DESCRITO AL EXAMEN FISICO Y ANALISIS. $69,700 ESTUDIO DE PCR NO JUSTIFICADO EN HISTORIA CLINICA SEGÚN LO DESCRITO AL EXAMEN FISICO Y ANALISIS.// $1,815,800 POR CONCEPTO DE AJUSTE DE AYUDA DIAGNOSTICA TOMOGRAFIA DE COLUMNA DORSAL  A RADIOGRAFIA CERVICAL  COD:21140 EN ATENCION A LOS HALLAZGOS DESCRITOS AL EXAMEN FISICO DE INGRESO, ASI: CUELLO SIN DOLOR A LA PALPACION CERVICAL NI LIMITACION FUNCIONAL.  EL CUAL NO SOPORTA PERTRINENCIA DEL ESTUDIO REALIZADO, SE EVIDENCIA SOLICITUD NO ACORDE AL ADECUADO ESCALONAMIENTO Y RACIONALIDAD DEL USO DE LAS AYUDAS DIAGNOSTICAS, ADEMAS SEGÚN LOS FUNDAMENTOS DEL ATLS ESTABLECE QUE La evaluacion puede incluir radiografias y/o tomografias, las cuales deben ser revisadas por un medico con experiencia en la deteccion radiografica de fracturas de la columna cervical. La evaluacion radiografica puede no ser requerida en pacientes que cumplan con los siguientes parametros: National Emergency X-Radiography Utilization Study (NEXUS), Low-Risk Criteria (NLC) o Canadian C-Spine Rule (CCR). DADO LO ANTERIOR PACIENTE NO CUMPLE CON CRITERIOS DE NEXUS ESTABLECIDOS PARA LA TOMA DE ESTUDIO.
ASEGURADORA LEVANTA DIFERENCIA.</t>
  </si>
  <si>
    <t>EN CONCILIACION ESE HUS ACEPTA GLOSA PARCIAL POR $66,700 POR CONCEPTO DE: $48,500 HEMOCLASIFIACION GLOBULAR, NO PERTINENTE EN PACIENTE A QUIEN SE LE SOLICITO HEMOCLASIFICACION RH FACTURADA Y RECONOCIDA POR LA ENTIDAD. //$18,200 HEMOCLASIFIACION SERICA, NO PERTINENTE EN PACIENTE A QUIEN SE LE SOLICITO HEMOCLASIFICACION RH FACTURADA Y RECONOCIDA POR LA ENTIDAD./ ENTIDAD LEVANTA DIFERENCIA POR ESTUDIOS SOPORTADOS EN HISTORIA CLINICA.</t>
  </si>
  <si>
    <t>EN CONCILIACION ESE HUS ACEPTA GLOSA PARCIAL POR $1,363,200 POR CONCEPTO DE ESTANCIA INACTIVA DE LOS DIAS 7,8,9 Y 10 DE SEP. PACIENTE CON INDICACION DE PROCEDIMIENTO DESDE EL DIA 3, EN MANEJO DE TEJIDOS BLANDOS CON MEJORIA SEGÚN HISTORIA CLINICA EL DIA 6, Y LLEVADO AA PROCEDIMIENTO EL DIA 11. POR LOP TANTO DEL 7 AL 10 SIN JUSTIFICACION DE ESTANCIA INOPORTUNIDAD EN ASIGNACION DE FRANJA QUIRURGICA. ENTIDAD LEVANTA LA DIFERENCIA CORRESPONDIENTE A LOS DIAS 4,5 Y 6.
ASEGURADORA LEVANTA DIFERENCIA.</t>
  </si>
  <si>
    <t xml:space="preserve">EN CONCILIACION ESE HUS ACEPTA GLOSA POR $23,100 CORRESPONDIENTE A SUTURA, SE VERIFICA EN HC Y NO SE EVIDENCIA NOTA DE REALZIACION DE PROCEDIMIENTO, PESE A QUE SE DECSRIBE HERIDAS NO HAY NOTA DE HABER REALIZADO DICHO PROCEDIMIENTO PARA PODER AVALAR LA FACTURACION DEL MISMO. </t>
  </si>
  <si>
    <t>HUS0000381933</t>
  </si>
  <si>
    <t>TA23</t>
  </si>
  <si>
    <t>HUS0000394948</t>
  </si>
  <si>
    <t>HUS0000392309</t>
  </si>
  <si>
    <t>SO5801</t>
  </si>
  <si>
    <t>HUS0000394689</t>
  </si>
  <si>
    <t>HUS0000395217</t>
  </si>
  <si>
    <t>HUS0000382125</t>
  </si>
  <si>
    <t>VALOR YA ACEPTADO EN NOTA CREDITO NUMERO: 244711</t>
  </si>
  <si>
    <t>SO6102</t>
  </si>
  <si>
    <t>HUS0000402812</t>
  </si>
  <si>
    <t>HUS0000395678</t>
  </si>
  <si>
    <t>HUS0000403566</t>
  </si>
  <si>
    <t>EN CONCILIACION SE SUBSANA GLOSA POR SOPORTE EN MAOS, NO OBSTANTE ESE HUS ACEPTA GLOSA PARCIAL POR VALOR DE $6.688 MVC EN FMO01501 - ALAMBRE DE 0.4 MM ROLLO DE 10 MTS, SE RECONOCE SEGÚN FACTURA DE COMPRA NUMERO PR-14011 DE LA CASA ORTOPEDICA "JAIMES RUEDA Y COMPAÑIA PRECIMEC SAS".
ASEGURADORA LEVANTA RESTANTE.</t>
  </si>
  <si>
    <t>HUS0000399290</t>
  </si>
  <si>
    <t>EN  CONCILIACION ESE HUS ACEPTA GLOSA POR $1 POR MOTIVO DE SUPERACION DE TOPE, DE COBERTURA POLIZA SOAT.</t>
  </si>
  <si>
    <t>HUS0000406700</t>
  </si>
  <si>
    <t>VALOR ACEPTADO EN NOTA CREDITO NUMERO: 191484</t>
  </si>
  <si>
    <t>HUS0000409077</t>
  </si>
  <si>
    <t>EN CONCILIACION ESE HUS ACEPTA GLOSA PARCIAL POR $100 MVC EN 21102 - RX  BRAZO PIERNA RODILLA FEMUR HOMBRO OMOPLATO, SE RECONOCE APLICACIÓN DE TARIFAS SEUN CIRCULAR 025 DE 2024.
ASEGURADORA LEVANTA DIFERENCIA.</t>
  </si>
  <si>
    <t>EN CONCILIACION ESE HUS ACEPTA GLOSA POR $100 MVC EN CONSULTA DE URGENCIAS, SE RECONOCE APLICACIÓN DE TARIFAS SEUN CIRCULAR 025 DE 2024.</t>
  </si>
  <si>
    <t>HUS0000412865</t>
  </si>
  <si>
    <t>HUS0000424833</t>
  </si>
  <si>
    <t>EN CONCILIACION ESE HUS ACEPTA GLOSA PARCIAL POR $100 MVC EN 21102 - RX BRAZO, PIERNA, RODILLA, FÉMUR, HOMBRO, OMOPLATO, SE RECONOCE APLICACIÓN DE TARIFAS SEUN CIRCULAR 025 DE 2024.
ASEGURADORA LEVANTA DIFERNCIA.</t>
  </si>
  <si>
    <t>HUS0000412666</t>
  </si>
  <si>
    <t xml:space="preserve">EN CONCILIACION ESE HUS ACEPTA GLOSA PARCIAL POR VALOR DE $44.280 ASI:
$3.600 - CANULA DE GUEDEL 5 MM #1, INSUMO INCLUIDOS EN DERECHOS DE SALA  Y/O MATERIALES DEL PROCEDIMIENTO QUIRURGICO, SEGUN DECRETO 2423/96.
$25.520 - SISTEMA CERRADO CON GEL SOLIDIFICANTE DE SUCCION ADULTO 3000ML #1, INSUMO INCLUIDOS EN DERECHOS DE SALA  Y/O MATERIALES DEL PROCEDIMIENTO QUIRURGICO, SEGUN DECRETO 2423/96.
$5.400  - CANULA NASAL PARA OXIGENO #1, INSUMO INCLUIDOS EN DERECHOS DE SALA  Y/O MATERIALES DEL PROCEDIMIENTO QUIRURGICO, SEGUN DECRETO 2423/96.
$10.300 CANULA YANKAUER TIPO BULBO #1, INSUMO INCLUIDOS EN DERECHOS DE SALA  Y/O MATERIALES DEL PROCEDIMIENTO QUIRURGICO, SEGUN DECRETO 2423/96.
ASEGURADORA LEVANTA DIFERENCIA.
</t>
  </si>
  <si>
    <t>HUS0000282784</t>
  </si>
  <si>
    <t>EN CONCILIACION ESE HUS ACEPTA GLOSA POR VALOR DE $1.801.000 POR DOBLE CONCEPTO ASI:
$55.500 - CORRESPONDIENTE A ESTUDIO  RASTREO DE ANTICUERPOS NO PERTINENTE EN PACIENTE QUIEN NO REQUIRIO TRANSFUSION SOLICITADO AL INGRESO SIN UNA INDICACION DE RESERVA DE HEMODERIVADOS. 
$1.745.500 POR AJUSTE ENTRE TAC CON PROTOCOLO TAVI POR TAC DE ABDOMEN CONTRASTADO SEGUN INDICACION MEDICA.</t>
  </si>
  <si>
    <t>608</t>
  </si>
  <si>
    <t>HUS0000389341</t>
  </si>
  <si>
    <t>HUS0000434664</t>
  </si>
  <si>
    <t>VALOR ACEPTADO EN NOTA CREDITO NUMERO: 218630</t>
  </si>
  <si>
    <t>HUS0000435086</t>
  </si>
  <si>
    <t>HUS0000435660</t>
  </si>
  <si>
    <t>EN CONCILIACION ESE HUS ACEPTA GLOSA PARCIAL POR $100 MVC EN 21102 - RX BRAZO PIERNA RODILLA FEMUR HOMBRO OMOPLATO, SE RECONOCE APLICACIÓN DE TARIFA SEGÚN CIRCULAR 025 DE 2024.
ASEGURADORA LEVANTA DIFERENCIA.</t>
  </si>
  <si>
    <t>HUS0000448910</t>
  </si>
  <si>
    <t>CL5701</t>
  </si>
  <si>
    <t>HUS0000457350</t>
  </si>
  <si>
    <t>EN CONCILIACION ESE HUS ACEPTA GLOSA POR $39 MVC EN 39143 - CONSULTA AMBULATORIA DE MEDICINA ESPECIALIZADA, SE RECONOCE TARIFA SEGÚN SOAT UVT VIGENTE PARA LA FECHA DE PRESTACION DEL SERVICIOS.</t>
  </si>
  <si>
    <t>DE1601</t>
  </si>
  <si>
    <t>HUS0000454058</t>
  </si>
  <si>
    <t>HUS0000457303</t>
  </si>
  <si>
    <t>EN CONCILIACION SE APLICA NOTA CREDITO POR VALOR DE $43.200 PARA REFACTURAR AL ADRES, POR MOTIVO DE AGOTAMIENTO DE COBERTURA POLIZA SOAT.</t>
  </si>
  <si>
    <t>HUS0000448534</t>
  </si>
  <si>
    <t>VALOR ACEPTADO EN NOTA CREDITO NUMERO: 244714</t>
  </si>
  <si>
    <t>HUS0000450636</t>
  </si>
  <si>
    <t>EN CONCILIACION ESE HUS ACEPTA GLOSA POR VALOR DE $5.500 POR FACTURACION DE INSUMO (CANULA NASAL), INCLUIDO EN MATERIALES DE CIRUGIA SEGÚN DECRETO 2423/96.</t>
  </si>
  <si>
    <t>HUS0000454175</t>
  </si>
  <si>
    <t>EN CONCILIACION SE APLICA NOTA CREDITO POR VALOR DE $59.299 PARA REFACTURAR AL ADRES, POR MOTIVO DE AGOTAMIENTO DE COBERTURA POLIZA SOAT.</t>
  </si>
  <si>
    <t>HUS0000427849</t>
  </si>
  <si>
    <t>HUS0000429557</t>
  </si>
  <si>
    <t>HUS0000430233</t>
  </si>
  <si>
    <t>HUS0000430628</t>
  </si>
  <si>
    <t>HUS0000457548</t>
  </si>
  <si>
    <t>EN CONCILIACION SE APLICA NOTA CREDITO POR VALOR DE $11.398.419 PARA REFACTURAR AL ADRES, POR MOTIVO DE AGOTAMIENTO DE COBERTURA POLIZA SOAT.</t>
  </si>
  <si>
    <t>CO2301</t>
  </si>
  <si>
    <t>HUS0000457561</t>
  </si>
  <si>
    <t>EN CONCILIACION SE APLICA NOTA CREDITO POR VALOR DE $10.667.725 PARA REFACTURAR AL ADRES, POR MOTIVO DE AGOTAMIENTO DE COBERTURA POLIZA SOAT.</t>
  </si>
  <si>
    <t>HUS0000457659</t>
  </si>
  <si>
    <t>EN CONCILIACION SE APLICA NOTA CREDITO POR VALOR DE $11.423.007 PARA REFACTURAR AL ADRES, POR MOTIVO DE AGOTAMIENTO DE COBERTURA POLIZA SOAT.</t>
  </si>
  <si>
    <t>HUS0000457876</t>
  </si>
  <si>
    <t xml:space="preserve">VALOR ACEPTADO EN NOTA CREDITO NUMERO: 244710
	</t>
  </si>
  <si>
    <t>HUS0000425989</t>
  </si>
  <si>
    <t>HUS0000417038</t>
  </si>
  <si>
    <t>VALOR ACEPTADO EN NOTA CREDITO NUMERO: 244707</t>
  </si>
  <si>
    <t>HUS0000415486</t>
  </si>
  <si>
    <t>VALOR ACEPTADO EN NOTA CREDITO NUMERO: 244712</t>
  </si>
  <si>
    <t>HUS0000418683</t>
  </si>
  <si>
    <t>VALOR ACEPTADO EN NOTA CREDITO NUMERO: 244713</t>
  </si>
  <si>
    <t>HUS0000415707</t>
  </si>
  <si>
    <t>HUS0000463250</t>
  </si>
  <si>
    <t>SEGUROS DEL ESTADO S.A SOAT</t>
  </si>
  <si>
    <t xml:space="preserve">EN CONCILIACION ESE HUS ACEPTA GLOSA POR VALOR $11.300 POR CONCEPTO DE MVC EN CODIGO 31303 DE ACUERDO A LA CIRCULAR 025 </t>
  </si>
  <si>
    <t>HUS0000448044</t>
  </si>
  <si>
    <t>EN CONCILIACION ASEGURADORA LEVANTA GLOSA</t>
  </si>
  <si>
    <t>HUS0000464470</t>
  </si>
  <si>
    <t>EN CONCILIACION ESE HUS ACEPTA GLOSA POR VALOR $28.300 POR CONCEPTO DE AYUDA DIAGNOSTICA AMILASA,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</si>
  <si>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EN CONCILIACION ESE HUS ACEPTA GLOSA POR VALOR $55.600 POR CONCEPTO DE AYUDA DIAGNOSTICA LIPASA,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</si>
  <si>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EN CONCILIACION ESE HUS ACEPTA GLOSA POR VALOR $37.900 POR CONCEPTO DE AYUDA DIAGNOSTICA TRANSAMINASA OXALACETICA,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</si>
  <si>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EN CONCILIACION ESE HUS ACEPTA GLOSA POR VALOR $2.963 POR MVC EN MEDICAMENTO DE ACUERDO A PRECIO PROMEDIO DEL MERCADO.</t>
  </si>
  <si>
    <t>EN CONCILIACION ESE HUS ACEPTA GLOSA PARCIAL POR VALOR $23.142 POR MVC EN MEDICAMENTO DE ACUERDO A PRECIO PROMEDIO DEL MERCADO.
ASEGURADORA LEVANTA EL RESTANTE</t>
  </si>
  <si>
    <t>EN CONCILIACION ESE HUS ACEPTA GLOSA PARCIAL POR VALOR $11.571 POR MVC EN MEDICAMENTO, DE ACUERDO A PRECIO PROMEDIO DEL MERCADO.
ASEGURADORA LEVANTA EL RESTANTE</t>
  </si>
  <si>
    <t>HUS0000434639</t>
  </si>
  <si>
    <t>EN CONCILIACION SE ACEPTA POR VALOR $6.800 POR CONCEPTO DE MVC EN TROMBOPLASTINA TIEMPO PARCIAL (PTT), SE VALIDA FURIPS EL CUAL EL CODIGO INGRESADO CORRESPONDE AL 19953 Y NO CODIGO 19958.</t>
  </si>
  <si>
    <t>EN CONCILIACION ESE HUS ACEPTA GLOSA POR VALOR $37.900 POR CONCEPTO DE AYUDA DIAGNOSTICA TRANSAMINASA PIRUVICA,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</si>
  <si>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EN CONCILIACION ESE HUS ACEPTA GLOSA POR VALOR $2.004 POR MVC EN MEDICAMENTO DE ACUERDO A PRECIO PROMEDIO DEL MERCADO.</t>
  </si>
  <si>
    <t>EN CONCILIACION ESE HUS ACEPTA GLOSA POR VALOR $17.400 POR CONCEPTO DE AYUDA DIAGNOSTICA NITROGENO UREICO,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</si>
  <si>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EN CONCILIACION QUEDA RATIFICADO VALOR DE $998.400 ESE HUS NO ACEPTA GLOSA DE TOMOGRAFIA DE ABDOMEN TOTAL, PERTINENTE Y JUSTIFICADA DE ACUERDO HALLAZGOS DESCRITOS EN LA HISTORIA CLINICIA, MASCULINO DE 48 AÑOS, SIN ANTECEDENTES CONOCIDOS. CON CUADRO DEL 26/06/2025 A LAS 08:00 HR APRO CARACTERIZADO POR ACCIDENTE EN CALIDAD DE CONDUCTOR DE MOTO, REFIERE SUFRE TCE CON PERDIDA DE LA CONSCIENCIA DE TIEMPO INDETERMINADO CON RECUPERACION EXPONTANEA, TRAUMA TORACOABDOMINAL CERRADO Y TRAUMA EN MIMEBRO INFERIOR DERECHO. MANEJADO EN MENOR NIVEL DE COMPLEJIDAD (HOSPITAL LOCLA DEL NORTE) DONDE CONSDIERAN PACIENTE EN CONTEXTO DE POLITRAUMATISMO DE ALTA ENERGIA CON FRACTURA EXPUESTA DE TOBILLO DERECHO. INGRESA PACIENTE EN CAMILLA DE TRASLADO, ESTABLE HEMODINAMICAMENTE, DESATURADO CON REQUERIMIENTO DE OXIGENO A ALTO FLUJO, ALGICO. CON HALLAZGOS DESCRITOS AL EXAMEN FISICO, SE VALORA EN CONJUNTO CON URGENCIOLOGA DE TURNO DRA. QUINTERO QUIEN DADO CONTEXTO DE ACCIDENTE DE ALTA ENERGIA ORDENA TOMA DE ESTUDIO TIPO BODYTAC PARA DESCARTAR LESIONES ORGANICAS. AL EXAMEN FISICO ABDOMEN - LEVEMENTE DOLOROSO A LA PALPACION DE HEMIABDOMEN DERECHO, CON ABRASION POR FRICCION EN FALNCO, PACIENTE EN AMNEJO INTEGRAL. ASEGURADORA INDICA QUE RECONOCE UNA ECOGRAFIA Y RATIFICA EL RESTANTE POR CONCEPTO INICIAL</t>
  </si>
  <si>
    <t>EN CONCILIACION ESE HUS ACEPTA GLOSA POR VALOR $20.900 POR CONCEPTO DE AYUDA DIAGNOSTICA NITROGENO UREICO,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</si>
  <si>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EN CONCILIACION QUEDA RATIFICADO VALOR DE $758.700. ESE HUS NO ACEPTA GLOSA DE TOMOGRAFIA DE TORAX, PERTINENTE Y JSUTIFICADA DE ACUERDO HALLAZGOS DESCRITOS EN LA HISTORIA CLINICIA, MASCULINO DE 48 AÑOS, SIN ANTECEDENTES CONOCIDOS. CON CUADRO DEL 26/06/2025 A LAS 08:00 HR APRO CARACTERIZADO POR ACCIDENTE EN CALIDAD DE CONDUCTOR DE MOTO, REFIERE SUFRE TCE CON PERDIDA DE LA CONSCIENCIA DE TIEMPO INDETERMINADO CON RECUPERACION EXPONTANEA, TRAUMA TORACOABDOMINAL CERRADO YTRAUMA EN MIMEBRO INFERIOR DERECHO. MANEJADO EN MENOR NIVEL DE COMPLEJIDAD (HOSPITAL LOCLA DEL NORTE) DONDE CONSDIERAN PACIENTE EN CONTEXTO DE POLITRAUMATISMO DE ALTA ENERGIA CON FRACTURA EXPUESTA DE TOBILLO DERECHO. INGRESA PACIENTE EN CAMILLA DE TRASLADO, ESTABLE HEMODINAMICAMENTE, DESATURADO CON REQUERIMIENTO DE OXIGENO A ALTO FLUJO, ALGICO. CON HALLAZGOS DESCRITOS AL EXAMEN FISICO, SE VALORA EN CONJUNTO CON URGENCIOLOGA DE TURNO DRA. QUINTERO QUIEN DADO CONTEXTO DE ACCIDENTE DE ALTA ENERGIA ORDENA TOMA DE ESTUDIO TIPO BODYTAC PARA DESCARTAR LESIONES ORGANICAS. AL EXAMEN FISICO ATORAX - CON EVIDENCIA DE ABRASIONES POR FRICCION EN TORAX ANTERIOR, DOLOROSO A LA PALPACION DE REJA COSTAL QUE SE INTENSIFICA CON LA INSPIRACION., PACIENTE EN MANEJO INTEGRAL. ASEGURADORA MANTIENE GLOSA POR MOTIVO INICIAL</t>
  </si>
  <si>
    <t>EN CONCILIACION ESE HUS ACEPTA GLOSA POR VALOR $23.100 POR CONCEPTO DE AYUDA DIAGNOSTICA PARCIAL DE ORINA, NO PERTINENTE, NO JUSTIFICADA DE ACUERDO HALLAZGOS DE INGRESO, ADEMAS NO SE EVIDENCIA JUSTIFICACION PARA SU REALIZACION, PACIENTE MASCULINO, ESCOLAR DE 6 AÑOS, REMITIDO DE CLINICA REINA LUCIA DE BARRANCABERMEJA,  CON MAS DE 48 HORAS DESDE EL EVENTO INICIAL, INGRESA EN CONTEXTO DE ACCIDENTE DE TRÁNSITO EN CALIDAD DE PARRILLERO, SIN CASCO, OCURRIDO EL 29/07 A LAS 17+00 HORAS, MREFIERE LA MADRE QUE POR MAL ESTADO DE LA VÍA SUFREN CAÍDA EN DIRECCIÓN FRONTAL, CON POSTERIOR IMPACTO EN REGIÓN FACIAL, CON VARIAS LACERACIONES A NIVEL FRONTAL, Y EPISTAXIS MASIVA.ADEMÁS REFIERE DOLOR EN MANO DERECHA. NIEGA OTROS TRAUMAS, NIEGA PERDIDA DE LA CONCIENCIA, NIEGA MOVIEMINTOS ANORMALES. INGRESA A UNIDAD EN BARRANCA DONDE TOMAN RADIOGRAFÍA DE CARA Y DE MANO. REMITEN A NUESTRA INSTITUCIÓN. EXAMEN FÍSICO PACIENTE ESTABLE HEMODINÁMICAMENTE, SIN SIGNOS DE DIFICULTAD RESPIRATORIA, SIN SIGNOS DE IRRITACIÓN PERITONEAL, RINOSCOPIA CONESTIGMAS DE SANGRADO, DOLOROSA A LA PALPACIÓN, OTOSCOPIA BILATERAL NORMAL. OJO DERECHO CON EDEMA Y ERITEMA PALPEBRAL, EDEMA EN LABIO SUPERIOR CON LESIÓN DE 1.5 CM, DOLOROSO A LA PALPACIÓN, EN LABIO INFERIOR CON LESIONES CAUSADAS POR SU PROPIA DENTADURA, ESCALA DE GLASGOW 15/15, EXAMEN NEURÓLOGO NORMAL, PACIENTE SIN HALLAZGOS DE TRAUMA ABDOMINAL O DE TORAX QUE AMERITE LA REALIZACION DE ESTAS AYUDAS DIAGNOSTICAS.</t>
  </si>
  <si>
    <t xml:space="preserve">EN CONCILIACION ESE HUS ACEPTA GLOSA POR VALOR $115.500 POR CONCEPTO DE SERVICIOS DE ANESTESIOLOGIA EN PROCEDIMIENTO DE  DESBRIDAMIENTO POR LESION DE TEJIDOS PROFUNDOS MAS DEL CINCO POR CIENTO AREA. INCLUIDO EN PROCEDIMIENTO MAYOR , COLGAJO MUSCULAR MIOCUTANEO Y FASCIOCUTANEO. </t>
  </si>
  <si>
    <t>EN CONCILIACION ESE HUS ACEPTA GLOSA POR VALOR $64.400 POR CONCEPTO DE EQUIPO EN Y PARA IRRIGACION TUR, INSUMO NO FACTURABLE INCLUIDO EN DERECHOS DE SALA EN PROCEDIMIENTO QUIRURGICO.</t>
  </si>
  <si>
    <t>CO0601</t>
  </si>
  <si>
    <t xml:space="preserve">EN CONCILIACION ESE HUS ACEPTA GLOSA POR VALOR $51.900 POR CONCEPTO DE SERVICIOS DE AYUDANTIA  EN PROCEDIMIENTO DE  DESBRIDAMIENTO POR LESION DE TEJIDOS PROFUNDOS MAS DEL CINCO POR CIENTO AREA. INCLUIDO EN PROCEDIMIENTO MAYOR , COLGAJO MUSCULAR MIOCUTANEO Y FASCIOCUTANEO. </t>
  </si>
  <si>
    <t>EN CONCILIACION QUEDA RATIFICADO VALOR DE $100.700 POR SALA DE YESO, SE ANEXA SOPORTE DE SALA DE YESO. VER FOLIO 16, POR LO QUE ES FACTURABLE Y PERTINENTE.
ASEGURADORA INDICA QUE SE REALIZO UNA FERULA, EL CUAL NO RECONOCE SALA DE YESO.</t>
  </si>
  <si>
    <t xml:space="preserve">EN CONCILIACION ESE HUS ACEPTA GLOSA POR VALOR $195.900 POR CONCEPTO DE SERVICIOS DE CIRUJANO  EN PROCEDIMIENTO DE  DESBRIDAMIENTO POR LESION DE TEJIDOS PROFUNDOS MAS DEL CINCO POR CIENTO AREA. INCLUIDO EN PROCEDIMIENTO MAYOR , COLGAJO MUSCULAR MIOCUTANEO Y FASCIOCUTANEO. </t>
  </si>
  <si>
    <t>EN CONCILIACION ESE HUS NO LEVANTA OBJECION POR CONSULTA DE URGENCIA,PACIENTE REMITIDO. EL CUAL ES FACTURABLE Y PERTINENTE.
ASEGURADORA MANTIENE GLOSA POR MOTIVO INICIAL</t>
  </si>
  <si>
    <t>HUS0000353530</t>
  </si>
  <si>
    <t>AXA COLPATRIA SEGUROS DE VIDA S.A. ARL</t>
  </si>
  <si>
    <t>EN CONCILIACION ESE HUS ACEPTA GLOSA POR$ 170.700 CORRESPONDIENTE A SALA DE OBSERVACION,  UNA VEZ VERIFICADA LA HISTORIA CLINICA SE EVIDENCIA PACIENTE INGRESA RECIBE ATENCION TOMAN PARACLINICOS Y DAN EGRESO CON UNA ATNECION EN 2 HORAS Y MEDIA, Y VERIFICADOS LOS SOPORTES DE ENFERMERIA NO HAY REGISTRO TRASLADO DE PACIENTE O UBICACION EN CUBICULO, NO FUE CANALIZADO NI RECIBIO MEDICACION QUE SOPORTE SU ESTANCIA EN OBSERVACION.</t>
  </si>
  <si>
    <t>HUS0000362135</t>
  </si>
  <si>
    <t>HUS0000363722</t>
  </si>
  <si>
    <t>HUS0000442553</t>
  </si>
  <si>
    <t>HUS0000444126</t>
  </si>
  <si>
    <t>EN CONCILIACION ESE HUS ACEPTA GLOSA PARCIAL POR $6.700 CORRESPONDIENTE A MVC DE  INTERNACION ADULTOS COMP DE ACUERDO A LA CIRCULAR 025
ASEGURADORA LEVANTA EL RESTANTE</t>
  </si>
  <si>
    <t>HUS0000447362</t>
  </si>
  <si>
    <t xml:space="preserve">EN CONCILIACION ESE HUS ACEPTA GLOSA POR VALOR $4.200 EN FACTURACION CORRESPONDIENTE A FENTANILO CITRATO 0.05mgmL AM POR ENCONTRARSE INCLUIDOS EN LOS DERECHOS DE SALA
</t>
  </si>
  <si>
    <t>FA0705</t>
  </si>
  <si>
    <t xml:space="preserve">EN CONCILIACION SE ACEPTA GLOSA POR$ 797.200 POR LA ESTANCIA DE LOS 19 Y 20 SIN SOPORTE DE AUTORIZACION, CON TRAMITE REALIZADO FUERA DE LOS TIEMPOS PESE A LA INDICACION POR PARTE DE LA ARL SOBRE LA CONTINUIDAD DE LOS SERVICIOS.  </t>
  </si>
  <si>
    <t>AU0101</t>
  </si>
  <si>
    <t>HUS0000098290</t>
  </si>
  <si>
    <t>EN CONCILIACION ESE HUS ACEPTA GLOSA PARCIAL POR VALOR $1.371.500 POR RELIQUIDACION DE PROCEDIMIENTO NEURORRAFIA DE UN NERVIO DE BRAZO, NO PERTINENTE SU FACTURACION COMO PROCEDIMIENTO PRINCIPAL, ADEMAS NO CORRESPONDE A HALLAZGO QUIRURGICO, FUE REALIZADO POR EL CIRUJANO CON EL FIN DE PODER GARANTIZAR EXITO DEL PROCEDIMIENTO PRINCIPAL. ENTIDAD LEVANTA EL RESTANTE</t>
  </si>
  <si>
    <t>HUS0000101764</t>
  </si>
  <si>
    <t xml:space="preserve">EN CONCILIACION ESE HUS ACEPTA GLOSA POR VALOR $8.100 EN MASCARILLAS NO FACTURABLES YA QUE HACEN PARTE DE LOS PROTOCOLOS DE BIOSEGURIDAD INCLUIDO EN LA ESTANCIA (HABILITACIÓN).  </t>
  </si>
  <si>
    <t>HUS0000103575</t>
  </si>
  <si>
    <t>EN CONCILIACION ESE HUS ACEPTA GLOSA PARCIAL POR VALOR $2.713.646 CORRESPONDIENTES A: $1.722.446 MVC TARIFAS MATERIAL DE OSTEOSINTESIS SE RECONOCE SEGUN FACTURA DE COMPRA + 10% DE ACUERDO A LA RESOLUCION 15997.  $991.200 CORRESPONDIENTE A 4 DIAS DE ESTANCIA INACTIVA INJUSTIFICADA (1,2,3,4) PACIENTE CON INDICACION DE PROCEDIMIENTO Y SOLICITUD DE MAOS EL DIA 29, CON APTO DE ANESTESIA DEL DIA 30, EL DIA 31 NO SE CONSIDERA ESTANCIA INACTIVA YA QUE SE ENCUENTRA ENTRE LOS TIEMPOS PARA LA CONSECUSION DEL MAOS 48 A 72 SEGUN LA COMPLEJIDAD DEL MATERIAL . PACIENTE LLEVADO A PROCEDIMIENTO EL DIA 5, POR LO ANTERIOR SE ACEPTA GLOSA POR LOS DIAS YA MENCIONADOS. ENTIDAD LEVANTA RESTANTE</t>
  </si>
  <si>
    <t>HUS0000105333</t>
  </si>
  <si>
    <t>EN CONCILIACION ESE HUS ACEPTA GLOSA PARCIAL POR VALOR $29.037 CORRESPONDIENTE A: MVC EN (4) PIPERACILINA TAZOBACTAM AMP SE AJUSTA A TARIFAS PROMEDIO DEL MERCADO, DE ACUERDO A LA RESOLUCION 15997. ENTIDAD LEVANTA RESTANTE.
EN CONCILIACION ESE HUS RATIFICA GLOSA POR VALOR $3.183.643 CORRESPONDIENTE AL COBRO DE LOS SIGUIENTES INSUMOS (TIJERAS, DISECTOR, PINZA) BASADOS EN LA FICHA TÉCNICA QUE SE ADJUNTA COMO SOPORTE INTEGRAL DE ESTA RESPUESTA, SE DEMUESTRA QUE EL DISPOSITIVO ES DE CARÁCTER NO REUTILIZABLE. ENTIDAD RATIFICA GLOSA POR MOTIVO INICIAL</t>
  </si>
  <si>
    <t>HUS0000105614</t>
  </si>
  <si>
    <t>EN CONCILIACION ESE HUS ACEPTA GLOSA POR VALOR $443.235 MVC EN MEDICAMENTO (15) MEROPENEM AMP 1 GR, MEDICAMENTO REGULADO EN CIRUCULAR 12/2021 DE LA COMISION NACIONAL DE PRECIOS DE MEDICAMENTOS Y DISPOSITIVOS MEDICOS, SE VERIFICAN VALORES Y ACEPTA LA DIFERENCIA.</t>
  </si>
  <si>
    <t>HUS0000108576</t>
  </si>
  <si>
    <t xml:space="preserve">EN CONCILIACION ESE HUS ACEPTA GLOSA POR VALOR $64.800 EN MASCARILLAS NO FACTURABLES YA QUE HACEN PARTE DE LOS PROTOCOLOS DE BIOSEGURIDAD INCLUIDO EN LA ESTANCIA (HABILITACIÓN).  </t>
  </si>
  <si>
    <t>HUS0000110941</t>
  </si>
  <si>
    <t>EN CONCILIACION ESE HUS ACEPTA GLOSA PARCIAL POR VALOR $1.937.359 CORRESPONDIENTE A: $991.200 (4) DIAS DE ESTANCIA INACTIVA INJUSTIFICADA POR INOPORTUNIDAD EN ASIGNACION DE FRANJA QUIRURGICA DE LOS DIAS 23 AL 28 ENERO. PACIENTE INGRESA EL DIA 20, EL DIA 22 CON APTO DE ANESTESIA Y SOLICITUD DE MAOS, PACIENTE A QUIEN SE LE PROGRAMA PROCEDIMIENTO PARA EL DIA 29, EN EVOLUCIONES SIN CAMBIOS NI INTERVENCIONES QUE JUSTIFIQUEN NO INTERVENCION O ASIGNACION DE FRANJA QUIRURGICA. $946.159 MVC TARIFAS MATERIAL DE OSTEOSINTESIS SE RECONOCE SEGUN FACTURA DE COMPRA + 10% DE ACUERDO A LA RESOLUCION 15997. ENTIDAD LEVANTA RESTANTE.</t>
  </si>
  <si>
    <t>HUS0000113725</t>
  </si>
  <si>
    <t>EN CONCILIACION ESE HUS ACEPTA GLOSA PARCIAL POR VALOR $1.750.020 CORRESPONDIENTE A: MVC EN ACETAZOLAMIDA TAB DE 250 MG SE AJUSTA A TARIFAS PROMEDIO DEL MERCADO, DE ACUERDO A LA RESOLUCION 15997. ENTIDAD LEVANTA RESTANTE.</t>
  </si>
  <si>
    <t>HUS0000082252</t>
  </si>
  <si>
    <t>HUS0000082279</t>
  </si>
  <si>
    <t>HUS0000082300</t>
  </si>
  <si>
    <t>HUS0000082367</t>
  </si>
  <si>
    <t>HUS0000086779</t>
  </si>
  <si>
    <t>EN CONCILIACION ESE HUS ACEPTA GLOSA TOTAL POR VALOR DE $80.800 PARA REFACTURAR POR PARTICULAR, TENIENDO EN CUENTA QUE EL USUARIO, PARA LA FECHA DE LA ATENCIÓN (25/10/2021), FIGURA ACTIVA EN EL SISBÉN DESDE EL 13/09/2019; POR LO TANTO, EL COBRO NO CORRESPONDE A LA SSS.</t>
  </si>
  <si>
    <t>HUS0000086809</t>
  </si>
  <si>
    <t>HUS0000086887</t>
  </si>
  <si>
    <t>HUS0000088936</t>
  </si>
  <si>
    <t>HUS0000093468</t>
  </si>
  <si>
    <t>HUS0000095861</t>
  </si>
  <si>
    <t>HUS0000095988</t>
  </si>
  <si>
    <t>HUS0000097568</t>
  </si>
  <si>
    <t>HUS0000122085</t>
  </si>
  <si>
    <t>HUS0000125028</t>
  </si>
  <si>
    <t>HUS0000125841</t>
  </si>
  <si>
    <t>HUS0000127764</t>
  </si>
  <si>
    <t>HUS0000127779</t>
  </si>
  <si>
    <t>HUS0000127935</t>
  </si>
  <si>
    <t>HUS0000129128</t>
  </si>
  <si>
    <t>HUS0000132095</t>
  </si>
  <si>
    <t>HUS0000132143</t>
  </si>
  <si>
    <t>HUS0000188948</t>
  </si>
  <si>
    <t>EN CONCILIACION ESE HUS ACEPTA GLOSA PARCIAL $242.370 CORRESPONDIENTE A MVC EN CULTIVO BK SE AJUSTA A CODIGO 19734 POR MANUAL DEC 2423/96 VIGENCIA 2023-10%, SEGÚN RESOLUCION 15997 DE 2017. ENTIDAD LEVANTA LA DIFERENCIA</t>
  </si>
  <si>
    <t>HUS0000189073</t>
  </si>
  <si>
    <t>HUS0000189200</t>
  </si>
  <si>
    <t>SSS RATIFICA GLOSA INICIALMENTE FORMULADA, SE DEVUELVE TOTAL FACTURA POR BD Y POR COBERTURA USUARIO REGISTRA CON DNP EN BUCARAMANGA PARA LA FECHA DE ATENCION POR LO TANTO NO CORRESPONDE A LA COBERTURA DECRETO 866., ESE HUS NO ACEPTA GLOSA POR FACTURACION - USUARIO O SERVICIO CORRESPONDE A OTRO PLAN O RESPONSABLE. SE CONSULTA PAGINA DEL DNP Y PACIENTE NO REGISTRA CON SISBEN DE BUCARAMANGA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</si>
  <si>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HUS0000189395</t>
  </si>
  <si>
    <t>HUS0000192140</t>
  </si>
  <si>
    <t>HUS0000196557</t>
  </si>
  <si>
    <t>EN CONCILIACION ESE HUS ACEPTA GLOSA PARCIAL POR VALOR $11.803.623 CORRESPONDIENTE A: $11.401.931 MVC EN PROCEDIMIENTO (Maxilectomía superior) SE AJUSTA A CODIGO 3469 SEGÚN MANUAL TARIFARIO SOAT DEC 2423 DE 1996. SEGÚN RESOLUCION 15997 DE 2017. $298.020 MVC EN CATETER IMPLANTOFIX PEDIATRICO SE AJUSTA A TARIFAS PROMEDIO DEL MERCADO, DE ACUERDO A LA RESOLUCION 15997. $103.672 MVC EN MEDICAMENTO (2) DOXORRUBICINA AMP X 50 MG , MEDICAMENTO REGULADO EN CIRUCULAR 13/2022 DE LA COMISION NACIONAL DE PRECIOS DE MEDICAMENTOS Y DISPOSITIVOS MEDICOS, SE VERIFICAN VALORES Y ACEPTA LA DIFERENCIA. ENTIDAD LEVANTA LA DIFERENCIA</t>
  </si>
  <si>
    <t>HUS0000196724</t>
  </si>
  <si>
    <t>EN CONCILIACION ESE HUS ACEPTA GLOSA POR VALOR $186.600 CORRESPONDIENTE APLICACIÓN DE HEMODERIVADOS NO FACTURABLES REALIZADO POR PERSONAL DE ENFERMERÍA INCLUIDA EN LA ESTANCIA.</t>
  </si>
  <si>
    <t>HUS0000201358</t>
  </si>
  <si>
    <t>EN CONCILIACION ESE HUS ACEPTA GLOSA PARCIAL POR VALOR $1.598.600 CORRESPONDIENTE A 2 DIAS DE ESTANCIA EN UCI NO PERTINENTE, PACIENTE NO CUMPLE CRITERIOS PARA CUIDADO INTENSIVO SE HOMOLOGA A CUIDADO INTERMEDIO, BASADOS EN LOS CRTIERIOS DE INGRESO Y EGRESO DE UCI DEL CONSENSO AMCI DE 2022. ENTIDAD LEVANTA LA DIFERENCIA</t>
  </si>
  <si>
    <t>HUS0000257482</t>
  </si>
  <si>
    <t>EN CONCILIACION ESE HUS ACEPTA GLOSA PARCIAL POR VALOR $181.500 POR AJUSTE DE ESTANCIA 4 CAMAS A SALA DE OBSERVACION TENIENDO EN CUENTA REVISION DE HISTORIA CLINICA PACIENTE A QUIEN SE LE SOLICITO PARACLINICOS BASICOS Y ECOGRAFIA Y SE DA EGRESO LO REALIZADO NO AMERITA ESTANCIA SUPERIOR A 6 HORAS, POR LO TANTO SE CONSIDERA PERTINENTE AJUSTE REALIZADO. ENTIDAD LEVANTA LA DIFERENCIA</t>
  </si>
  <si>
    <t>HUS0000257812</t>
  </si>
  <si>
    <t>EN CONCILIACION ESE HUS ACEPTA GLOSA  PARCIAL POR VALOR $181.500 POR AJUSTE DE ESTANCIA 4 CAMAS A SALA DE OBSERVACION TENIENDO EN CUENTA REVISION DE HISTORIA CLINICA PACIENTE A QUIEN SE LE SOLICITO IMAGENES Y SEGUN REPORTE SE DEFINIO MANEJO CONSERVADOR NO REQUIRIO DE MAS PARACLINICOS Y DAN EGRESO, LO REALIZADO NO AMERITA ESTANCIA SUPERIOR A 6 HORAS, POR LO TANTO SE CONSIDERA PERTINENTE AJUSTE REALIZADO. ENTIDAD LEVANTA LA DIFERENCIA</t>
  </si>
  <si>
    <t>HUS0000258239</t>
  </si>
  <si>
    <t>EN CONCILIACION ESE HUS ACEPTA GLOSA   PARCIAL POR VALOR $297.00 CORRESPONDIENTE  A: MVC EN MEDICAMENTO PIPERACILINA TAZOBACTAM AMP SE AJUSTA A TARIFAS PROMEDIO DEL MERCADO, DE ACUERDO A LA RESOLUCION 15997. ENTIDAD LEVANTA RESTANTE.</t>
  </si>
  <si>
    <t>HUS0000258513</t>
  </si>
  <si>
    <t>VALOR $100.900 ACEPTADO EN TRAMITE INICIAL CON NC 169922</t>
  </si>
  <si>
    <t>HUS0000258665</t>
  </si>
  <si>
    <t>EN CONCILIACION ESE HUS ACEPTA GLOSA TOTAL POR $1.771.890 PARA REFACTURAR USUARIO REGISTRA EN NUEVA EPS SUBSIDIADA PARA LA FECHA DE ATENCION POR LO TANTO NO ES PERTINENTE SU COBRO A LA SSS.</t>
  </si>
  <si>
    <t>HUS0000258684</t>
  </si>
  <si>
    <t>EN CONCILIACION ESE HUS ACEPTA GLOSA   PARCIAL POR VALOR $351.00 CORRESPONDIENTE  A: MVC EN MEDICAMENTO PIPERACILINA TAZOBACTAM AMP SE AJUSTA A TARIFAS PROMEDIO DEL MERCADO, DE ACUERDO A LA RESOLUCION 15997. ENTIDAD LEVANTA RESTANTE.</t>
  </si>
  <si>
    <t>HUS0000258957</t>
  </si>
  <si>
    <t>VALOR $32.900 ACEPTADO EN TRAMITE INICIAL CON NC 169886</t>
  </si>
  <si>
    <t>HUS0000258988</t>
  </si>
  <si>
    <t>EN CONCILIACION ESE HUS ACEPTA GLOSA   PARCIAL POR VALOR $864.000 CORRESPONDIENTE A: MVC EN MEDICAMENTO PIPERACILINA TAZOBACTAM AMP SE AJUSTA A TARIFAS PROMEDIO DEL MERCADO, DE ACUERDO A LA RESOLUCION 15997. ENTIDAD LEVANTA RESTANTE.</t>
  </si>
  <si>
    <t>HUS0000259065</t>
  </si>
  <si>
    <t>HUS0000259237</t>
  </si>
  <si>
    <t>HUS0000259831</t>
  </si>
  <si>
    <t>EN CONCILIACION ESE HUS ACEPTA GLOSA TOTAL POR $321.900 CORRESPONDIENTE A: (1) DIA DE ESTANCIA NO PERTIENENTE PACIENTE EN ESPERA DE RESULTADOS DE ECOGRAFIA PARA DETERMINAR CONDUCTA.</t>
  </si>
  <si>
    <t>HUS0000259972</t>
  </si>
  <si>
    <t>EN CONCILIACION ESE HUS ACEPTA GLOSA TOTAL POR $3.599.440 PARA REFACTURAR USUARIO REGISTRA EN NUEVA EPS SUBSIDIADA PARA LA FECHA DE ATENCION POR LO TANTO NO ES PERTINENTE SU COBRO A LA SSS.</t>
  </si>
  <si>
    <t>HUS0000260015</t>
  </si>
  <si>
    <t>EN CONCILIACION ESE HUS ACEPTA GLOSA  PARCIAL POR VALOR $864.000 CORRESPONDIENTE A: MVC EN MEDICAMENTO ROCURONIO BROMURO AMP X 50 MG/5ML SE AJUSTA A TARIFAS PROMEDIO DEL MERCADO, DE ACUERDO   A LA RESOLUCION 15997. ENTIDAD LEVANTA RESTANTE.
EN CONCILIACION ESE HUS RATIFICA GLOSA POR VALOR $3.294.750 CORRESPONDIENTE A COBRO  DE LOS INSUMOS (GRAPADORA LINEAL CORTANTE, PINZA ENERGÍA) BASADOS EN LA FICHA TÉCNICA QUE SE ADJUNTA COMO SOPORTE INTEGRAL DE ESTA RESPUESTA, SE DEMUESTRA QUE EL DISPOSITIVO ES DE CARÁCTER NO REUTILIZABLE. ENTIDAD RATIFICA GLOSA POR MOTIVO INICIAL</t>
  </si>
  <si>
    <t>HUS0000260667</t>
  </si>
  <si>
    <t>EN CONCILIACION ESE HUS ACEPTA GLOSA TOTAL POR $1.026.800 CORRESPONDIENTE A: $895.300 SE AJUSTA ESTANCIA EN UCI PLENA A UCI INTERMEDIA SEGÚN LO REVISADO EN HISTORIA CLINICA PACIENTE CON CHOQUE HIPOVOLEMICO SUPERDO, CON INJURIA RENAL SUPERADA, SIN REACTANTES DE FASE AGUDA POSITIVOS, PACIENTE AMERITA VIGILANCIA EN CUIDADO INTERMEDIO, PERTINENTE AJUSTE DE ESTANCIA.
$131.500 DE ELECTROLITOS EN GASES NO FACTURABLES INCLUIDOS EN LOS GASES ARTERIALES  ADEMAS TAMPOCO FUERON SOLICITADOS.</t>
  </si>
  <si>
    <t>HUS0000260863</t>
  </si>
  <si>
    <t>EN CONCILIACION ESE HUS ACEPTA GLOSA TOTAL POR $131.500 CORRESPONDIENTE A ELECTROLITOS EN GASES NO FACTURABLES INCLUIDOS EN LOS GASES ARTERIALES  ADEMAS TAMPOCO FUERON SOLICITADOS.</t>
  </si>
  <si>
    <t>HUS0000261689</t>
  </si>
  <si>
    <t>EN CONCILIACION ESE HUS ACEPTA GLOSA TOTAL POR VALOR $50.219 CORRESPONDIENTE A: CONSULTA POR TRABAJO SOCIAL NO FACTURABLE TRAMITE ADMINISTRATIVO  INCLUIDO EN LA ESTANCIA. $1.620 DE MASCARILLA NO FACTURABLE  YA QUE HACE PARTE DE LOS PROTOCOLOS DE BIOSEGURIDAD  INCLUIDO EN LA ESTANCIA (HABILITACIÓN).</t>
  </si>
  <si>
    <t>HUS0000262032</t>
  </si>
  <si>
    <t>EN CONCILIACION ESE HUS ACEPTA GLOSA TOTAL POR $173.028 CORRESPONDIENTE A: MVC EN MEDICAMENTO (6) ERTAPENEM FRASCO VIAL X 1GR/20ML (ERTAGRAM), MEDICAMENTO REGULADO EN CIRUCULAR 13/2022 DE LA COMISION NACIONAL DE PRECIOS DE MEDICAMENTOS Y DISPOSITIVOS MEDICOS, SE VERIFICAN VALORES Y ACEPTA LA DIFERENCIA.</t>
  </si>
  <si>
    <t>HUS0000262341</t>
  </si>
  <si>
    <t>EN CONCILIACION ESE HUS ACEPTA GLOSA TOTAL POR $111.400 CORRESPONDIENTE A ELECTROLITOS EN GASES NO FACTURABLES INCLUIDOS EN LOS GASES ARTERIALES  ADEMAS TAMPOCO FUERON SOLICITADOS.</t>
  </si>
  <si>
    <t>HUS0000262403</t>
  </si>
  <si>
    <t>EN CONCILIACION ESE HUS ACEPTA GLOSA PARCIAL POR $445.015 CORRESPONDIENTES A: MVC TARIFAS MATERIAL DE OSTEOSINTESIS SE RECONOCE SEGUN FACTURA DE COMPRA + 10% DE ACUERDO A LA RESOLUCION 15997. ENTIDAD LEVANTA RESTANTE</t>
  </si>
  <si>
    <t>HUS0000262408</t>
  </si>
  <si>
    <t>EN CONCILIACION ESE HUS ACEPTA GLOSA PARCIAL POR $612.713 CORRESPONDIENTES A: MVC TARIFAS MATERIAL DE OSTEOSINTESIS SE RECONOCE SEGUN FACTURA DE COMPRA + 10% DE ACUERDO A LA RESOLUCION 15997. ENTIDAD LEVANTA RESTANTE</t>
  </si>
  <si>
    <t>HUS0000262542</t>
  </si>
  <si>
    <t>HUS0000262652</t>
  </si>
  <si>
    <t>EN CONCILIACION ESE HUS ACEPTA GLOSA   PARCIAL POR VALOR $405.000 CORRESPONDIENTE A: MVC EN MEDICAMENTO PIPERACILINA TAZOBACTAM AMP SE AJUSTA A TARIFAS PROMEDIO DEL MERCADO, DE ACUERDO A LA RESOLUCION 15997. ENTIDAD LEVANTA RESTANTE.</t>
  </si>
  <si>
    <t>HUS0000262696</t>
  </si>
  <si>
    <t>EN CONCILIACION ESE HUS ACEPTA GLOSA TOTAL POR VALOR $846.160 CORRESPONDIENTE A:
$320.660 MVC EN INSUMO (MICROCATETER PERIFERICO HIDROFILICO) SE AJUSTA A TARIFAS PROMEDIO DEL MERCADO DE ACUERDO A LA RESOLUCION 15997 DE 2017. $525.500 POR TRANSFUSION O APLICACIÓN DE HEMODERIVADOS INCLUIDOS EN EL PROCESAMIENTO DE LA SANGRE  Y EN LA TARIFA DE LA ESTANCIA.</t>
  </si>
  <si>
    <t>HUS0000262702</t>
  </si>
  <si>
    <t>EN CONCILIACION ESE HUS ACEPTA GLOSA TOTAL POR $587.692 CORRESPONDIENTES A: MVC TARIFAS MATERIAL DE OSTEOSINTESIS SE RECONOCE SEGUN FACTURA DE COMPRA + 10% DE ACUERDO A LA RESOLUCION 15997.</t>
  </si>
  <si>
    <t>HUS0000262783</t>
  </si>
  <si>
    <t>HUS0000262787</t>
  </si>
  <si>
    <t>EN CONCILIACION ESE HUS ACEPTA GLOSA TOTAL POR $144.190 CORRESPONDIENTE A: MVC EN MEDICAMENTO (5) ERTAPENEM FRASCO VIAL X 1GR/20ML (ERTAGRAM), MEDICAMENTO REGULADO EN CIRUCULAR 13/2022 DE LA COMISION NACIONAL DE PRECIOS DE MEDICAMENTOS Y DISPOSITIVOS MEDICOS, SE VERIFICAN VALORES Y ACEPTA LA DIFERENCIA.</t>
  </si>
  <si>
    <t>HUS0000262856</t>
  </si>
  <si>
    <t>EN CONCILIACION ESE HUS ACEPTA GLOSA   PARCIAL POR $123.200 CORRESPONDIENTE A: POR ESTUDIOS NO PERTINENTES (TP - TPT Y CPK)   SEGÚN LO REVISADO EN LA HISTORIA CLINICA  DADO SU MOTIVO DE CONSULTA Y SINTOMAS Y HALLAZGOS DESCRITOS, LOS DEMAS PERFIL HEPATICO SE CONSIDERA PERTINENTE DADO QUE PACIENTE MANIFIESTA COLURIA Y ANTE LESIONES PRESENTADAS EN PACIENTE DIABETICA. ENTIDAD LEVANTA RESTANTE.</t>
  </si>
  <si>
    <t>HUS0000263047</t>
  </si>
  <si>
    <t>EN CONCILIACION ESE HUS ACEPTA GLOSA   PARCIAL POR VALOR $459.000 CORRESPONDIENTE A: MVC EN MEDICAMENTO PIPERACILINA TAZOBACTAM AMP SE AJUSTA A TARIFAS PROMEDIO DEL MERCADO, DE ACUERDO A LA RESOLUCION 15997. ENTIDAD LEVANTA RESTANTE.</t>
  </si>
  <si>
    <t>HUS0000263252</t>
  </si>
  <si>
    <t>HUS0000263583</t>
  </si>
  <si>
    <t>EN CONCILIACION ESE HUS ACEPTA GLOSA TOTAL POR $752.889 CORRESPONDIENTE A: $321.900
(1) DIA DE ESTANCIA NO PERTINENTE DADA ESPERA DE GARANTIA DE MAOS Y ASIGNACION DE
FRANJA QUIRURGICA POR INOPORTUNIDAD.
$430.989 MVC TARIFAS MATERIAL DE OSTEOSINTESIS SE RECONOCE SEGUN FACTURA DE COMPRA + 10% DE ACUERDO A LA RESOLUCION 15997.
VALOR $1.287.600 ACEPTADO EN TRAMITE INICIAL CON NC 169802</t>
  </si>
  <si>
    <t>HUS0000263691</t>
  </si>
  <si>
    <t>EN CONCILIACION ESE HUS ACEPTA GLOSA  PARCIAL POR $181.600 CORRESPONDIENTE A: AJUSTE DE ESTANCIA 4 CAMAS A SALA DE OBSERVACION TENIENDO EN CUENTA REVISION DE HISTORIA CLINICA PACIENTE A QUIEN SE LE DESCARTA RIESGO OBSTETRICO NO REALIZAN PARACLINICOS Y DAN EGRESO, LO REALIZADO NO AMERITA ESTANCIA SUPERIOR A 6 HORAS, POR LO TANTO SE CONSIDERA PERTINENTE AJUSTE REALIZADO. ENTIDAD LEVANTA RESTANTE.</t>
  </si>
  <si>
    <t>HUS0000263706</t>
  </si>
  <si>
    <t>SSS RATIFICA GLOSA INICIALMENTE FORMULADA, SE DEVUELVE TOTAL FACTURA POR BD Y POR COBERTURA USUARIO REGISTRA CON DNP EN CIMITARRA PARA LA FECHA DE ATENCION POR LO TANTO NO CORRESPONDE A LA COBERTURA DECRETO 866., ESE HUS NO ACEPTA GLOSA POR FACTURACION - USUARIO O SERVICIO CORRESPONDE A OTRO PLAN O RESPONSABLE. SE CONSULTA PAGINA DEL DNP Y PACIENTE NO REGISTRA CON SISBEN DE CIMITARRA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</si>
  <si>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HUS0000299295</t>
  </si>
  <si>
    <t>VALOR $5.363.556 ACEPTADO EN TRAMITE DE RESPUESTA DE GLOSA INICIAL, CON NOTA CREDITO: 170477</t>
  </si>
  <si>
    <t>HUS0000301498</t>
  </si>
  <si>
    <t>EN CONCILIACION ESE HUS ACEPTA GLOSA PARCIAL POR VALOR $21.300 POR MVC EN AYUDA DIAGNOSTICA UROCULTIVO SE AJUSTA TARIFA ESTABLECIDA POR LA SSS SOAT 2024 -10%.  ENTIDAD LEVANTA EL RESTANTE</t>
  </si>
  <si>
    <t>HUS0000301927</t>
  </si>
  <si>
    <t>HUS0000302126</t>
  </si>
  <si>
    <t>HUS0000302326</t>
  </si>
  <si>
    <t>HUS0000302864</t>
  </si>
  <si>
    <t>HUS0000303042</t>
  </si>
  <si>
    <t>HUS0000303107</t>
  </si>
  <si>
    <t>HUS0000304020</t>
  </si>
  <si>
    <t>HUS0000304090</t>
  </si>
  <si>
    <t>HUS0000304112</t>
  </si>
  <si>
    <t>HUS0000304113</t>
  </si>
  <si>
    <t>HUS0000304646</t>
  </si>
  <si>
    <t>HUS0000304890</t>
  </si>
  <si>
    <t>HUS0000304979</t>
  </si>
  <si>
    <t>HUS0000300447</t>
  </si>
  <si>
    <t>HUS0000300753</t>
  </si>
  <si>
    <t>HUS0000301163</t>
  </si>
  <si>
    <t>EN CONCILIACION ESE HUS ACEPTA GLOSA PARCIAL POR VALOR $6.000 CORRESPONDIENTE A MAYOR VALOR COBRADO EN (1) GLUCOMETRIA DE ACUERDO A RESOLUCION 15997. ENTIDAD LEVANTA EL RESTANTE</t>
  </si>
  <si>
    <t>HUS0000301521</t>
  </si>
  <si>
    <t>HUS0000303375</t>
  </si>
  <si>
    <t>HUS0000303383</t>
  </si>
  <si>
    <t>HUS0000305336</t>
  </si>
  <si>
    <t>HUS0000305759</t>
  </si>
  <si>
    <t>HUS0000421808</t>
  </si>
  <si>
    <t>EN CONCILIACION ESE HUS ACEPTA GLOSA TOTAL POR $87.700 PARA REFACTURAR POR PARTICULAR, TENIENDO EN CUENTA QUE EL USUARIO, PARA LA FECHA DE LA ATENCIÓN (25/10/2021), FIGURA ACTIVA EN EL SISBÉN DESDE EL 29/06/2021; POR LO TANTO, EL COBRO NO CORRESPONDE A LA SSS.</t>
  </si>
  <si>
    <t>FA1605</t>
  </si>
  <si>
    <t>HUS0000298721</t>
  </si>
  <si>
    <t>EN CONCILIACION ESE HUS ACEPTA GLOSA PARCIAL POR VALOR $405.000 CORRESPONDIENTE A: MVC EN PIPERACILINA TAZOBACTAM AMP SE AJUSTA A TARIFAS PROMEDIO DEL MERCADO, DE ACUERDO A LA RESOLUCION 15997. ENTIDAD LEVANTA RESTANTE.</t>
  </si>
  <si>
    <t>HUS0000298843</t>
  </si>
  <si>
    <t>EN CONCILIACION ESE HUS ACEPTA GLOSA PARCIAL POR VALOR $1.080.000 CORRESPONDIENTE A: MVC EN PIPERACILINA TAZOBACTAM AMP SE AJUSTA A TARIFAS PROMEDIO DEL MERCADO, DE ACUERDO A LA RESOLUCION 15997. ENTIDAD LEVANTA RESTANTE.</t>
  </si>
  <si>
    <t>HUS0000299056</t>
  </si>
  <si>
    <t>EN CONCILIACION ESE HUS ACEPTA DEVOLUCION POR VALOR $437.500 PARA REFACTURAR USUARIO REGISTRA EN LA EPS COOSALUD PARA LA FECHA DE ATENCION POR LO TANTO NO ES PERTINENTE SU COBRO A LA SSS.</t>
  </si>
  <si>
    <t>HUS0000299486</t>
  </si>
  <si>
    <t>HUS0000299516</t>
  </si>
  <si>
    <t>HUS0000299684</t>
  </si>
  <si>
    <t>EN CONCILIACION ESE HUS ACEPTA GLOSA PARCIAL POR $1.165.164 CORRESPONDIENTES A: MVC TARIFAS MATERIAL DE OSTEOSINTESIS SE RECONOCE SEGUN FACTURA DE COMPRA + 10% DE ACUERDO A LA RESOLUCION 15997. ENTIDAD LEVANTA RESTANTE</t>
  </si>
  <si>
    <t>HUS0000300390</t>
  </si>
  <si>
    <t>VALOR $100.900 ACEPTADO EN TRAMITE INICIAL CON NC 169907</t>
  </si>
  <si>
    <t>HUS0000300952</t>
  </si>
  <si>
    <t>EN CONCILIACION ESE HUS ACEPTA GLOSA PARCIAL POR $7.187.817 CORRESPONDIENTE A: $2.363.317 DECORTICACION TORACOSCOPICA EL CUAL HACE PARTE DEL CÓDIGO DE MANUAL TARIFARIO SOAT 6120 GRUPO NO 20 SE RECONOCE A TARIFAS SOAT -10%. $3.229.000 EN PLEURECTOMIA TORACOSCOPICA PARIETAL PROCEDIMIENTO QUE ESTÁ INCLUIDO EN PROCEDIMIENTO PRINCIPAL DECORTICACION TORACOSCOPICA PULMONAR EL CUAL HACE PARTE DE CÓDIGO DE MANUAL TARIFARIO SOAT 6120 GRUPO NO 20  POR LO ANTERIOR LA SSS RECONOCE COMO CIRUGÍA PRINCIPAL DECORTICACION TORACOSCOPICA PULMONAR FACTURADA POR IPS CON CÓDIGO 090106 GRUPO ESPECIAL POR VALOR DE $6.327.083. $1.458.000 POR MVC EN MEDICAMENTO MVC EN PIPERACILINA TAZOBACTAM AMP SE AJUSTA A TARIFAS PROMEDIO DEL MERCADO, DE ACUERDO A LA RESOLUCION 15997. $131.500 ELECTROLITOS EN GASES NO FACTURABLES INCLUIDOS EN LOS GASES ARTERIALES ADEMAS TAMPOCO FUERON SOLICITADOS. ENTIDAD LEVANTA RESTANTE</t>
  </si>
  <si>
    <t>HUS0000301354</t>
  </si>
  <si>
    <t xml:space="preserve">EN CONCILIACION ESE HUS ACEPTA GLOSA PARCIAL POR VALOR $54.000 CORRESPONDIENTE A: MVC EN PIPERACILINA TAZOBACTAM AMP SE AJUSTA A TARIFAS PROMEDIO DEL MERCADO, DE ACUERDO A LA RESOLUCION 15997. ENTIDAD LEVANTA RESTANTE.
VALOR $1.946.900 ACEPTADO EN TRAMITE INICIAL CON NC 170064
</t>
  </si>
  <si>
    <t>HUS0000302243</t>
  </si>
  <si>
    <t xml:space="preserve">EN CONCILIACION ESE HUS ACEPTA GLOSA POR VALOR $642.080 CORRESPONDIENTE A PROCEDIMIENTO LISIS DE ADHERENCIA NO FACTURABLE YA QUE SE TRATA DE LA VIA DE ACCESO SEGÚN DESCRIPCION QUIRURGICA.
</t>
  </si>
  <si>
    <t>HUS0000302699</t>
  </si>
  <si>
    <t>EN CONCILIACION ESE HUS ACEPTA GLOSA PARCIAL POR VALOR $6.322.687 CORRESPONDIENTE A MVC EN NEURORRAFIA DE NERVIO EN ANTEBRAZO SE AJUSTA A CODIGO 13862, SEGÚN RESOLUCION 15997 DE 2017. ENTIDAD LEVANTA RESTANTE.</t>
  </si>
  <si>
    <t>HUS0000303487</t>
  </si>
  <si>
    <t>VALOR $1.287..600 ACEPTADO EN TRAMITE INICIAL CON NC 169855. ENTIDAD LEVANTA RESTANTE.</t>
  </si>
  <si>
    <t>HUS0000303918</t>
  </si>
  <si>
    <t>SSS RATIFICA GLOSA INICIALMENTE FORMULADA, SE DEVUELVE TOTAL FACTURA POR BD Y POR COBERTURA USUARIO REGISTRA CON DNP EN BARICHARA PARA LA FECHA DE ATENCION POR LO TANTO NO CORRESPONDE A LA COBERTURA DECRETO 866., ESE HUS NO ACEPTA GLOSA POR FACTURACION - USUARIO O SERVICIO CORRESPONDE A OTRO PLAN O RESPONSABLE. SE CONSULTA PAGINA DEL DNP Y PACIENTE NO REGISTRA CON SISBEN DE BARICHARA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</si>
  <si>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HUS0000304842</t>
  </si>
  <si>
    <t>EN CONCILIACION ESE HUS ACEPTA GLOSA PARCIAL POR $1.719.539 CORRESPONDIENTES A: MVC TARIFAS MATERIAL DE OSTEOSINTESIS SE RECONOCE SEGUN FACTURA DE COMPRA PR10507 + 10% DE ACUERDO A LA RESOLUCION 15997. ENTIDAD LEVANTA RESTANTE</t>
  </si>
  <si>
    <t>HUS0000108797</t>
  </si>
  <si>
    <t>HUS0000110320</t>
  </si>
  <si>
    <t>EN CONCILIACION ESE HUS ACEPTA GLOSA PARCIAL POR VALOR $76.760 CORRESPONDIENTE A: $18.700 CONSULTA POR TRABAJO SOCIAL NO FACTURABLE  TRAMITE ADMINISTRATIVO INCLUIDO EN LA ESTANCIA. $12.960 DE (8) MASCARILLAS NO FACTURABLE  YA QUE HACE PARTE DE LOS PROTOCOLOS DE BIOSEGURIDAD INCLUIDO EN LA ESTANCIA (HABILITACIÓN).  $45.100 MVC EN INTERCONSULTAS POR PERINATOLOGIA SE RECONOCE A TARIFAS SOAT  NO EXISTE CONTRATO ENTRE LAS PARTES. ENTIDAD LEVANTA EL RESTANTE</t>
  </si>
  <si>
    <t>HUS0000112629</t>
  </si>
  <si>
    <t>EN CONCILIACION ESE HUS ACEPTA GLOSA PARCIAL POR VALOR $18.700 CORRESPONDIENTE A: CONSULTA POR TRABAJO SOCIAL NO FACTURABLE  TRAMITE ADMINISTRATIVO INCLUIDO EN LA ESTANCIA. ENTIDAD LEVANTA EL RESTANTE</t>
  </si>
  <si>
    <t>HUS0000113589</t>
  </si>
  <si>
    <t>HUS0000113775</t>
  </si>
  <si>
    <t>EN CONCILIACION ESE HUS ACEPTA GLOSA TOTAL POR VALOR $526.900 CORRESPONDIENTE A:  $24.300 (15) MASCARILLAS NO FACTURABLE  YA QUE HACE PARTE DE LOS PROTOCOLOS DE BIOSEGURIDAD INCLUIDO EN LA ESTANCIA (HABILITACIÓN).  $502.600 POR MVC TARIFAS MATERIAL DE OSTEOSINTESIS SE RECONOCE SEGUN FACTURA DE COMPRA + 10% DE ACUERDO A LA RESOLUCION 15997.</t>
  </si>
  <si>
    <t>HUS0000113791</t>
  </si>
  <si>
    <t>EN CONCILIACION ESE HUS ACEPTA GLOSA TOTAL POR VALOR $302.720 CORRESPONDIENTE A:  $268.700 POR MVC TARIFAS MATERIAL DE OSTEOSINTESIS SE RECONOCE SEGUN FACTURA DE COMPRA + 10% DE ACUERDO A LA RESOLUCION 15997. $34.020 (21) MASCARILLAS NO FACTURABLE  YA QUE HACE PARTE DE LOS PROTOCOLOS DE BIOSEGURIDAD INCLUIDO EN LA ESTANCIA (HABILITACIÓN).</t>
  </si>
  <si>
    <t>HUS0000114083</t>
  </si>
  <si>
    <t>EN CONCILIACION ESE HUS ACEPTA GLOSA TOTAL POR VALOR $11.340 CORRESPONDIENTE A:  (7) MASCARILLAS NO FACTURABLE  YA QUE HACE PARTE DE LOS PROTOCOLOS DE BIOSEGURIDAD INCLUIDO EN LA ESTANCIA (HABILITACIÓN)</t>
  </si>
  <si>
    <t>HUS0000114095</t>
  </si>
  <si>
    <t xml:space="preserve">EN CONCILIACION ESE HUS ACEPTA GLOSA TOTAL POR VALOR $65.162 CORRESPONDIENTE A: $8.100 (5) MASCARILLAS NO FACTURABLE  YA QUE HACE PARTE DE LOS PROTOCOLOS DE BIOSEGURIDAD INCLUIDO EN LA ESTANCIA (HABILITACIÓN).  $18.700 POR (1) JERINGA PROVENT PARA TOMA DE GASES ARTERIALES INSUMO PARA TOMA DE PARACLÍNICOS NO FACTURABLE. INCLUIDO EN VALOR DE EXAMEN. $38.362 MVC EN INTERCONSULTAS POR NEUROLOGIA SE RECONOCE A TARIFAS SOAT NO EXISTE CONTRATO ENTRE LAS PARTES. </t>
  </si>
  <si>
    <t>HUS0000114344</t>
  </si>
  <si>
    <t xml:space="preserve">EN CONCILIACION ESE HUS ACEPTA GLOSA TOTAL POR VALOR $36.520 CORRESPONDIENTE A: $18.700 CONSULTA POR TRABAJO SOCIAL NO FACTURABLE  TRAMITE ADMINISTRATIVO INCLUIDO EN LA ESTANCIA. $17.820 DE (11) MASCARILLAS NO FACTURABLE  YA QUE HACE PARTE DE LOS PROTOCOLOS DE BIOSEGURIDAD INCLUIDO EN LA ESTANCIA (HABILITACIÓN). </t>
  </si>
  <si>
    <t>HUS0000114473</t>
  </si>
  <si>
    <t>EN CONCILIACION ESE HUS ACEPTA GLOSA PARCIAL POR $266.500 CORRESPONDIENTE A: $247.000 POR (1) ESTANCIA DEL DIA 31 MARZO, NO FACTURABLE TENIENDO EN CUENTA QUE CORRESPONDE A DIA DE EGRESO, NO PERTINENTE SU FACTURACION.  $18.700 CONSULTA POR TRABAJO SOCIAL NO FACTURABLE  TRAMITE ADMINISTRATIVO INCLUIDO EN LA ESTANCIA. ENTIDAD LEVANTA EL RESTANTE</t>
  </si>
  <si>
    <t>HUS0000114894</t>
  </si>
  <si>
    <t>EN CONCILIACION ESE HUS ACEPTA GLOSA TOTAL POR $20.638 CORRESPONDIENTE A:  $18.700 CONSULTA POR TRABAJO SOCIAL NO FACTURABLE  TRAMITE ADMINISTRATIVO INCLUIDO EN LA ESTANCIA. $1.938 (2) TIRAS DE GLUCOMETRIA MÁS LANCETA NO FACTURABLE  INCLUIDA EN AYUDA DIAGNÓSTICA.</t>
  </si>
  <si>
    <t>HUS0000114937</t>
  </si>
  <si>
    <t>EN CONCILIACION ESE HUS ACEPTA GLOSA TOTAL POR $23.560 CORRESPONDIENTE A:  $18.700 CONSULTA POR TRABAJO SOCIAL NO FACTURABLE  TRAMITE ADMINISTRATIVO INCLUIDO EN LA ESTANCIA. $4.860 (3) MASCARILLAS NO FACTURABLE  YA QUE HACE PARTE DE LOS PROTOCOLOS DE BIOSEGURIDAD INCLUIDO EN LA ESTANCIA (HABILITACIÓN).</t>
  </si>
  <si>
    <t>HUS0000115393</t>
  </si>
  <si>
    <t>EN CONCILIACION ESE HUS ACEPTA GLOSA TOTAL POR VALOR $136.200 CORRESPONDIENTE A: POR DERECHOS DE MATERIALES DE LEGRADO UTERINO OBSTETRICO INCLUIDO EN DERECHOS DE SALA DE PROCEDIIENTO ART 55 PGFO 3 DEC 2423/96. $8.100 (5) MASCARILLAS NO FACTURABLE  YA QUE HACE PARTE DE LOS PROTOCOLOS DE BIOSEGURIDAD INCLUIDO EN LA ESTANCIA (HABILITACIÓN).</t>
  </si>
  <si>
    <t>HUS0000115505</t>
  </si>
  <si>
    <t>EN CONCILIACION ESE HUS ACEPTA GLOSA TOTAL POR VALOR $9.720 CORRESPONDIENTE A: (6) MASCARILLAS NO FACTURABLE  YA QUE HACE PARTE DE LOS PROTOCOLOS DE BIOSEGURIDAD INCLUIDO EN LA ESTANCIA (HABILITACIÓN).</t>
  </si>
  <si>
    <t>HUS0000115512</t>
  </si>
  <si>
    <t>EN CONCILIACION ESE HUS ACEPTA GLOSA PARCIAL POR $18.700 CORRESPONDIENTE A:  CONSULTA POR TRABAJO SOCIAL NO FACTURABLE  TRAMITE ADMINISTRATIVO INCLUIDO EN LA ESTANCIA. ENTIDAD LEVANTA EL RESTANTE</t>
  </si>
  <si>
    <t>HUS0000115590</t>
  </si>
  <si>
    <t>HUS0000115946</t>
  </si>
  <si>
    <t>EN CONCILIACION ESE HUS ACEPTA GLOSA TOTAL POR $48.846 CORRESPONDIENTE A:  $12.960 (8) MASCARILLAS NO FACTURABLE  YA QUE HACE PARTE DE LOS PROTOCOLOS DE BIOSEGURIDAD INCLUIDO EN LA ESTANCIA (HABILITACIÓN).  $35.886 (2) APÓSITO DE GASA 45 CM X 90 CM PARA ESPALDA NO FACTURABLE. ELEMENTO DE PROTECCIÓN Y CURACIÓN EN PIEL EL CUAL HACE PARTE DE LOS DERECHOS DE INTERNACIÓN. ARTÍCULO 40 LITERAL E)  PARÁGRAFO 2  DECRETO 2423/96.</t>
  </si>
  <si>
    <t>HUS0000116044</t>
  </si>
  <si>
    <t>EN CONCILIACION ESE HUS ACEPTA GLOSA TOTAL POR VALOR $27.540 CORRESPONDIENTE A: (17) MASCARILLAS NO FACTURABLE  YA QUE HACE PARTE DE LOS PROTOCOLOS DE BIOSEGURIDAD INCLUIDO EN LA ESTANCIA (HABILITACIÓN).</t>
  </si>
  <si>
    <t>HUS0000116363</t>
  </si>
  <si>
    <t>EN CONCILIACION ESE HUS ACEPTA GLOSA TOTAL POR $65.376 CORRESPONDIENTE A:  $42.120 (26) MASCARILLAS NO FACTURABLE  YA QUE HACE PARTE DE LOS PROTOCOLOS DE BIOSEGURIDAD INCLUIDO EN LA ESTANCIA (HABILITACIÓN). $23.256 (24) TIRAS DE GLUCOMETRIA MÁS LANCETA NO FACTURABLE  INCLUIDA EN AYUDA DIAGNÓSTICA.</t>
  </si>
  <si>
    <t>HUS0000116367</t>
  </si>
  <si>
    <t>EN CONCILIACION ESE HUS ACEPTA GLOSA PARCIAL POR VALOR $82.789 CORRESPONDIENTE A: $48.700 (1) HEMOCLASIFICACIÓN SISTEMA ABO DIRECTA $13.200,  (1) HEMOCLASIFICACIÓN SISTEMA ABO INVERSA $35.500, NO FACTURABLES SEGÚN ARTÍCULO 32 PGFO 1 DEC 2423 DE 1996 INCLUIDAS EN PRUEBAS CRUZADAS REALIZADAS Y FACTURADAS. $22.749 EN MEDICAMENTOS $2.819 (1) FENTANILO CITRATO 0.5MG/10ML, $6.079 (1) MIDAZOLAM 5MG/5ML AMP, $13.851 (1) PROPOFOL BP 10MG/ML AMP, AGENTE ANESTESICO EN INCLUIDOS EN MATERIALES ART 55 DEL MANUAL TARIFARIO SOAT.  $11.340 (7) MASCARILLAS NO FACTURABLE  YA QUE HACE PARTE DE LOS PROTOCOLOS DE BIOSEGURIDAD INCLUIDO EN LA ESTANCIA (HABILITACIÓN). ENTIDAD LEVANTA EL RESTANTE</t>
  </si>
  <si>
    <t>HUS0000116371</t>
  </si>
  <si>
    <t>EN CONCILIACION ESE HUS ACEPTA GLOSA PARCIAL POR VALOR $412.211 CORRESPONDIENTE A: $29.160 (18) MASCARILLAS NO FACTURABLE  YA QUE HACE PARTE DE LOS PROTOCOLOS DE BIOSEGURIDAD INCLUIDO EN LA ESTANCIA (HABILITACIÓN). $48.700 (1) HEMOCLASIFICACIÓN SISTEMA ABO DIRECTA $13.200 (1) HEMOCLASIFICACIÓN SISTEMA ABO INVERSA $35.500, NO FACTURABLES SEGÚN ARTÍCULO 32 PGFO 1 DEC 2423 DE 1996 INCLUIDAS EN PRUEBAS CRUZADAS REALIZADAS Y FACTURADAS. $334.851 MVC EN (1) KIT DE TRAQUEOSTOMIA PERCUTANEA CON CANULA NO 8 FR SE RECONOCE A FACTURA DE COMPRA MAS EL 10%. ENTIDAD LEVANTA EL RESTANTE</t>
  </si>
  <si>
    <t>HUS0000116500</t>
  </si>
  <si>
    <t>EN CONCILIACION ESE HUS ACEPTA GLOSA TOTAL POR VALOR $29.160 CORRESPONDIENTE A: (18) MASCARILLAS NO FACTURABLE  YA QUE HACE PARTE DE LOS PROTOCOLOS DE BIOSEGURIDAD INCLUIDO EN LA ESTANCIA (HABILITACIÓN).</t>
  </si>
  <si>
    <t>HUS0000116598</t>
  </si>
  <si>
    <t>EN CONCILIACION ESE HUS ACEPTA GLOSA TOTAL POR VALOR $27.540 CORRESPONDIENTE A: (17) MASCARILLAS NO FACTURABLE  YA QUE HACE PARTE DE LOS PROTOCOLOS DE BIOSEGURIDAD INCLUIDO EN LA ESTANCIA (HABILITACIÓN). ENTIDAD LEVANTA EL RESTANTE</t>
  </si>
  <si>
    <t>HUS0000116670</t>
  </si>
  <si>
    <t>EN CONCILIACION ESE HUS ACEPTA GLOSA PARCIAL POR VALOR $373.100 CORRESPONDIENTE A: $48.700 (1) HEMOCLASIFICACIÓN SISTEMA ABO DIRECTA $13.200 (1) HEMOCLASIFICACIÓN SISTEMA ABO INVERSA $35.500, NO FACTURABLES SEGÚN ARTÍCULO 32 PGFO 1 DEC 2423 DE 1996 INCLUIDAS EN PRUEBAS CRUZADAS REALIZADAS Y FACTURADAS. $324.400 MVC TARIFAS MATERIAL DE OSTEOSINTESIS SE RECONOCE SEGUN FACTURA DE COMPRA + 10% DE ACUERDO A LA RESOLUCION 15997. ENTIDAD LEVANTA RESTANTE</t>
  </si>
  <si>
    <t>HUS0000116841</t>
  </si>
  <si>
    <t>EN CONCILIACION ESE HUS ACEPTA GLOSA PARCIAL POR VALOR $238.780 CORRESPONDIENTE A: $22.680 (14) MASCARILLAS NO FACTURABLE  YA QUE HACE PARTE DE LOS PROTOCOLOS DE BIOSEGURIDAD INCLUIDO EN LA ESTANCIA (HABILITACIÓN). $167.400 POR (3) GASES ARTERIALES SOBREFACTURADOS, SE VERIFICA HISTORIA CLINICA DONDE SE EVIDENCIA QUE FUERON REALIZADO EN UCI LOS DIAS 31 DE MARZO AL 8 DE ABRIL DE 2022  POR LO ANTERIOR SE ENCUENTRAN EN DICHA ESTANCIA ART 43 DEC 2423/96.  $48.700 (1) HEMOCLASIFICACIÓN SISTEMA ABO DIRECTA $13.200 (1) HEMOCLASIFICACIÓN SISTEMA ABO INVERSA $35.500, NO FACTURABLES SEGÚN ARTÍCULO 32 PGFO 1 DEC 2423 DE 1996 INCLUIDAS EN PRUEBAS CRUZADAS REALIZADAS Y FACTURADAS. ENTIDAD LEVANTA RESTANTE</t>
  </si>
  <si>
    <t>HUS0000117050</t>
  </si>
  <si>
    <t>EN CONCILIACION ESE HUS ACEPTA GLOSA TOTAL POR VALOR $14.580 CORRESPONDIENTE A: (9) MASCARILLAS NO FACTURABLE  YA QUE HACE PARTE DE LOS PROTOCOLOS DE BIOSEGURIDAD INCLUIDO EN LA ESTANCIA (HABILITACIÓN).</t>
  </si>
  <si>
    <t>HUS0000117081</t>
  </si>
  <si>
    <t>EN CONCILIACION ESE HUS ACEPTA GLOSA TOTAL POR VALOR $22.680 CORRESPONDIENTE A: (14) MASCARILLAS NO FACTURABLE  YA QUE HACE PARTE DE LOS PROTOCOLOS DE BIOSEGURIDAD INCLUIDO EN LA ESTANCIA (HABILITACIÓN).</t>
  </si>
  <si>
    <t>HUS0000117169</t>
  </si>
  <si>
    <t>EN CONCILIACION ESE HUS ACEPTA GLOSA TOTAL POR VALOR $27.540 CORRESPONDIENTE A: (17) MASCARILLAS NO FACTURABLE  YA QUE HACE PARTE DE LOS PROTOCOLOS DE BIOSEGURIDAD INCLUIDO EN LA ESTANCIA (HABILITACIÓN). ENTIDAD LEVANTA RESTANTE</t>
  </si>
  <si>
    <t>HUS0000117209</t>
  </si>
  <si>
    <t>EN CONCILIACION ESE HUS ACEPTA GLOSA TOTAL POR $26.265 CORRESPONDIENTE A:  (1) PLACA BIPOLARES ADULTO CON CABLE DISPOSITIVO QUE HACE PARTE DE LOS COMPONENTES DE LOS DERECHOS DE SALA DE CIRUGIA.</t>
  </si>
  <si>
    <t>HUS0000117361</t>
  </si>
  <si>
    <t>EN CONCILIACION ESE HUS ACEPTA GLOSA TOTAL POR VALOR $51.840 CORRESPONDIENTE A: (32) MASCARILLAS NO FACTURABLE  YA QUE HACE PARTE DE LOS PROTOCOLOS DE BIOSEGURIDAD INCLUIDO EN LA ESTANCIA (HABILITACIÓN). ENTIDAD LEVANTA RESTANTE</t>
  </si>
  <si>
    <t>HUS0000117423</t>
  </si>
  <si>
    <t>EN CONCILIACION ESE HUS ACEPTA GLOSA TOTAL POR $51.100 CORRESPONDIENTE A:  $32.400 (20) MASCARILLAS NO FACTURABLE  YA QUE HACE PARTE DE LOS PROTOCOLOS DE BIOSEGURIDAD INCLUIDO EN LA ESTANCIA (HABILITACIÓN). $18.700 CONSULTA POR TRABAJO SOCIAL NO FACTURABLE  TRAMITE ADMINISTRATIVO INCLUIDO EN LA ESTANCIA.</t>
  </si>
  <si>
    <t>HUS0000117595</t>
  </si>
  <si>
    <t>EN CONCILIACION ESE HUS ACEPTA GLOSA PACIAL POR VALOR $307.488 CORRESPONDIENTE A: $29.160 (18) MASCARILLAS NO FACTURABLE  YA QUE HACE PARTE DE LOS PROTOCOLOS DE BIOSEGURIDAD INCLUIDO EN LA ESTANCIA (HABILITACIÓN). $7.728 (4) GUANTES ESTERILES 7.5 LATEX  ELEMENTO DE PROTECCIÓN  INCLUIDO EN DERECHOS DE ESTANCIA. $270.600 DE (6) INTERCONSULTA ESPECIALIZADA (3 GINECOLOGIA  3 NEUROLOGIA) SE RECONOCE POR MANUAL DEC 2423/96 VIGENCIA 2022-10%, SEGÚN RESOLUCION 15997 DE 2017. ENTIDAD LEVANTA RESTANTE.</t>
  </si>
  <si>
    <t>HUS0000117847</t>
  </si>
  <si>
    <t>EN CONCILIACION ESE HUS ACEPTA GLOSA TOTAL POR VALOR $393.600 CORRESPONDIENTE A: $16.200 (10) MASCARILLAS NO FACTURABLE  YA QUE HACE PARTE DE LOS PROTOCOLOS DE BIOSEGURIDAD INCLUIDO EN LA ESTANCIA (HABILITACIÓN). $377.400 POR MVC TARIFAS MATERIAL DE OSTEOSINTESIS SE RECONOCE SEGUN FACTURA DE COMPRA + 10% DE ACUERDO A LA RESOLUCION 15997.</t>
  </si>
  <si>
    <t>HUS0000118308</t>
  </si>
  <si>
    <t>EN CONCILIACION ESE HUS ACEPTA GLOSA PARCIAL POR VALOR $156.200 CORRESPONDIENTE A: $46.980 (29) MASCARILLAS NO FACTURABLE  YA QUE HACE PARTE DE LOS PROTOCOLOS DE BIOSEGURIDAD INCLUIDO EN LA ESTANCIA (HABILITACIÓN). $109.220 (1) PLACA BIPOLARES ADULTO CON CABLE, $61.944, (1) MANGO PORTA ELECTRODO MONOPOLAR $47.276, DISPOSITIVOS QUE HACEN PARTE DE LA DOTACIÓN BÁSICA DE LOS DERECHOS DE SALA  NO FACTURABLE. ART 49 PGFO 2 DEC 2423/96. ENTIDAD LEVANTA RESTANTE.</t>
  </si>
  <si>
    <t>HUS0000118340</t>
  </si>
  <si>
    <t>EN CONCILIACION ESE HUS ACEPTA GLOSA PARCIAL POR VALOR $957.490 CORRESPONDIENTE A: $889.350 POR MVC EN NEFROSTOMÍA PERCUTÁNEA SE AJUSTA A CODIGO 9104 SEGÚN MANUAL TARIFARIO SOAT VIEGNTE, SEGÚN RESOLUCION 15997 DE 2017. $48.700 (1) HEMOCLASIFICACIÓN SISTEMA ABO DIRECTA $13.200 (1) HEMOCLASIFICACIÓN SISTEMA ABO INVERSA $35.500, NO FACTURABLES SEGÚN ARTÍCULO 32 PGFO 1 DEC 2423 DE 1996 INCLUIDAS EN PRUEBAS CRUZADAS REALIZADAS Y FACTURADAS. $19.440 (12) MASCARILLAS NO FACTURABLE  YA QUE HACE PARTE DE LOS PROTOCOLOS DE BIOSEGURIDAD INCLUIDO EN LA ESTANCIA (HABILITACIÓN). ENTIDAD LEVANTA RESTANTE.</t>
  </si>
  <si>
    <t>HUS0000118357</t>
  </si>
  <si>
    <t>EN CONCILIACION ESE HUS ACEPTA GLOSA PARCIAL POR VALOR $1.269.780 CORRESPONDIENTE A: $30.780 (19) MASCARILLAS NO FACTURABLE  YA QUE HACE PARTE DE LOS PROTOCOLOS DE BIOSEGURIDAD INCLUIDO EN LA ESTANCIA (HABILITACIÓN). $1.239.000 POR CONCEPTO DE ESTANCIA (5) DIAS INACTIVA EN ESPERA DE PROGRAMACION DE PROCEDIMIENTO, PACIENTE QUIEN EL DIA 22 SE DEFINE MANEJO QUIRURGICO, EL DIA 23 CON APTO DE ANESTESIA Y CON MAOS SOLICITADO, SE PROGRAMA PROCEDIMIENTO HASTA EL DIA 31/03. (5) DIAS DE ESTANCIA INJUSTIFICADA. ENTIDAD LEVANTA RESTANTE.</t>
  </si>
  <si>
    <t>111-601</t>
  </si>
  <si>
    <t>HUS0000118584</t>
  </si>
  <si>
    <t>EN CONCILIACION ESE HUS ACEPTA GLOSA PARCIAL POR VALOR $2.257.740 CORRESPONDIENTE A: $27.540 (17) MASCARILLAS PROTECTORAS DESECHABLES, SE RECONOCE DE ACUERDO A DIAS DE ESTANCIA. $1.734.600 POR CONCEPTO DE 7 DIAS DE ESTANCIA INACTIVA, PACIENTE QUE INGRESA EL DIA 26 SE INDICA TAC, SS ANESTESIA SE VALORA CON RESULTADO DE TAC Y SS MAOS, DIA 27 PENDIENTE ANESTESIA Y MAOS, DIA 28 CON APTO DE ANESTESIA, PENIDNETE MAOS, 29 CUMPLE 72 HRS DE SOLICITUD DE MAOS, PENDIENTE PROGRAMACION, YA CON APTO DE ANESTESIA, SE REALIZA PROCEDIMIENTO EL DIA. SE CONSIDERA ESTANCIA INJUSTIFICADA INACTIVA DE LOS DIAS 30,31,1,2,3,4 Y 5. $495.600 ESTANCIA INACTIVA, UNA VEZ VERIFICADA LA HISTORIA CLINICA SE EVIDENCIA ESTANCIA INACTIVA EN ESPERA DE PROGRAMACION DE PROCEDIMIENTO, YA CON AVAL DE ANESTESIA Y MAS DE 4 DIAS DE SOLICITUD DE MAOS CON ESPERA DE 10 DIAS PARA ASIGNACION DE FRANJA QUIRURGICA. ENTIDAD LEVANTA RESTANTE.</t>
  </si>
  <si>
    <t>HUS0000119419</t>
  </si>
  <si>
    <t>EN CONCILIACION ESE HUS ACEPTA GLOSA TOTAL POR VALOR $34.020 CORRESPONDIENTE A: (21) MASCARILLAS NO FACTURABLE  YA QUE HACE PARTE DE LOS PROTOCOLOS DE BIOSEGURIDAD INCLUIDO EN LA ESTANCIA (HABILITACIÓN).</t>
  </si>
  <si>
    <t>HUS0000119450</t>
  </si>
  <si>
    <t>EN CONCILIACION ESE HUS ACEPTA GLOSA PARCIAL POR VALOR $91.700 CORRESPONDIENTE A:  $24.300 (15) MASCARILLAS NO FACTURABLE  YA QUE HACE PARTE DE LOS PROTOCOLOS DE BIOSEGURIDAD INCLUIDO EN LA ESTANCIA (HABILITACIÓN). $48.700 (1) HEMOCLASIFICACIÓN SISTEMA ABO DIRECTA $13.200 (1) HEMOCLASIFICACIÓN SISTEMA ABO INVERSA $35.500, NO FACTURABLES SEGÚN ARTÍCULO 32 PGFO 1 DEC 2423 DE 1996 INCLUIDAS EN PRUEBAS CRUZADAS REALIZADAS Y FACTURADAS. $18.700 CONSULTA POR TRABAJO SOCIAL NO FACTURABLE  TRAMITE ADMINISTRATIVO INCLUIDO EN LA ESTANCIA. ENTIDAD LEVANTA RESTANTE.</t>
  </si>
  <si>
    <t>HUS0000119590</t>
  </si>
  <si>
    <t>EN CONCILIACION ESE HUS ACEPTA GLOSA TOTAL POR VALOR $17.748 CORRESPONDIENTE A:  $11.340 (7) MASCARILLAS NO FACTURABLE  YA QUE HACE PARTE DE LOS PROTOCOLOS DE BIOSEGURIDAD INCLUIDO EN LA ESTANCIA (HABILITACIÓN). $6.408 (2) CÁNULA NASAL PARA OXÍGENO ADULTO POR SOBRE FACTURACION SE RECONOCE 2 UNIDADES PARA SUMINISTRO DE OXÍGENO POR ESTE SISTEMA EN ESTANCIA UCI INTERMEDIOS Y POSTERIOMENTE A PISO.</t>
  </si>
  <si>
    <t>HUS0000120677</t>
  </si>
  <si>
    <t>EN CONCILIACION ESE HUS ACEPTA GLOSA PARCIAL POR VALOR $543.661 CORRESPONDIENTE A:  $30.780 (19) MASCARILLAS NO FACTURABLE  YA QUE HACE PARTE DE LOS PROTOCOLOS DE BIOSEGURIDAD INCLUIDO EN LA ESTANCIA (HABILITACIÓN). $48.700 (1) HEMOCLASIFICACIÓN SISTEMA ABO DIRECTA $13.200 (1) HEMOCLASIFICACIÓN SISTEMA ABO INVERSA $35.500, NO FACTURABLES SEGÚN ARTÍCULO 32 PGFO 1 DEC 2423 DE 1996 INCLUIDAS EN PRUEBAS CRUZADAS REALIZADAS Y FACTURADAS. $64.900 DE ELECTROLITOS EN GASES NO FACTURABLES INCLUIDOS EN LOS GASES ARTERIALES. $207.964 EN (1) ELIMINADOR DE ADHESIVO NO IRRITANTE SPRAY 50ML $97.561 (1), BARRERA CUTANEA NO IRRITANTE SPRAY 50ML $110.403 NO FACTURABLES. CORRESPONDE A ELEMENTOS DE PROTECCIÓN Y CURACIÓN EN PIEL EL CUAL HACE PARTE DE LOS DERECHOS DE INTERNACIÓN. ARTÍCULO 40 LITERAL E) PARÁGRAFO 2 DECRETO 2423/96. $18.700 CONSULTA POR TRABAJO SOCIAL. NO SE EVIDENCIA SOLICITUD NI JUSTIFICACION MEDICA QUE SOPORTE SU FACTURACION. $191.317 POR MVC EN COLOCACIÓN DE CATETER DE HEMODIALISIS SE AJUSTA A CODIGO 9180 MANUAL TARIFARIO SOAT VIGENTE -10% SEGUN RESOLUCION 15997 DE 2017. ENTIDAD LEVANTA RESTANTE.</t>
  </si>
  <si>
    <t>HUS0000120748</t>
  </si>
  <si>
    <t xml:space="preserve">EN CONCILIACION ESE HUS ACEPTA GLOSA TOTAL POR VALOR $316.208 CORRESPONDIENTE A: $38.880 (24) MASCARILLAS NO FACTURABLE  YA QUE HACE PARTE DE LOS PROTOCOLOS DE BIOSEGURIDAD INCLUIDO EN LA ESTANCIA (HABILITACIÓN). $277.328 (1) APÓSITO HIDROCOLOIDE 20X30 CM-DUODERM, INSUMO NO FACTURABLE EL CUAL HACE PARTE DE LOS DERECHOS DE INTERNACIÓN. SEGUN ARTICULO 40 PARAGRAFO 3 MANUAL TARIFARIO SOAT.
</t>
  </si>
  <si>
    <t>HUS0000120882</t>
  </si>
  <si>
    <t>EN CONCILIACION ESE HUS ACEPTA GLOSA TOTAL POR VALOR $811.337 CORRESPONDIENTE A: $36.250 (1) BOLSA PARA EMBALAJE DE CADÁVERES  ELEMENTO QUE HACEN PARTE DE HABILITACIÓN DE INTERNACIÓN NO FACTURABLES. $22.680 (14) MASCARILLAS NO FACTURABLE  YA QUE HACE PARTE DE LOS PROTOCOLOS DE BIOSEGURIDAD INCLUIDO EN LA ESTANCIA (HABILITACIÓN). $124.202  EN (2) EQUIPO DE BAÑO $8.822, (3) SABANA PLASTICA $3.759, (4) DELANTAL PLASTICO $13.076, (1) PAQUETE DE ROPA DE TELA $44.882, (1) CUCHILLA RECORTADORA DE VELLO $53.663, ELEMENTOS QUE HACEN PARTE DE LOS DERECHOS DE SALA DE CIRUGIA. $430.632 POR (36) JERINGA PROVENT PARA TOMA DE GASES ARTERIALES INSUMO PARA TOMA DE PARACLÍNICOS NO FACTURABLE. INCLUIDO EN VALOR DE EXAMEN. $125.173 SOBREFACTURACION DE INSUMOS EN PAQUETE DE ROPA DESECHABLE,SE ENCUENTRAN INCLUIDAS EN LOS DERECHOS DE SALA Y MATERIALES SEGÚN ART 49 Y 55 DECRETO 2423/96. $72.400 (1) HEMOCLASIFICACIÓN SISTEMA RH [ANTÍGENO RH D) $23700, (1) HEMOCLASIFICACIÓN SISTEMA ABO DIRECTA $13.200, (1) HEMOCLASIFICACIÓN SISTEMA ABO INVERSA $35.500, NO FACTURABLES SEGÚN ARTÍCULO 32 PGFO 1 DEC 2423 DE 1996 INCLUIDAS EN PRUEBAS CRUZADAS REALIZADAS Y FACTURADAS.</t>
  </si>
  <si>
    <t>HUS0000120900</t>
  </si>
  <si>
    <t>EN CONCILIACION ESE HUS ACEPTA GLOSA TOTAL POR VALOR $43.000 CORRESPONDIENTE A:  $24.300 (15) MASCARILLAS NO FACTURABLE  YA QUE HACE PARTE DE LOS PROTOCOLOS DE BIOSEGURIDAD INCLUIDO EN LA ESTANCIA (HABILITACIÓN). $18.700 CONSULTA POR TRABAJO SOCIAL NO FACTURABLE  TRAMITE ADMINISTRATIVO INCLUIDO EN LA ESTANCIA.</t>
  </si>
  <si>
    <t>HUS0000279165</t>
  </si>
  <si>
    <t>HUS0000279341</t>
  </si>
  <si>
    <t>HUS0000279524</t>
  </si>
  <si>
    <t>HUS0000279769</t>
  </si>
  <si>
    <t>EN CONCILIACION ESE HUS ACEPTA GLOSA TOTAL POR $58.500 CORRESPONDIENTE A: MVC EN (1) INTERCONSULTA ESPECIALIZADA (NEUROLOGÍA) SE AJUSTA A TARIFA SOAT VIGENTE 2022 -10% CÓDIGO 39140, SEGÚN RESOLUCION 15997 DE 2017.</t>
  </si>
  <si>
    <t>HUS0000280047</t>
  </si>
  <si>
    <t>HUS0000280076</t>
  </si>
  <si>
    <t xml:space="preserve">EN CONCILIACION ESE HUS ACEPTA GLOSA TOTAL POR $681.218 CORRESPONDIENTE A: MVC EN MATERIAL OSTEOSINTESIS SE RECONOCE A FACTURA DE COMPRA PR 9712 DE LA CASA COMERCIAL PRECIMEC, + 10% DE ACUERDO A LA RESOLUCION 15997. </t>
  </si>
  <si>
    <t>HUS0000280243</t>
  </si>
  <si>
    <t xml:space="preserve">EN CONCILIACION ESE HUS ACEPTA GLOSA TOTAL POR $902.026 CORRESPONDIENTE A: $166.826 MVC EN (1) SISTEMA PARA ADMINISTRACIÓN DE MEDIOS DE CONTRASTE JERINGA CT 9000 200ML  SE RECONOCE PRECIO PROMEDIO DEL MERCADO. $117.000 POR MVC EN (2) INTERCONSULTA ESPECIALIZADA (NEUROLOGÍA) SE AJUSTA A TARIFA SOAT VIGENTE 2022 -10% CÓDIGO 39140, SEGÚN RESOLUCION 15997 DE 2017.  $618.200 CORRESPONDIENTE A HOLTER 24 HRS, UNA VEZ VERIFICADA LA HISTORIA SE EVIDENCIA ESTUDIO SOLICITADO INICIALMENTE EL DIA 8 MAYO PENDIENTE TRAMITE Y PROGRAMACION DEL ESTUDIO Y LUEGO SE SOLICITA NUEVAMENTE EL DIA 13 SIN UNA JUSTIFICACION NI REGISTRO DE LOS HALLAZGOS DEL PRIMER HOLTER QUE PERMITA AVALAR LA INDICACION DEL SEGUNDO ESTUDIO, SE CONSIDERA NO PERTINENTE NI JUSTIFICADO EN LA HISTORIA.
 </t>
  </si>
  <si>
    <t>206-608</t>
  </si>
  <si>
    <t>HUS0000280429</t>
  </si>
  <si>
    <t xml:space="preserve">EN CONCILIACION ESE HUS ACEPTA GLOSA TOATL POR $446.197 CORRESPONDIENTE A: MVC EN MATERIAL OSTEOSINTESIS SE RECONOCE A FACTURA DE COMPRA PR 9721 DE LA CASA COMERCIAL PRECIMEC + 10% DE ACUERDO A LA RESOLUCION 15997. </t>
  </si>
  <si>
    <t>HUS0000280513</t>
  </si>
  <si>
    <t>EN CONCILIACION ESE HUS ACEPTA GLOSA PARCIAL POR $198.300 CORRESPONDIENTE A: HONORARIOS DE CIRUJANO EN PROCEDIMIENTO BIOPSIA SEGÚN LO DESCRITO EN REGISTRO DE PROCEDIMIENTO NO FACTURABLE NO SE REALIZO TOMA DE BIOPSIA, SE RESECO LA MASA Y SE ENVIA A PATOLOGIA PARA BIOPSIA SEGÚN LO INTERPRETADO EN LA DESCRIPCION QUIRURGICA ASI: BAJO ANESTESIA LOCAL, PREVIA ASEPIS Y ANTISEPSIA Y COLOCACIÓN DE CAMPOS QUIRURGICOS ESTERILES SE PRACTICA, RESECCION MASA EN CORNEA, MAS RESECCION MASA EN CONJUNTIVA MAS INJERTO MAS BIOPSIA EN CONJUNTIVA Y BIOPSIA EN CORNEA . SIN COMPLICACIONES  SALIDA. ENTIDAD LEVANTA EL RESTANTE</t>
  </si>
  <si>
    <t>HUS0000280552</t>
  </si>
  <si>
    <t xml:space="preserve">EN CONCILIACION ESE HUS ACEPTA GLOSA PARCIAL POR $100.800 CORRESPONDIENTE A: MVC EN AMPICILINA SULBACTAM 1.5GR AMP SE AJUSTA A TARIFAS PROMEDIO DEL MERCADO, DE ACUERDO A LA RESOLUCION 15997. ENTIDAD LEVANTA RESTANTE
</t>
  </si>
  <si>
    <t>HUS0000280615</t>
  </si>
  <si>
    <t>HUS0000281303</t>
  </si>
  <si>
    <t>EN CONCILIACION ESE HUS ACEPTA GLOSA PARCIAL POR $89.250 CORRESPONDIENTE A:  (1) CANULA DE KARMAN EASY GRIP SE RECONOCE PARA PROCEDIMIENTO QUIRURGICO POR ANESTESIA (1) NO SE JUSTIFICA FACTURACIÓN DE 2. ENTIDAD LEVANTA RESTANTE</t>
  </si>
  <si>
    <t>HUS0000281591</t>
  </si>
  <si>
    <t>EN CONCILIACION ESE HUS ACEPTA GLOSA PARCIAL POR $64.800 CORRESPONDIENTE A: MVC EN MEDICAMENTO AMPICILINA SULBACTAM 1.5GR AMP SE AJUSTA A TARIFAS PROMEDIO DEL MERCADO, DE ACUERDO A LA RESOLUCION 15997. ENTIDAD LEVANTA RESTANTE.</t>
  </si>
  <si>
    <t>HUS0000281785</t>
  </si>
  <si>
    <t>EN CONCILIACION ESE HUS ACEPTA GLOSA PARCIAL POR $66.730 CORRESPONDIENTE A: MVC EN (1) SISTEMA PARA ADMINISTRACIÓN DE MEDIOS DE CONTRASTE JERINGA CT 9000 200ML SE AJUSTA A TARIFAS PROMEDIO DEL MERCADO, DE ACUERDO A LA RESOLUCION 15997. ENTIDAD LEVANTA RESTANTE.</t>
  </si>
  <si>
    <t>HUS0000281833</t>
  </si>
  <si>
    <t>EN CONCILIACION ESE HUS ACEPTA GLOSA PARCIAL POR $108.030 CORRESPONDIENTE A: $66.730 MVC EN (1) SISTEMA PARA ADMINISTRACIÓN DE MEDIOS DE CONTRASTE JERINGA CT 9000 200ML  SE RECONOCE PRECIO PROMEDIO DEL MERCADO. $41.300 (1) HEMOCLASIFICACION SISTEMA RH [ANTIGENO RH D) NO FACTURABLE SEGÚN ARTÍCULO 32 PGFO 1 DEC 2423 DE 1996 INCLUIDAS EN PRUEBAS CRUZADAS REALIZADAS Y FACTURADAS. ENTIDAD LEVANTA RESTANTE.</t>
  </si>
  <si>
    <t>HUS0000281984</t>
  </si>
  <si>
    <t>HUS0000282249</t>
  </si>
  <si>
    <t>EN CONCILIACION ESE HUS ACEPTA GLOSA PARCIAL POR $913.594 CORRESPONDIENTE A: $602.494 MVC EN MATERIAL OSTEOSINTESIS SE RECONOCE A FACTURA DE COMPRA PR 9719 DE LA CASA COMERCIAL PRECIMEC + 10% DE ACUERDO A LA RESOLUCION 15997. $106.200, (3) SUTURA ANTIBACTERIAL ABSORBIBLE POLIGLATINA $48.600, (1) CUCHILLA BISTURÍ NO. 10  $800, (2) COMPRESA ESTERIL 45CM X 45CM $56.800 ELEMENTOS QUE HACEN PARTE DE LOS DERECHOS DE MATERIALES SUTURA Y CURACIÓN DE PROCEDIMIENTOS 12 Y 9 RESPECTIVAMENTE  ART 55 PGFO 5 DEC 2423/96.  $53.700, (1) LAPICERO DE ELECTROBISTURI $22.000 (1) PLACA BIPOLARES ADULTO CON CABLE $31.700  ELEMENTOS QUE HACEN PARTE DE LOS COMPONENTES DE LOS DERECHOS DE SALA  NO FACTURABLES,  $151.200 MVC EN MEDICAMENTO AMPICILINA SULBACTAM 1.5GR AMP SE AJUSTA A TARIFAS PROMEDIO DEL MERCADO, DE ACUERDO A LA RESOLUCION 15997. ENTIDAD LEVANTA RESTANTE</t>
  </si>
  <si>
    <t>HUS0000282418</t>
  </si>
  <si>
    <t>EN CONCILIACION ESE HUS ACEPTA GLOSA PARCIAL POR $1.404.494 CORRESPONDIENTE A: $117.000 POR MVC EN (2) INTERCONSULTA ESPECIALIZADA (NEUROLOGÍA) SE AJUSTA A TARIFA SOAT VIGENTE 2022 -10% CÓDIGO 39140, SEGÚN RESOLUCION 15997 DE 2017.$363.834 MVC EN MEDICAMENTO (17) CLORHIDRATO DE DEXMEDETOMIDINA 400 MCG/100ML AMPOLLA, MEDICAMENTO REGULADO EN CIRUCULAR 13/2022 DE LA COMISION NACIONAL DE PRECIOS DE MEDICAMENTOS Y DISPOSITIVOS MEDICOS, SE VERIFICAN VALORES Y ACEPTA LA DIFERENCIA. $430.100 POR (23) JERINGA PROVENT PARA TOMA DE GASES ARTERIALES INSUMO PARA TOMA DE PARACLÍNICOS NO FACTURABLE. INCLUIDO EN VALOR DE EXAMEN. $133.460 POR MVC EN (2) SISTEMA PARA ADMINISTRACIÓN DE MEDIOS DE CONTRASTE JERINGA CT 9000 200ML  SE AJUSTA A TARIFAS PROMEDIO DEL MERCADO, DE ACUERDO A LA RESOLUCION 15997. $360.100 POR MVC EN MEDICAMENTO AMPICILINA SULBACTAM 1.5GR AMP SE AJUSTA A TARIFAS PROMEDIO DEL MERCADO, DE ACUERDO A LA RESOLUCION 15997. ENTIDAD LEVANTA RESTANTE.</t>
  </si>
  <si>
    <t>HUS0000282709</t>
  </si>
  <si>
    <t>EN CONCILIACION ESE HUS ACEPTA GLOSA PARCIAL POR $3.646.830 CORRESPONDIENTE A: $3.229.000 EN DECORTICACIÓN TORACOSCOPICA PULMONAR  PROCEDIMIENTO QUE ESTÁ INCLUIDO EN PROCEDIMIENTO PRINCIPAL PLEURECTOMIA  EL CUAL HACE PARTE DE CÓDIGO DE MANUAL TARIFARIO SOAT 6120 GRUPO NO 20  POR LO ANTERIOR LA SSS RECONOCE COMO CIRUGÍA PRINCIPAL PLEURECTOMIA FACTURADA POR IPS CON CÓDIGO 090114  GRUPO ESPECIAL POR VALOR DE $8.720.400. $66.730 POR MVC EN (1) SISTEMA PARA ADMINISTRACIÓN DE MEDIOS DE CONTRASTE JERINGA CT 9000 200ML  SE RECONOCE PRECIO PROMEDIO DEL MERCADO. $10.400 POR (4) FRASCOS PARA BACILOSCOPIA POR VALOR DE $10,400 INCLUIDO EN LA AYUDA DX. $97.300 (1) PROTECTOR DE CABLE DE VIDEO DE POLIETILENO CON CINTA ADHESIVA DE 13*250 CM  ELEMENTO QUE HACE PARTE DE LOS COMPONENTES DE DERECHOS DE SALA NO FACTURABLE. $243.400 POR MVC EN AYUDA DIAGNOSTICA (2) HEMOCULTIVO SE AJUSTA A CODIGO 19514 TARIFA ESTABLECIDA POR LA SSS SOAT 2024 -10%. ENTIDAD LEVANTA RESTANTE.</t>
  </si>
  <si>
    <t>HUS0000282806</t>
  </si>
  <si>
    <t>EN CONCILIACION ESE HUS ACEPTA GLOSA PARCIAL POR $13.200 CORRESPONDIENTE A:  (1) HUMIDIFICADOR DE BAJO FLUJO EMPAZADO DISPOSITIVO POR PROTOCLO DE OXIGENOTERAPIA CON RECAMBIO CADA 7 DÍAS, SSS RECONOCE 2 POR ESTANCIA EN UCI INTERMEDIOS Y HABITACIÓN MULTIPLE. ENTIDAD LEVANTA RESTANTE.</t>
  </si>
  <si>
    <t>EN CONCILIACION SE LEVANTA GLOSA SE RECONOCE SERVICIO SEGÚN CARTA DE CONTINUIDAD BAJO CONTRATO 287 FIRMADA POR EL ORDENADOR DEL GASTO VIGENTE PARA LA FECHA DE ATENCION</t>
  </si>
  <si>
    <t xml:space="preserve">EN CONCILIACION ESE HUS ACEPTA GLOSA $129,388 POR CONCEPTO DE ECOGRAFIA TRANSABDOMINAL, UNA VEZ REVISADA LA HISTORIA CLINICA SE EVIDENCIA HAY UNA SOLICITUD CON CODIGO ASIGNADO SIN EMBARGO EN OBSERVACION SE REFIERE A ECOGRAAFIA TRANSVAGINAL Y POSTERIOR SE REALIZA NUEVAMENTE LA ORDEN, EN VERIFICACION DE RESULTADOS SOLO APARECE RESULTADO DE ECOGRAFIA TRAANSVAAGINAAL POR LO CUAL NO SE CONSIDERA PERTINENTE FACTURACION NI INDICACION DE ECOGRAFIA TRANSABDOMINAL. </t>
  </si>
  <si>
    <t>EN CONCILIACION SE LEVANTA GLOSA IPS ADJUNTA SOPORTE DE RESULTADO PARA LA PATOLOGIA</t>
  </si>
  <si>
    <t>EN CONCILIACION SE LEVANTA GLOSA IPS ADJUNTA SOPORTE DE RESULTADO PARA LA AYUDA DIAGNOSTICA FACTURADA</t>
  </si>
  <si>
    <t>EN CONCILIACION IPS ACEPTA GLOSA POR $3826, MVC SEGÚN ACUERDO VIGENTE ENTRE LAS PARTES MAYOR VALOR COBRADO PRUEBA NO TREPONEMICA MANUAL  EN CONTRATO 312 ENTRE IPS Y DISAN EL VALOR ESTA ESTIPULADO EN $ 21.394 SE OBJETA LA DIFERENCIA</t>
  </si>
  <si>
    <t>EN CONCILIACION IPS ACEPTA GLOSA POR $116.242, POR MVC SEGÚN ACUERDO VIGENTE ENTRE LAS PARTES BLOQUEO SIMPATICO REGIONAL (CERVICAL  TORACICO O LUMBAR)  MAYOR VALOR SE ACEPTA VALOR UVB SEGUN NORMATIVIDAD VIGENTE</t>
  </si>
  <si>
    <t>EN CONCILIACION SE LEVANTA GLOSA SERVICIO CORRESPONDE A VALORACION Y MANEJO POR GRUPO DE CONTROL METABOLICO Y NUTRICIONAL INICIALMENTE EL 21 DE AGOSTO PACIENTE CON REQUERIMIENTO DE NUTRICION ENTERAL POR SONDA POSTERIOMENTE POR DETERIORO DE ESTADO GENERAL SE SUSPENDE SOPORTE ENTERAL Y SE INICIA FLUJO METABOLICO, EL 26 DE AGOSTO SE REINICIA SOPORTE ENTERAL DE ESTA MANERA HASTA EL 29 DE AGOSTO DONDE SE EVIDENCIA MEJORIA DE SOPORTE ENTERAL Y SE SUSPENDE FLUJO METABOLICO</t>
  </si>
  <si>
    <t>EN CONCILIACION IPS ACEPTA GLOSA POR $55.000 CONCEPTO DE ASISTENCIA INTRAHOSPITALARIA POR EQUIPO INTERDISCIPLINARIO  NO SE EVIDE NCIA REGISTRO ( ANEXO) DE  LOS REPORTES  LO CUAL ES IMPOSIBLE REALIZAR VERIFICACION Y AUDITORIA INTEGRAL.</t>
  </si>
  <si>
    <t>EN CONCILIACION IPS ACEPTA GLOSA PARCIAL POR $398.580,ATENCIÓNCONCILIACIÓN CONCEPTO DE GLOSA ESTANCIA HAB SERVICIO DE  HOSPITALIZACION 1/3 DIAS  TOTAL FACTURADOS 6  PACIENTE INGRESA EL 13 Y SALE 18 (5 DIAS DE  ESTANCIA TOTAL FACTURABLES)</t>
  </si>
  <si>
    <t>EN CONCILIACION IPS ACEPTA GLOSA POR VALOR DE $ 1.077.827 POR COCEPTO DE QUE SE FACTURA DE MAS  1 DIA DE ESTANCIA JUSTIFICADO ASI: PACIENTE QUE INGRESO AL HUS (URGENCIAS)18/08/2025 02:42:19 A.M.EPICRISIS Nº88187; AT2 ANEXO TÉCNICO 1 - POSTERIOR A ESTO TRASLADO / INGRESO A UCI INTERMEDIA (UCIA10)18/08/2025 11:59:28 A.M.FOLIO 12 — INGRESO UCI ADULTOS, DR. HORTUA PRADILLA, EGRESO  HOSPITALARIO20/08/2025 06:27:54 P.M. EPICRISIS Nº88187  INICIO EN UCI INTERMEDIA: 18/08/2025 ≈ 12:00 M. EGRESO INSTITUCIONAL: 20/08/2025 18:27. PERMANENCIA EFECTIVA EN UCI ≈ 54 HORAS 28 MINUTOS, EQUIVALENTES A DOS (2) PERÍODOS COMPLETOS DE 24 HORAS + UNA FRACCIÓN RESIDUAL DE APROXIMADAMENTE 6 H 28 MIN SOBRE EL TERCER DÍA. LO CUAL ES IMPROCEDENTE EL FACTURAR TRES DÍAS</t>
  </si>
  <si>
    <t>EN CONCILIACION IPS ACEPTA GLOSA POR $1.776.240, CONCEPTO DE GLOSA ECO TT 1/2N FACTURADO  PRIMERO SOLICITADO EL 10 DE  SEPT RESULTADO NORMAL SIN VEGETACIONES  EL SEGUNDO EL 14 DE  SEPT CON IGUAL RESULTADO  NO HAY JUSTIFICACION EN HC PARA SOLICITUD DE  SEGUNDO EXAMEN</t>
  </si>
  <si>
    <t>EN CONCILIACION IPS ACEPTA GLOSA POR $924.255, CONCEPTO DE SE OBJETA APLICACION DE  HEMODE RIVADOS REALIZADO POR PERSONAL ASISTENCIAL INCLUIDO EN ESTANCIA  ADE MAS NO SE EVIDE NCIA NOTA MEDICA DE  SU REALIZACION.</t>
  </si>
  <si>
    <t>EN CONCILIACION IPS ACEPTA GLOSA POR $195.411, CONCEPTO DE SE OBJETA APLICACION DE  HEMODERIVADOS REALIZADO POR PERSONAL ASISTENCIAL INCLUIDO EN ESTANCIA  ADE MAS NO SE EVIDE NCIA NOTA MEDICA DE  SU REALIZACION.</t>
  </si>
  <si>
    <t>EN CONCILIACION IPS ACEPTA GLOSA POR $640.800, CONCEPTO DE SE OBJETA APLICACION DE  HEMODERIVADOS REALIZADO POR PERSONAL ASISTENCIAL INCLUIDO EN ESTANCIA  ADE MAS NO SE EVIDE NCIA NOTA MEDICA DE  SU REALIZACION.</t>
  </si>
  <si>
    <t>EN CONCILIACION IPS ACEPTA GLOSA PARCIAL POR $797.160, CONCEPTO DE SE OBJETA APLICACION DE  HEMODE RIVADOS REALIZADO POR PERSONAL ASISTENCIAL INCLUIDO EN ESTANCIA  ADE MAS NO SE EVIDE NCIA NOTA MEDICA DE  SU REALIZACION.</t>
  </si>
  <si>
    <t>EN CONCILIACION IPS ACEPTA GLOSA PARCIAL POR $382.400, CONCEPTO DE SE OBJETA APLICACION DE  HEMODERIVADOS REALIZADO POR PERSONAL ASISTENCIAL INCLUIDO EN ESTANCIA  ADE MAS NO SE EVIDE NCIA NOTA MEDICA DE  SU REALIZACION.</t>
  </si>
  <si>
    <t>EN CONCILIACION IPS ACEPTA GLOSA PARCIAL POR $215.360, CONCEPTO DE SE OBJETA APLICACION DE  HEMODE RIVADOS REALIZADO POR PERSONAL ASISTENCIAL INCLUIDO EN ESTANCIA  ADE MAS NO SE EVIDE NCIA NOTA MEDICA DE  SU REALIZACION.</t>
  </si>
  <si>
    <t>EN CONCILIACION IPS ACEPTA GLOSA PARCIAL POR $497.680, CONCEPTO DE SE OBJETA APLICACION DE  HEMODE RIVADOS REALIZADO POR PERSONAL ASISTENCIAL INCLUIDO EN ESTANCIA  ADE MAS NO SE EVIDE NCIA NOTA MEDICA DE  SU REALIZACION</t>
  </si>
  <si>
    <t>EN CONCILIACION IPS ACEPTA GLOSA POR $108,024, CONCEPTO DE SE OBJETA APLICACION DE  HEMODE RIVADOS REALIZADO POR PERSONAL ASISTENCIAL INCLUIDO EN ESTANCIA  ADE MAS NO SE EVIDE NCIA NOTA MEDICA DE  SU REALIZACION</t>
  </si>
  <si>
    <t>EN CONCILIACION IPS ACEPTA GLOSA PARCIAL POR $1.917.639, CONCEPTO DE SE OBJETA APLICACION DE  HEMODE RIVADOS REALIZADO POR PERSONAL ASISTENCIAL INCLUIDO EN ESTANCIA  ADE MAS NO SE EVIDE NCIA NOTA MEDICA DE  SU REALIZACION</t>
  </si>
  <si>
    <t>EN CONCILIACION EN CONCILIACION ESE HUS ACEPTA GLOSA POR $1.430.800, A ESTANCIA AJUSTADA A HABITACION BIPERSONAL, NO HAY INDICACION DE AISLAMIENTO EN ORDENES MEDICAS QUE SOPORTE LA ESTANCIA EN HABITACION UNIPERSONAL</t>
  </si>
  <si>
    <t>EN CONCILIACION EN CONCILIACION ESE HUS ACEPTA GLOSA POR $1.004.799, A ESTANCIA AJUSTADA A HABITACION BIPERSONAL, NO HAY INDICACION DE AISLAMIENTO EN ORDENES MEDICAS QUE SOPORTE LA ESTANCIA EN HABITACION UNIPERSONAL</t>
  </si>
  <si>
    <t>EN CONCILIACION SE LEVANTA GLOSA IPS ADJUNTA SOPORTE DE DESCRIPCION PARA EL PROCEDIMIENTO GLOSADO</t>
  </si>
  <si>
    <t>EN CONCILIACION IPS ACEPTA GLOSA POR $213.273, MVC EN FACTURA DE COMPRA INSUMO: CUCHILLA DE SHAVER  CANTIDAD 1  A VALOR DE FACTURA DE COMPRA MAS  O MENOS EL 43% ( $ 3106100 )  VALOR NO ACORDADO O NO CONTRATADO  POR LO QUE SE RELIQUIDA Y SE RECONOCERA SEGUN LO ESTABLECIDO EN LA NORMA " VALOR DE ADQUISICION ( $ 2174249 ) MAS EL 12% ( $ 2435158) QUE LA IPS PUEDE COBRAR  SE OBJETA LA DIFERENCIA. $670942</t>
  </si>
  <si>
    <t>EN CONCILIACION IPS ACEPTA GLOSA POR $833.465, MVC EN FACTURA DE COMPRA INSUMO: PUNTA DE RADIOFRECUENCIA  CANTIDAD 1  A VALOR DE FACTURA DE COMPRA MAS  O MENOS EL 43% ( $ 5209000 )  VALOR NO ACORDADO O NO CONTRATADO  POR LO QUE SE RELIQUIDA Y SE RECONOCERA SEGUN LO ESTABLECIDO EN LA NORMA " VALOR DE ADQUISICION ( $ 3646279 ) MAS EL 12% ( $ 4083832) QUE LA IPS PUEDE COBRAR  SE OBJETA LA DIFERENCIA</t>
  </si>
  <si>
    <t>EN CONCILIACION IPS ACEPTA GLOSA POR $497.001, MVC EN FACTURA DE COMPRA  INSUMO: CUCHILLA DE SHAVER  CANTIDAD 1  A VALOR DE FACTURA DE COMPRA MAS  O MENOS EL 43% ( $ 3106100 )  VALOR NO ACORDADO O NO CONTRATADO  POR LO QUE SE RELIQUIDA Y SE RECONOCERA SEGUN LO ESTABLECIDO EN LA NORMA " VALOR DE ADQUISICION ( $ 2174249 ) MAS EL 12% ( $ 2435158) QUE LA IPS PUEDE COBRAR  SE OBJETA LA DIFERENCIA</t>
  </si>
  <si>
    <t>EN CONCILIACION IPS ACEPTA GLOSA POR $598.342, MVC EN FACTURA DE COMPRA INSUMO: CANULA DE ARTROSCOPIA   CANTIDAD 1  A VALOR DE FACTURA DE COMPRA MAS  O MENOS EL 43% ( $ 3739800 )  VALOR NO ACORDADO O NO CONTRATADO  POR LO QUE SE RELIQUIDA Y SE RECONOCERA SEGUN LO ESTABLECIDO EN LA NORMA " VALOR DE ADQUISICION ( $ 2617881 ) MAS EL 12% ( $ 2932026) QUE LA IPS PUEDE COBRAR  SE OBJETA LA DIFERENCIA.</t>
  </si>
  <si>
    <t xml:space="preserve">EN CONCILIACION ESE HUS ACEPTA GLOSA PARCIAL POR $1.594.320, CL0101 ESE HUS ACEPTA GLOSA PARCIAL POR 1.594.320 POR ESTANCIA INACTIVA  2 DIAS POR INOPORTUNIDAD EN RESPUESTA A INTERCONSULTA POR ANESTESIA  SOLICITADA EL DIA 24 Y CON RESPUESTA EL DIA 27  POR LO QUE SE CONSIDERA DIA 25 26 SIN JUSTIFICACION ESTANCIA INACTIVA EN ESPERA DE CONCEPTO DE LA ESPECIALIDAD PARA DEFINIR CONDUCTA POR ORTOPEDIA  Y 2 DIAS 30 Y 31 EN ESPERA DE ASIGNACION DE FRANJA QUIRURGICA CON APTO POR ANESTESIA Y GERIATRIA Y SOLICITUD DE MAOS DESDE EL DIA 28 Y PROGRAMADO PARA EL DIA 1  SIN EMBARGO NO SE CONSIDERA ESTANCIA INACTIVA DEL 28 Y 29 DADO TIEMPO INSTITUCIONAL ESTABLECIDO PARA DISPONIBILIDAD DE MAOS.  </t>
  </si>
  <si>
    <t xml:space="preserve">EN CONCILIACION SE LEVANTA GLOSA INSUMO FACTURABLE </t>
  </si>
  <si>
    <t>EN CONCILIACION EN CONCILIACION SE ACEPTA GLOSA POR $398,580 POR CONCEPTO DE ESTANCIA NO JUSTIFICXADA EN ESPERA DE REALZIACION Y DEFINICIO  DE PUNCION LUMBAR Y DAR EGRESO. YA CON AUTORIZACION POR PARRTE DE LA EPS DE ESTUDIO A REALZIAR Y TRAMITAR CON LABORATORIO EXTERNO</t>
  </si>
  <si>
    <t xml:space="preserve">EN CONCILIACION EN CONCILIACION DMBGA LEVANTA GLOSA ESTANCIA JUSTIFICADA </t>
  </si>
  <si>
    <t xml:space="preserve">EN CONCILIACION ACEPTADO EN GLOSA INCIAL - CL0301 ESE HUS ACEPTA GLOSA POR 79.407 CONSULTA DE URGENCIAS  EN PACIENTE CITADA PARA CESAREA PROCEDIMIENTO YA PROGRAMADO. NO PERTINENTE NO JUSTIFICADO NI SOPORTADO SEGUN EL DECRETO 2423 DE 1996. </t>
  </si>
  <si>
    <t>EN CONCILIACION EN CONCILIACION DMBGA LEVANTA GLOSA</t>
  </si>
  <si>
    <t xml:space="preserve">EN CONCILIACION ACEPTADO EN GLOSA INICIAL - CL0801 ESE HUS ACEPTA GLOSA POR 108.024 CORRESPONDIENTE A TRANSFUSION  PROCEDIMIENTO REALIZADO POR PERSONAL DE ENFERMERIA SEGUN LO EVIDENCIADO EN LAS NOTAS  NO FACTURABLE SEGÚN LO ESTABLECIDO EN DECRETO 2423/1996.  </t>
  </si>
  <si>
    <t xml:space="preserve">EN CONCILIACION ACEPTADO EN GLOSA INICIAL -CL0101 ESE HUS ACEPTA GLOSA POR 797.160 CORRESPONDIENTE A ESTANCIA INACTIVA INJUSTIFICADA DE LOS DIAS 5 Y 6 EN ESPERA DE MATERIAL AIRPEN SEGUN LO VERIFICADO EN LA HISTORIA CLINICA Y SE DA EGRESO Y SE CITA PAARA PROCEDIMIENTO. PACIENTE INGRESA EL DIA 4 SE DIAGNOSTICA FRACTURA ADEMAS DE LESION DE TEJIDOS BLANDOS CIRUGIA PLASTICA INDICAA PROCEDIMIENTO Y SOLICITA AIRPEN  DIAS 5 6 7 EN ESPERA DE TURNO QUIRURGICO UNA VEZ SE GAARANTICE LO SOLICITADO Y EL DIA 8 SE DA EGRESO A SOLICITUD DEL PACIENTE POR PROCEDIMIENTO QUE YA TIENE PROGRAMADO PARA EL DIA 9 POR LO QUE CITAN NUEVAMNETE 5 DIAS DESPUES DEL PROCEDIMIENTO.  </t>
  </si>
  <si>
    <t xml:space="preserve">EN CONCILIACION ACEPTADO EN GLOSA INICIAL - CL0601 ESE HUS ACEPTA GLOSA POR 42.800 INSUMO NO FACTURABLE  PACIENTE INGRESA SOLO A PROCEDIMIENTO  SEGUN REGISTRO EN HC. INCLUIDO EN MATERIALES DE CIRUGIA </t>
  </si>
  <si>
    <t>EN CONCILIACION IPS ACEPTA GLOSA POR VALOR DE $ 895.120 LA ACEPTACION DE LA GLOSA CORRESPONDE A UN INSUMO ACEPTADO POR MAYOR VALOR COBRADO SEGÚN TAIFAS PACTADAS CON LA ENTIDA QUE ES FACTURA DE COMRA +20%  EL INSUMO ACEPTADO CORRESPONDE A EL  (SULFATO TRICÁLCICO$8.947.000 - $8.051.880 - $895.1201 - $895.120), SE ADJUNTA FACTURA DE COMPRA  Nº PR 15123</t>
  </si>
  <si>
    <t xml:space="preserve">EN CONCILIACION EN CONCILIACION DMBGA SE LEVANTA GLOSA </t>
  </si>
  <si>
    <t>EN CONCILIACION ESE HUS ACEPTA GLOSA PARCIAL POR  $ 53.340, GLOSA INSUMO SEGÚN FACTURA DE COMPRA ADJUNTA MAS EL 20 PORCIENTO SEGÚN RESOLUCION INSTITUCIONAL  TORNILLO BLOQUEADO DE 2.7 MM MATERIAL DE OSTEOSINTESIS PRESENTADO SIN FACTURA DE COMPRA</t>
  </si>
  <si>
    <t>EN CONCILIACION ESE HUS ACEPTA GLOSA PARCIAL POR  $79.940, GLOSA INSUMO SEGÚN FACTURA DE COMPRA ADJUNTA MAS EL 20 PORCIENTO SEGÚN RESOLUCION INSTITUCIONAL TORNILLO CORTICAL TI AUTORROSCANTE 2.7MM DIFERENTES LONGITUD MATERIAL DE OSTEOSINTESIS PRESENTADO SIN FACTURA DE COMPRA</t>
  </si>
  <si>
    <t>EN CONCILIACION ESE HUS ACEPTA GLOSA PARCIAL POR  $ 617.860, GLOSA INSUMO SEGÚN FACTURA DE COMPRA ADJUNTA MAS EL 20 PORCIENTO SEGÚN RESOLUCION INSTITUCIONAL PLACA RADIO PROXIMAL/CUPULA RADIAL MATERIAL DE OSTEOSINTESIS PRESENTADO SIN FACTURA DE COMPRA</t>
  </si>
  <si>
    <t>EN CONCILIACION ESE HUS ACEPTA GLOSA PARCIAL POR  $ 213.360, GLOSA INSUMO SEGÚN FACTURA DE COMPRA ADJUNTA MAS EL 20 PORCIENTO SEGÚN RESOLUCION INSTITUCIONAL 2.4 X 14/16/18/20 (TORNILLO BLOQUEADO DE 2.4 MM)MATERIAL DE OSTEOSINTESIS PRESENTADO SIN FACTURA DE COMPRA</t>
  </si>
  <si>
    <t>EN CONCILIACION ESE HUS ACEPTA GLOSA PARCIAL POR  $248.840, GLOSA INSUMO SEGÚN FACTURA DE COMPRA ADJUNTA MAS EL 20 PORCIENTO SEGÚN RESOLUCION INSTITUCIONAL SUTURA TRENZADA EN HILO DE DIFERENTES DIAMETROS MATERIAL DE OSTEOSINTESIS PRESENTADO SIN FACTURA DE COMPRA</t>
  </si>
  <si>
    <t>EN CONCILIACION ESE HUS ACEPTA GLOSA PARCIAL POR  $556.420, GLOSA INSUMO SEGÚN FACTURA DE COMPRA ADJUNTA MAS EL 20 PORCIENTO SEGÚN RESOLUCION INSTITUCIONAL SUTURA BLANCA AZUL (SUTURAS ANCLADAS DE DIFERENTES DIAMETROS MATERIAL DE OSTEOSINTESIS PRESENTADO SIN FACTURA DE COMPRA</t>
  </si>
  <si>
    <t>EN CONCILIACION ESE HUS ACEPTA GLOSA PARCIAL POR  $ 815.942, GLOSA INSUMO SEGÚN FACTURA DE COMPRA ADJUNTA MAS EL 20 PORCIENTO SEGÚN RESOLUCION INSTITUCIONAL PASA HILOS PARA SUTURA ARTROSCOPICA MATERIAL DE OSTEOSINTESIS PRESENTADO SIN FACTURA DE COMPRA</t>
  </si>
  <si>
    <t>EN CONCILIACION IPS ACEPTA GLOSA POR $398.580, CONCEPTO DE ASISTENCIA INTRAHOSPITALARIA POR EQUIPO INTERDISCIPLINARIO  NO SE EVIDE NCIA REGISTRO ( ANEXO) DE  LOS REPORTES  LO CUAL ES IMPOSIBLE REALIZAR VERIFICACION Y AUDITORIA INTEGRAL.</t>
  </si>
  <si>
    <t>EN CONCILIACION IPS ACEPTA GLOSA POR $141.000, CONCEPTO DE ASISTENCIA INTRAHOSPITALARIA POR EQUIPO INTERDISCIPLINARIO  NO SE EVIDE NCIA REGISTRO ( ANEXO) DE  LOS REPORTES  LO CUAL ES IMPOSIBLE REALIZAR VERIFICACION Y AUDITORIA INTEGRAL.</t>
  </si>
  <si>
    <t>EN CONCILIACION SE LEVANTA GLOSA INSUMO FACTURABLE PARA TOMA DE MUESTRAS DE CULTIVO</t>
  </si>
  <si>
    <t>EN CONCILIACION ESE HUS ACEPTA GLOSA PARCIAL POR $2.69.040,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</si>
  <si>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$597.300, SE RECONOCE FACTURA DE COMPRA ADJUNTA MAS EL 19 PORCIENTO IVA Y 20 PORCIENTO SEGÚN RESOLUCION PROPIA IPS ACEPTA LA DIFERENCIA POR MVC POR CONCEPTO DE MATERIALES DE OSTEOSINTESIS NO SE DISPONE DE FACTURA DE COMPRA DE MAOS  PARA ESTABLECER EL VALOR A FACTURAR</t>
  </si>
  <si>
    <t xml:space="preserve">EN CONCILIACION SE LEVANTA GLOSA AYUDA DIAGNOSTICA PERTINENTE </t>
  </si>
  <si>
    <t>EN CONCILIACION ESE HUS ACEPTA GLOSA PARCIAL POR $264.840, SE RECONOCE FACTURA DE COMPRA ADJUNTA MAS EL 19 PORCIENTO IVA Y 20 PORCIENTO SEGÚN RESOLUCION PROPIA IPS ACEPTA LA DIFERENCIA POR MVC POR CONCEPTO DE MATERIALES DE OSTEOSINTESIS NO SE DISPONE DE FACTURA DE COMPRA DE MAOS  PARA ESTABLECER EL VALOR A FACTURAR</t>
  </si>
  <si>
    <t xml:space="preserve">EN CONCILIACION SE LEVANTA GLOSA POR PROCEDIMIENTO FACTURABLE DEBIDAMENTE SOPORTADO </t>
  </si>
  <si>
    <t xml:space="preserve">EN CONCILIACION SE LEVANTA GLOSA SE RECONOCE INSUMOS A TARIFA PROPIA ADJUNTA POR LA IPS </t>
  </si>
  <si>
    <t>EN CONCILIACION IPS ACEPTA GLOSA POR $961.200, CONCEPTO DE SE OBJETA 1 DIA DE  ESTANCIA FACTURADA EN CUIDADO INTERMEDIO PACIENE INGRESA EL DIA 18 AGOSTO EGRESA 20 AGOSTO 18 HORAS  SE RECONOCE LOS 2 DIAS DE  ESTANCIA QUE PERMANECIO EL PACIENTE.</t>
  </si>
  <si>
    <t xml:space="preserve">EN CONCILIACION EN CONCILIACION ESE HUS ACEPTA GLOSA POR $2777604 AJUSTE DE ESTANCIA DE UCI PLENA A INTERMEIDA NO PERTINENTE DADO SIN CRITERIOS </t>
  </si>
  <si>
    <t>EN CONCILIACION ESE HUS ACEPTA GLOSA PARCIAL POR$ 895.120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</si>
  <si>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$140.289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</si>
  <si>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$703.300,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</si>
  <si>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$59.727,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</si>
  <si>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IPS ACEPTA GLOSA POR $831.144, CONCEPTO DE SE OBJETA PROCEDIMIENTO QUIRURGICO NO FACTURABLE NI RECONOCIDI POR NOTA OPERATORIA Y TECNICA QUIRURGICA  ES INHERENTE A LA RECOSNTRUCCION DE L MUSCULO AFECTADO Y CORRECION DE  FRACTURA</t>
  </si>
  <si>
    <t xml:space="preserve">EN CONCILIACION SE LEVANTA MEDICAMENTO PERTINENTE </t>
  </si>
  <si>
    <t>EN CONCILIACION ESE HUS ACEPTA GLOSA PARCIAL POR $1.125.000,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</si>
  <si>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$479.700,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</si>
  <si>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$79.940, SE RECONOCE FACTURA DE COMPRA ADJUNTA MAS EL 19 PORCIENTO IVA Y 20 PORCIENTO SEGÚN RESOLUCION PROPIA IPS ACEPTA LA DIFERENCIA POR MVC POR CONCEPTO DE MATERIALES DE OSTEOSINTESIS NO SE DISPONE DE FACTURA DE COMPRA DE MAOS  PARA ESTABLECER EL VALOR A FACTURAR</t>
  </si>
  <si>
    <t xml:space="preserve">EN CONCILIACION ACEPTADO EN GLOSA INICIAL - CL0201 ESE HUS ACEPTA GLOSA PARCIAL POR 64.646 CORRESPONDIENTE A DIFERENCIA ENTRE INTERCONSULTA POR ESPECIALIDAD DE INFECTOLOGIA FACTURADA Y CUIDADO MANEJO INTRAHOSPITALARIO POR MEDICINA ESPECIALIZADA COD: 890106 LO ANTERIOR TENIENDO EN CUENTA QUE UNA VEZ REVISADA LA HISTORIA CLINICA SE EVIDENCIA LA ESPECIALIDAD DA UNA CONDUCTA PERO NO DA DE ALTA Y CONTINUA CON SEGUIMIENTO E INDICACIONES DE MANEJO INTRAHOSPITALARIO EN 7 OPORTUNIDADES DURANTE SU ESTANCIA POR LO QUE NO APLICA COBRO DE IC NUEVAMENTE. NO PERTINENTE SU FACTURACION NI JUSTIFICADA SEGUN LO DESCRITO EN RESPUESTA A INTERCONSULTA. </t>
  </si>
  <si>
    <t>EN CONCILIACION SE LEVANTA GLOSA IPS ADJUNTA SOPORTE DE PARTICIPACION DE JUNTA MEDICA</t>
  </si>
  <si>
    <t>EN CONCILIACION IPS ACEPTA GLOSA POR $611.651, 1 DIA DE ESTANCIA SOBREFACTURADO</t>
  </si>
  <si>
    <t>EN CONCILIACION EN CONCILIACION DMBGA LEVANTA GLOSA IC JUSTIFICADA EN HC</t>
  </si>
  <si>
    <t>EN CONCILIACION SE LEVANTA GLOSA</t>
  </si>
  <si>
    <t>EN CONCILIACION SE LEVANTA GLOSA IPS ADJUNTA SOPORTE DE RESULTADO</t>
  </si>
  <si>
    <t>EN CONCILIACION IPS ACEPTA GLOSA POR $309.000, CONCEPTO DE SE OBJETA APLICACION DE  HEMODE RIVADO NO FACTURABLE  REALIZADO POR PERSONAL DE  ENFERMERIA INCLUIDO EN LA ESTANCIA</t>
  </si>
  <si>
    <t>EN CONCILIACION IPS ACEPTA GLOSA POR $30.200, CONCEPTO DE SE OBJETA APLICACION DE  HEMODE RIVADO NO FACTURABLE  REALIZADO POR PERSONAL DE  ENFERMERIA INCLUIDO EN LA ESTANCIA</t>
  </si>
  <si>
    <t>EN CONCILIACION IPS ACEPTA GLOSA POR $108.024, CONCEPTO DE GLOSA EXCEDE NTE EN MATERIAL DE  OSTEOSINTESIS DE  ACUERDO A FACTURA DE  COMPRA PRESENTADA  SE RECONOCE PRECIO DE  CASA COMERCIAL (ART 57 DE CRETO 2423)</t>
  </si>
  <si>
    <t>EN CONCILIACION IPS ACEPTA GLOSA POR $108.024, CONCEPTO DE GLOSA ESTANCIA HAB SERVICIO DE  HOSPITALIZACION 1/3 DIAS  TOTAL FACTURADOS 6  PACIENTE INGRESA EL 13 Y SALE 18 (5 DIAS DE  ESTANCIA TOTAL FACTURABLES)</t>
  </si>
  <si>
    <t>EN CONCILIACION IPS ACEPTA GLOSA POR $108.024, CONCEPTO DE GLOSA POR DISPOSITIVO MEDICO   INSUMO RESUCITADOR MANUAL ADULTO DE SECHABLE KIT COMPLETO DE  6 PIEZAS CON VALVULA DE  SOBREPRESION  CANTIDAD  1  VALOR GLOSADO  $ 141.000   INSUMO  NO FACTURABLE UTILIZADO PARA VENTILACION DE L PACIENTE Y  FORMA PARTE DE  LA DOTACION DE L SERVICIO DE  UNIDADE S QUIRURGICAS Y UNIDADE S CRITICAS. DE   ACUERDO A RESOLUCION 3100 DE L 2.019  Y SE ENCUENTRA INCLUIDO EN LA TARIFA DE  UNIDAD DE  CUIDADOS CRITICAS-INTENSIVOS   DE  CONFORMIDAD CON EL NUMERAL 42 Y 43 DE L DE L DE CRETO 780 DE L 2.016 CAPITULO 6 DE L TITULO 3 DE  LA PARTE 5 DE L LIBRO 2 MANUAL DE L REGIMEN TARIFARIO.</t>
  </si>
  <si>
    <t>EN CONCILIACION IPS ACEPTA GLOSA POR $61.268, CONCEPTO DE GLOSA TOTAL GASTO DE  OXIGENO  NO SE PRESENTA HOJA DE  GASTO DE  CONSUMO DE  OXIGENO PARA REALIZAR AUDITORIA</t>
  </si>
  <si>
    <t>EN CONCILIACION IPS ACEPTA GLOSA POR $61.268, CONCEPTO DE GLOSA ECO TT 1/2N FACTURADO  PRIMERO SOLICITADO EL 10 DE  SEPT RESULTADO NORMAL SIN VEGETACIONES  EL SEGUNDO EL 14 DE  SEPT CON IGUAL RESULTADO  NO HAY JUSTIFICACION EN HC PARA SOLICITUD DE  SEGUNDO EXAMEN</t>
  </si>
  <si>
    <t>EN CONCILIACION IPS ACEPTA GLOSA POR $61.268, CONCEPTO DE SE OBJETA  MEDICAMENTO    BAJO EL CODIGO SO4201   NO SE ANEXA LA LISTA DE  PRECIOS   SOPORTE EXIGIDO PARA LA EVALUACION Y VALIDACION DE  LAS TARIFAS COBRADAS  CONFORME  A LA RESOLUCION 2284 DE  2023. LA OMISION DE  ESTE DOCUMENTO  OBLIGATORIO CUANDO NO EXISTE ACUERDO DE  VOLUNTADE S  IMPIDE  LA REVISION TARIFARIA</t>
  </si>
  <si>
    <t>EN CONCILIACION IPS ACEPTA GLOSA POR $108.024, CONCEPTO DE SE OBJETA APLICACION DE  HEMODE RIVADOS REALIZADO POR PERSONAL ASISTENCIAL INCLUIDO EN ESTANCIA  ADE MAS NO SE EVIDE NCIA NOTA MEDICA DE  SU REALIZACION.</t>
  </si>
  <si>
    <t>EN CONCILIACION IPS ACEPTA GLOSA POR $61.268, CONCEPTO DE SE OBJETA APLICACION DE  HEMODE RIVADOS REALIZADO POR PERSONAL ASISTENCIAL INCLUIDO EN ESTANCIA  ADE MAS NO SE EVIDE NCIA NOTA MEDICA DE  SU REALIZACION.</t>
  </si>
  <si>
    <t>EN CONCILIACION IPS ACEPTA GLOSA POR $108,204, CONCEPTO DE SE OBJETA APLICACION DE  HEMODE RIVADOS REALIZADO POR PERSONAL ASISTENCIAL INCLUIDO EN ESTANCIA  ADE MAS NO SE EVIDE NCIA NOTA MEDICA DE  SU REALIZACION.</t>
  </si>
  <si>
    <t>EN CONCILIACION IPS ACEPTA GLOSA POR $108.024, CONCEPTO DE SE OBJETA APLICACION DE  HEMODE RIVADOS REALIZADO POR PERSONAL ASISTENCIAL INCLUIDO EN ESTANCIA  ADE MAS NO SE EVIDE NCIA NOTA MEDICA DE  SU REALIZACION</t>
  </si>
  <si>
    <t>EN CONCILIACION EN CONCILIACION ES EHUS ACEPTA GLOSA A TRANSFUSION REALZIADA POR PERSONAL DE ENFERMERIA SEGÚN LO EVIDENCIADO EN NOTAS, POR LO TANTO NO FACTURABLE INCLUIDO EN LAS ACTIVIDADES DEL PERSONAL</t>
  </si>
  <si>
    <t xml:space="preserve">EN CONCILIACION ACEPTADO EN GLOSA INICIAL - CL0701 ESE HUS ACEPTA GLOSA POR 3700 POR ONDANSETRON MEDICAMENTO NO JUSTIFICADO NI SOPORTADO EN ATENCION A LO DESCRITO COMO MOTIVO DE CONSULTA Y ENFERMEDAD ACTUAL  PACIENTE CON CEFALEA CRONICA AGUDIZADA CON MAREO DOLOR LUMBAR Y PARESTESIAS EN BRAZO DERECHO  VALORADA POR NEUROCIRUGIA DE TURNO QUIEN REFIERE PACINETE DEBE INGRESAR PARA TOMA DE PARACLINICOS E IMAGENES DIAGNOSTICAS  SE INGRESA PARA MANEJO INTEGRAL  SE ESTA ATENTO A CAMBIOS. </t>
  </si>
  <si>
    <t xml:space="preserve">EN CONCILIACION ESE HUS ACEPTA GLOSA PARCIAL POR 238614 CORRESPONDIENTE A RELIQUIDACION DE PROCEDIMIENTO LISIS DE ADHERENCIAS TENIENDO EN CUENTA PROCEDIMIENTO PRINCIPAL RESECCION DE TUMOR DE OVARIO Y SALPINGUECTOMIA UNILATERAL  POR LO TANTO SE DEJA LISIS DE ADHRENCIAS COMO 3ER PROCEDIMIENTO ANTE HALLAZGO QUIRURGICO SOPORTADO Y DESCRITA SU REALIZACION QUEDANDO AL 50% HONORARIOS DE CIRUJANO  ANESTESIOLOGO Y AYUDANTE QUIRURGICO  SIN DERECHO A COBRO ADICIONAL POR MATERIALES Y DERECHOS DE SALA. EN ATENCION A DECRETO 2423 DE 1996. </t>
  </si>
  <si>
    <t>EN CONCILIACION IPS ACEPTA GLOSA POR $19, CONCEPTO DE SE OBJETA APLICACION DE  HEMODE RIVADOS REALIZADO POR PERSONAL ASISTENCIAL INCLUIDO EN ESTANCIA  ADE MAS NO SE EVIDE NCIA NOTA MEDICA DE  SU REALIZACION</t>
  </si>
  <si>
    <t>EN CONCILIACION IPS ACEPTA GLOSA POR $401, CONCEPTO DE SE OBJETA APLICACION DE  HEMODE RIVADOS REALIZADO POR PERSONAL ASISTENCIAL INCLUIDO EN ESTANCIA  ADE MAS NO SE EVIDE NCIA NOTA MEDICA DE  SU REALIZACION</t>
  </si>
  <si>
    <t>EN CONCILIACION IPS ACEPTA GLOSA POR $49,CONCEPTO DE SE OBJETA APLICACION DE  HEMODE RIVADOS REALIZADO POR PERSONAL ASISTENCIAL INCLUIDO EN ESTANCIA  ADE MAS NO SE EVIDE NCIA NOTA MEDICA DE  SU REALIZACION</t>
  </si>
  <si>
    <t xml:space="preserve">EN CONCILIACION ACEPTADO EN GLOSA INICIAL - CL0101 ESE HUS ACEPTA GLOSA POR $929.898 DIFERENCIA ENTRE ESTANCIA EN UCI PLENA Y UCI INTERMEDIA  UNA VEZ REVISADA LA HISTORIA CLINICA SE EVIDENCIA PACIENTE HEMODINAMICAMENTE ESTABLE  SIN SOPORTE VASOPRESOR  SIN SOPORTE DE OXIGENO DE ALTO FLUJO  EN MANEJO DE QUEMADURAS CON INDICACION DE MANEJO EN UNIDAD DE QUEMADOS  NO CUMPLE CRITERIOS PARA PERMANENCIA EN UNIDAD DE CUIDADO INTENSIVO.  </t>
  </si>
  <si>
    <t xml:space="preserve">EN CONCILIACION ACEPTADO EN GLOSA INICIAL - CL0101 ESE HUS ACEPTA GLOSA POR $4.295.188, DIFERENCIA ENTRE ESTANCIA EN UCI PLENA Y UCI INTERMEDIA  UNA VEZ REVISADA LA HISTORIA CLINICA SE EVIDENCIA PACIENTE HEMODINAMICAMENTE ESTABLE  SIN SOPORTE VASOPRESOR  SIN SOPORTE DE OXIGENO DE ALTO FLUJO  EN MANEJO DE QUEMADURAS CON INDICACION DE MANEJO EN UNIDAD DE QUEMADOS  NO CUMPLE CRITERIOS PARA PERMANENCIA EN UNIDAD DE CUIDADO INTENSIVO.  </t>
  </si>
  <si>
    <t xml:space="preserve">EN CONCILIACION ACEPTADO EN GLOSA INICIAL - CL0101 ESE HUS ACEPTA GLOSA PARCIAL POR 1.195.740 POR ESTANCIA DE LOS DIAS 27  29 30  TENIENDO EN CUENTA QUE PACIENTE YA TENIA CONDUCTA DEFINIDA DE PROCEDIMIENTO CON APTO DE ANESTESIA Y CONCEPTO DE MEDICINA INTERNA  EN ESPERA DE ASIGNACION DE FRANJA QUIRURGICA  POR LO QUE SE CONSIDERA ESTANCIA INACTIVA INJUSTIFICADA POR INOPORTUNIDAD QUIRURGICA  LOS DEMAS DIAS SE CONSIDERA PERTINENTE EN MANEJO Y ESTABILIZACION DE CIFRAS TENSIONALES. CL0101 ESE HUS NO ACEPTA GLOSA POR EL DIA 28 PACIENTE EN ESTUDIOS Y DEFINICION DE MANEJO QUIRURGICOS  ADEMAS CON CIFRAS TENSIONALES FUERA DE METAS EN COMPENSACION POR LO QUE SE CONSIDERA DIAS PERTINENTES.   </t>
  </si>
  <si>
    <t xml:space="preserve">EN CONCILIACION ACEPTADO EN GLOSA INICIAL - CL0101 ESE HUS ACEPTA GLOSA PARCIAL POR 797.160 POR 2 DIAS DE ESTANCIA INACTIVA DE LOS DIAS 30 Y 1 EN ESPERA DE PROGRAMACION DE CIRUGIA  EN PACIENTE QUE INGRESA EL DIA 27 VALORA ORTOPEDIA INDICA MANEJO QUIRURGICO  SOLICITA VALORACION POR ANESTESIA  GERIATRIA Y PSIQUIATRIA DADO ANTECEDENTES  EL DIA 28 CON APTO POR LAS ESPECIALIDADES  EN ESPERA DE ASIGNACION DE FRANJA  EL DIA 29 EN ESPERA DE ASIGNACION DE FRANJA. PACIENTE PROGRAMADO PARAA EL DIA 2. ESTANCIA INACTIVA DEL 30 Y 1.  </t>
  </si>
  <si>
    <t xml:space="preserve">EN CONCILIACION ACEPTADO EN GLOSA INICIAL - CL0801 ESE HUS ACEPTA GLOSA POR 1.195.740 POR ESTANCIA INACTIVA DEL 18 19 Y 20 PACIENTE CON INDICACION DE PROCEDIMIENTO DE URETEROLITOTOMIA  CON APTO DE ANESTESIA EL DIA 17  E INDICAN SE PROGRAMA EN FRANJA QUIRURGICA DEL DIA 22  POR LO ANTERIOR SE CONSIDERA ESTANCIA INJUSTIFICADA INACTIVA EN PACIENTE ESTABLE COMPENSADO SIN MANEJO ADICIONAL EN ESPERA DE PROCEDIMIENTO.  </t>
  </si>
  <si>
    <t>EN CONCILIACION EN CONCILIACION DMBGA LEVANTA GLOSA ESTUDIO JUSTIFICADO EN HC POR ANTECEDENTE.</t>
  </si>
  <si>
    <t xml:space="preserve">EN CONCILIACION ACEPTADO EN GLOSA INICIAL - CL0801 ESE HUS ACEPTA GLOSA POR 68.120 ESTUDIO RELACION LACTATO PIRUVATO  UNA VEZ REVISADA LA HISTORIA CLINICA SE EVIDENCIA ESTUDIO SOLICITADO PERO NO REPORTADO  NO INTERPRETADO POR LO TANTO NO PERTINENTE NI JUSTIFICADO EN LA HISTORIA CLINICA.   </t>
  </si>
  <si>
    <t xml:space="preserve">EN CONCILIACION ACEPTADO EN GLOSA INICIAL - CL0801 ESE HUS ACEPTA GLOSA POR $1.594.320, ESTUDIO RELACION LACTATO PIRUVATO  UNA VEZ REVISADA LA HISTORIA CLINICA SE EVIDENCIA ESTUDIO SOLICITADO PERO NO REPORTADO  NO INTERPRETADO POR LO TANTO NO PERTINENTE NI JUSTIFICADO EN LA HISTORIA CLINICA.   </t>
  </si>
  <si>
    <t xml:space="preserve">EN CONCILIACION ACEPTADO EN GLOSA INICIAL - CL0801 ESE HUS ACEPTA GLOSA POR 68.120 LACTATO ARTERIAL ESTUDIO SOLICITADO AL INGRESO NO JUSTIFICADO POR MEDICO GENERAL QUIEN LO SOLICITA CON EL FIN DE DAR SOPORTE A LA INDICACION  ADEMAS NO SE REGISTRA SU INTERPRETACION O APORTE AL MANEJO POR LO QUE NO SE CONSIDERA PERTINENTE SU INDICACION. </t>
  </si>
  <si>
    <t xml:space="preserve">EN CONCILIACION ACEPTADO EN GLOSA INICIAL - CL5801 ESE HUS ACEPTA GLOSA PARCIAL POR 1.269.690 POR RELIQUIDACION DE PROCEDIMIENTO REALIZADO FISTULECTOMIA COMO PRINCIPAL Y DADO LOS HALLAZGOS REALIZADA LA ESCISION DE TEJIDO PERIANAL DESCRITA Y SOPORTADA EN REGISTRO QUIRURGICO. QUEDADO AJUSTADO ASI: 626.340 POR DERECHOS DE SALA FACTURADOS AL 100% EN EN PROCEDIMIENTO PRINCIPAL  NO HAY LUGAR A COBRO EN SEGUNDO PROCEDIMIENTO EN ATENCION A DECRETO 2423 DE 1996  Y 643.350 POR HONORARIOS DE CIRUJANO AJUSTADO AL 50% TENIENDO EN CUENTA QUE SE FACTURO AL 100% EN PROCEDIMIENTO PRINCIPAL  EN ATENCION A DECRETO 2423 DE 1996 </t>
  </si>
  <si>
    <t xml:space="preserve">EN CONCILIACION ACEPTADO EN GLOSA INICIAL - CL2301 ESE HUS ACEPTA GLOSA POR 336.171 POR PROCEDIMIENTO SALPINGUECTOMIA UNILATERAL NO FACTURABLE EN ATENCION A PROCEDIMIENTO PRINCIPAL  TENIENDO EN CUENTA QUE LO REALIZADO SEGUN LA DESCRIPCION QUIRURGICA Y LO REGISTRADO POR EL ESPECIALISTA ES UNA HISTERECTOMIA ABDOMINAL TOTAL AMPLIADA POR LAPAROTOMIA  Y EN ESTE CASO CUANDO ES AMPLIADA ESTA INCLUYE EXTIRPACION DE OVARIO Y TROMPAS DE FALOPIO  POR LO TANTO NO ES FACTURABLE ADICIONAL.  </t>
  </si>
  <si>
    <t>EN CONCILIACION IPS ACEPTA GLOSA POR $4.700, CONCEPTO DE SE OBJETA APLICACION DE  HEMODE RIVADOS REALIZADO POR PERSONAL ASISTENCIAL INCLUIDO EN ESTANCIA  ADE MAS NO SE EVIDE NCIA NOTA MEDICA DE  SU REALIZACION</t>
  </si>
  <si>
    <t>EN CONCILIACION EN CONCILIACION ESE HUS ACEPTA GLOSA POR $797.160, ESTANCIA INACTIVAA EN ESPERA DE GARANTIA DE HOLTER</t>
  </si>
  <si>
    <t>EN CONCILIACION EN CONCILIACION ESE HUS ACEPTA GLOSA POR $1.223.302, ESTANCIA INACTIVA INOPORTUNIDAD REALZIACION PX</t>
  </si>
  <si>
    <t>EN CONCILIACION IPS ACEPTA GLOSA POR $1.288.699, CONCEPTO DE SE OBJETA APLICACION DE  HEMODE RIVADOS REALIZADO POR PERSONAL ASISTENCIAL INCLUIDO EN ESTANCIA  ADE MAS NO SE EVIDE NCIA NOTA MEDICA DE  SU REALIZACION</t>
  </si>
  <si>
    <t xml:space="preserve">EN CONCILIACION ACEPTADA EN GLOSA INICIAL - CL0101 ESE HUS ACEPTA GLOSA PARCIAL POR 1.594.320 POR 4 DIAS DE ESTANCIA INACTIVA EN ESPERA DE CONSECUSION DE MATERIAL DE OTS  SEGUN LO DESCRITO EN LA HISTORIA CLINICA  PACIENTE CON INDICACION DE SEGUNDO TIEMPO  CON SOLICITUD DE MATERIAL  CON APTO DE ANESTESIA DESDE EL DIA 12  SE PROGRAMA PROCEDIMIENTO PARA  EL DIA 17  POR LO QUE SE CONSIDERA DIAS 13 14 15 16 DE ESTANCIA INACTIVA INJUSTIFICADA.  </t>
  </si>
  <si>
    <t>EN CONCILIACION ESE HUS ACEPTA GLOSA PARCIAL POR $555.400,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</si>
  <si>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POR $1.060.160, PARCIAL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</si>
  <si>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$162.500, SE RECONOCE FACTURA DE COMPRA ADJUNTA MAS EL 19 PORCIENTO IVA Y 20 PORCIENTO SEGÚN RESOLUCION PROPIA IPS ACEPTA LA DIFERENCIA POR MVC POR CONCEPTO DE MATERIALES DE OSTEOSINTESIS NO SE DISPONE DE FACTURA DE COMPRA DE MAOS  PARA ESTABLECER EL VALOR A FACTURAR</t>
  </si>
  <si>
    <t xml:space="preserve">EN CONCILIACION EN CONCILIACION DMBGA LEVANTAA GLOSA A ESTUDIOS JUSTIFICADOS DADO QUE LA PAATOLOGIA SINDROME CARDIO MIOFASCIOCUTANEO SE DEBE VIGILAR LA FUNCION TIROIDEA  POR RIESGO DE ALTERACION TIROIDEA </t>
  </si>
  <si>
    <t>EN CONCILIACION ESE HUS ACEPTA GLOSA PARCIAL POR $497.001,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</si>
  <si>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$833.465,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</si>
  <si>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$213.273,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</si>
  <si>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$428.586,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</si>
  <si>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$21.000,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</si>
  <si>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$483.700,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</si>
  <si>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$1.676.800,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</si>
  <si>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$748.000,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</si>
  <si>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ESE HUS ACEPTA GLOSA PARCIAL POR $838.400, SE RECONOCE FACTURA DE COMPRA ADJUNTA MAS EL 19 PORCIENTO IVA Y 20 PORCIENTO SEGÚN RESOLUCION PROPIA IPS ACEPTA LA DIFERENCIA POR MVC POR CONCEPTO DE MATERIALES DE OSTEOSINTESIS NO SE DISPONE DE FACTURA DE COMPRA DE MAOS  PARA ESTABLECER EL VALOR A FACTURAR</t>
  </si>
  <si>
    <t>EN CONCILIACION SE LEVANTA GLOSA IPS SOPORTA DESCRIPCION QUIRURGICA Y HOJA DE ANESTESIA PARA LOS PROCEDIMIENTOS FACTURADOS</t>
  </si>
  <si>
    <t>EN CONCILIACION ESE HUS ACEPTA GLOSA PARCIAL POR $63.500, SE RECONOCE FACTURA DE COMPRA ADJUNTA MAS EL 19 PORCIENTO IVA Y 20 PORCIENTO SEGÚN RESOLUCION PROPIA IPS ACEPTA LA DIFERENCIA POR MVC POR CONCEPTO DE MATERIALES DE OSTEOSINTESIS NO SE DISPONE DE FACTURA DE COMPRA DE MAOS  PARA ESTABLECER EL VALOR A FACTURAR</t>
  </si>
  <si>
    <t>HUS0000325712</t>
  </si>
  <si>
    <t>EN CONCILIACION ESE HUS ACEPTA PARCIAL GLOSA POR $699.178 CORRESPONDIENTE A: 
$77,700 POR INMOVILIZACION DE MIMEBRO SUPERIOR - PARA REFACTURAR AL ADRES POR MOTIVO DE AGOTAMIENTO DE LIMITE DE COBERTURA POLIZA SOAT.
$95,500 DERECHOS DE SALA - PARA REFACTURAR AL ADRES POR MOTIVO DE AGOTAMIENTO DE LIMITE DE COBERTURA POLIZA SOAT.
$180,800 RADIOGRAFIAS BRAZO - PIERNA RODILLA - PARA REFACTURAR AL ADRES POR MOTIVO DE AGOTAMIENTO DE LIMITE DE COBERTURA POLIZA SOAT.
$81,400 CONSULTA DE URGENCIAS - PARA REFACTURAR AL ADRES POR MOTIVO DE AGOTAMIENTO DE LIMITE DE COBERTURA POLIZA SOAT.
$68,600 HEMOGRAMA -  PARA REFACTURAR AL ADRES POR MOTIVO DE AGOTAMIENTO DE LIMITE DE COBERTURA POLIZA SOAT.
$195,178 TAC EXTREMIDADES ARTICULACIONES. PARA REFACTURAR AL ADRES POR MOTIVO DE AGOTAMIENTO DE LIMITE DE COBERTURA POLIZA SOAT.
ASEGURADORA LEVANTA DIFERENCIA.</t>
  </si>
  <si>
    <t>EN CONCILIACION ESE HUS ACEPTA GLOSA PARCIAL POR VALOR DE $1.121.000 ASI:
$40,900 CORRESPONDIENTE A RADIOGRAFIA DE CADERA COMPARATIVA, ESTUDIO NO PERTINENTE EN ATENCION SEGUN LOS HALLAZGOS DESCRITOS AL EXAMEN FISICO. 
$1,002,500 POR RECONSTRUCCION 3D DE RODILLA - PARA REFACTURAR AL ADRES POR MOTIVO DE AGOTAMIENTO DE LIMITE DE COBERTURA POLIZA SOAT.
$7.900 ESTUDIO DE VSG - PARA REFACTURAR AL ADRES POR MOTIVO DE AGOTAMIENTO DE LIMITE DE COBERTURA POLIZA SOAT.
$69.700 ESTUDIO PCR-PARA REFACTURAR AL ADRES POR MOTIVO DE AGOTAMIENTO DE LIMITE DE COBERTURA POLIZA SOAT.
ASEGURADORA LEVANTA DIFERENCIA.</t>
  </si>
  <si>
    <t>EN CONCILIACION ESE HUS ACEPTA GLOSA POR $1,102,827 CORRESPONDIENTE A ESTANCIA DE 3 DIAS EN HABITACION 4 CAMAS. PARA REFACTURAR AL ADRES POR MOTIVO DE AGOTAMIENTO DE LIMITE DE COBERTURA POLIZA SOAT.</t>
  </si>
  <si>
    <t>HUS0000333815</t>
  </si>
  <si>
    <t>EN CONCILIACION ESE HUS ACEPTA GLOSA PARCIAL POR $69,678 QUE CORRESPONDE A: 
$69,656 POR CONCEPTO DE LACTATO ESTUDIO NO PERTINENTE NI JUSTIFICADO SEGÚN LO REGISTRADO EN HISTORIA CLINICA, NO SE EVIDENCIA JUSTIFICACION DE SU INDICACION Y APORTE A LA CONDICION DEL PACIENTE. 
$22 POR MVC EN CONSULTA DE URGENCIAS.
ASEGURADORA LEVANTA DIFERENCIA.</t>
  </si>
  <si>
    <t>EN CONCILIACION ESE HUS ACEPTA GLOSA PARCIAL POR $64,086 POR MVC EN PIN GUIA SEGÚN LA FACTURA DE COMPRA.
ASEGURADORA LEVANTA DIFERENCIA.</t>
  </si>
  <si>
    <t xml:space="preserve">EN CONCILIACION ESE HUS ACEPTA GLOSA POR $254.152 POR CONCEPTO DE:
$158,845 POR TERAPIA RESPIRATORIA NO PERTINENTE, NI JUSTIFICADA EN PACIENTE SIN CUADRO RESPIRATORIO ASOCIADO.
$95,307 TERAPIA OCUPACIONAL SIN JUSTIFICACION NI PERTINENCIA.  NO HAY UNA ORDEN MEDICA QUE AVALE SU INDICACION NI UNA VALORACION INICIAL COMPLETA QUE PERMITA AVALAR LA PERTINENCIA DE LAS TERAPIAS, SEGUN EL PROTOCOLO INSTITUCIONAL ESTABLECIDO NO CUMPLE CRITERIOS. </t>
  </si>
  <si>
    <t>EN CONCILIACION ESE HUS ACEPTA GLOSA PARCIAL  POR $94,224 CORRESPONDIENTE A:  
$73,516 RADIOGRAFIA ACIDIONAL CON ESTRÉS SIN UNA JUSTIFICACION DE SU REALIZACION EN LA HISTORIA CLINICA SE FACTURAN 3 PROYECCIONES ESPECIALIES, ENTIDAD RECONOCIO LAS DEMAS. 
$20,708 GLUCOMETRIA NO JUSTIFICADA NI PERTINENTE EN PACIENTE SIN ANTECEDENTES, NO HAY INDICACION MEDICA DE LA TOMA, NO PERTINENCIA.
ASEGURADORA LEVANTA DIFERENCIA.</t>
  </si>
  <si>
    <t>EN CONCILIACION ESE HUS ACEPTA GLOSA PARCIAL POR $149,856 CORRESPONDIENTE A AJUSTE DE LIQUIDACION DE PROCEDIMIENTO INJERTO OSEO SEGÚN DESCRIPCION PROCEDIMIENTO REALIZADO COMO MISMA VIA MISMO ESPECIALISTA Y SE FACTURA AL 100%.
ASEGURADORA LEVANTA DIFERENCIA.</t>
  </si>
  <si>
    <t>HUS0000348868</t>
  </si>
  <si>
    <t>HUS0000354248</t>
  </si>
  <si>
    <t>CL08</t>
  </si>
  <si>
    <t>HUS0000352814</t>
  </si>
  <si>
    <t>HUS0000352884</t>
  </si>
  <si>
    <t>HUS0000359792</t>
  </si>
  <si>
    <t xml:space="preserve">EN CONCILIACION ESE HUS ACEPTA GLOSA PARCIAL POR $108,400 CORRESPONDIENTE A GLUCOMETRIA NO PERTINENTE NI SOPORTADA EN LA HISTORIA CLINICA SU INDICACION,ESTUDIO DE COOMBS Y HEMOCLASIFICACION NO PERTINENTES EN PACIENTE SIN INDICACION DE RESERVA DE HEMOCOMPONENTES QUE SOPORTE SU INDICACION Y SOLICITADO AL INGRESO DEL PACIENTE SIN UN PREVIO ANALISIS DE SU CONDICION Y DEFINIR SI SE REQUIERE O NO. </t>
  </si>
  <si>
    <t>HUS0000361359</t>
  </si>
  <si>
    <t>CL02</t>
  </si>
  <si>
    <t>HUS0000395929</t>
  </si>
  <si>
    <t>HUS0000400979</t>
  </si>
  <si>
    <t>HUS0000400270</t>
  </si>
  <si>
    <t>HUS0000401507</t>
  </si>
  <si>
    <t>EN CONCILIACION ESE HUS ACEPTA GLOSA POR $100 MVC EN CONSULTA DE URGENCIAS, SE RECONOCE TARIFA SEGÚN CIRCULAR 025 DE 2024.</t>
  </si>
  <si>
    <t>EN CONCILIACION ESE HUS ACEPTA GLOSA POR $700 MVC EN LOS CODIGOS (19224, 21102, 21601, 21712) SE RECONOCE TARIFA SEGÚN CIRCULAR 025 DE 2024.</t>
  </si>
  <si>
    <t>EN CONCILIACION ESE HUS ACEPTA GLOSA POR $59,200 CORRESPONDIENTE A:
$43,100 RADIOGRAFIA DE CADERA COMPARATIVA SIN PERTINENCIA EN ATENCION A LOS HALLAZGOS DECSRITOS AL EXAMEN FISICO NO SOPORTA LA INDICACION DEL ESTUDIO. 
$16,100 COOMBS NO PERTINENTE EN PACIENTE SIN INDICACION DE RESERVA DE HEMODERIVADOS, NO LLEVADO A TRANSFUSION Y SOLICITADO AL INGRESO SIN UN PREVIO ANALISIS DE SU CONDICION QUE AVALE SI REQUIERE O NO DEL ESTUDIO. 
ASEGURADORA LEVANTA DIFERENCIA.</t>
  </si>
  <si>
    <t>HUS0000407108</t>
  </si>
  <si>
    <t>EN CONCILIACION SE ACEPTA GLOSA POR $100 MVC EN CONSULTA DE URGENCIA, SE RECONOCE TARIFA SEGÚN CIRCULAR 025 DE 2024.</t>
  </si>
  <si>
    <t xml:space="preserve">EN CONCILIACION ESE HUS ACEPTA GLOSA POR $73,500 POR RADIOGRAFIA DE MANO, SEGÚN LO DESCRITO EN HISTORIA CLINICA PACIENTE INGRESA CON IMÁGENES DEL HOSPITAL MANUELA BELTRAN SE TOMA 2 RADIOGRAFIAS MAS, ENTIDAD RECONOCE 1 </t>
  </si>
  <si>
    <t>HUS0000398235</t>
  </si>
  <si>
    <t>HUS0000398244</t>
  </si>
  <si>
    <t>HUS0000414905</t>
  </si>
  <si>
    <t xml:space="preserve">EN CONCILIACION ESE HUS ACEPTA GLOSA POR $4,700 POR GLUCOMETRIA NO PERTINENTE NI SOPORTADA SU INDICACION EN LA HISTORIA CLINICA. </t>
  </si>
  <si>
    <t>HUS0000381744</t>
  </si>
  <si>
    <t>EN CONCILIACION IPS ACEPTA GLOSA PARCIAL POR $476.000, SE RECONOCE FACTURA DE COMPRA ADJUNTA MAS EL 20 PORCIENTO SEGUN RESOLUCION INSTITUCIONAL POR MATERIALES DE OSTEOSINTESIS NO SE DISPONE DE FACTURA DE COMPRA DE MAOS  PARA ESTABLECER EL VALOR A FACTURAR - La glosa formulada por la entidad responsable del pago al material de osteosíntesis (placa LCP 2.7 y siete tornillos corticales 2.7 mm) por sobrecobro de ochocientos cincuenta y dos mil doscientos ochenta pesos ($852.280) es TÉCNICAMENTE PROCEDENTE, por cuanto se constata la diferencia  entre la factura de compra del proveedor y la factura de venta de HUS  que la institución aplicó márgenes efectivos del 42,87 % y 53,92 %, muy por encima del 20 % máximo a facturar segun Obligaciones contractuales con la entidad que es FACTURAD DE COMPRA +20%
1. Costo de compra a PRECIMEC (factura del 23/04/2025)
ÍtemCódigo HUSCantidadVr. unitario compraTotal compraPlaca Recta 2.7 Ti ACB *8FMO008241$1.645.100$1.645.100Tornillo Cortical 2.7 mm Ti AR TorxFMO006717$200.500$1.403.500TOTAL FACTURA DE COMPRA8$3.048.600
2. Lo que HUS DEBERÍA haber facturado (compra × 1,20)
ÍtemCantidadCompra unitaria× 1,20 (correcto)Total correctoPlaca LCP 2.7 Recta 4,6 agujeros1$1.645.100$1.974.120$1.974.120Tornillo Cortical 2.7 mm7$200.500$240.600$1.684.200TOTAL FACTURABLE CORRECTO8$3.658.320
3. Lo que HUS REALMENTE facturó 
ÍtemCantidadVr. unitario facturadoTotal facturadoPlaca LCP 2.7 Recta 4,6 agujeros1$2.350.400$2.350.400Tornillo Cortical 2.7 mm7$308.600$2.160.200TOTAL FACTURADO8$4.510.600
4. Diferencias (sobrecobro respecto al +20%)
ÍtemFacturado unit.+20% correcto  Sobrecobro unit.Cantidad  Sobrecobro totalPlaca LCP 2.7$2.350.400$1.974.120$376.2801$376.280Tornillo Cortical 2.7 mm$308.600$240.600$68.0007$476.000TOTAL SOBRECOBRO  $852.280
5. Margen efectivo aplicado por HUS (lo que realmente cobró sobre el costo)
ÍtemCompraFacturadoMargen aplicadoMargen permitidoExcesoPlaca$1.645.100$2.350.400+42,87 %+20 %+22,87 ppTornillo (c/u)$200.500$308.600+53,92 %+20 %+33,92 pp
CUENTAS:
Total facturado por HUS: $4.510.600
Total que debió facturar (compra + 20%): $3.658.320
Diferencia / sobrecobro: $852.280
En porcentaje del facturado: 18,9 % por encima de lo permitido
HUS aplicó márgenes efectivos del 42,9% en la placa y del 53,9% en cada tornillo, ambos muy por encima del 20% CONTRATADO.</t>
  </si>
  <si>
    <t>EN CONCILIACION IPS ACEPTA GLOSA PARCIAL POR $376.280, SE RECONOCE FACTURA DE COMPRA ADJUNTA MAS EL 20 PORCIENTO SEGUN RESOLUCION INSTITUCIONAL POR MATERIALES DE OSTEOSINTESIS NO SE DISPONE DE FACTURA DE COMPRA DE MAOS  PARA ESTABLECER EL VALOR A FACTURAR - La glosa formulada por la entidad responsable del pago al material de osteosíntesis (placa LCP 2.7 y siete tornillos corticales 2.7 mm) por sobrecobro de ochocientos cincuenta y dos mil doscientos ochenta pesos ($852.280) es TÉCNICAMENTE PROCEDENTE, por cuanto se constata la diferencia  entre la factura de compra del proveedor y la factura de venta de HUS  que la institución aplicó márgenes efectivos del 42,87 % y 53,92 %, muy por encima del 20 % máximo a facturar segun Obligaciones contractuales con la entidad que es FACTURAD DE COMPRA +20%
1. Costo de compra a PRECIMEC (factura del 23/04/2025)
ÍtemCódigo HUSCantidadVr. unitario compraTotal compraPlaca Recta 2.7 Ti ACB *8FMO008241$1.645.100$1.645.100Tornillo Cortical 2.7 mm Ti AR TorxFMO006717$200.500$1.403.500TOTAL FACTURA DE COMPRA8$3.048.600
2. Lo que HUS DEBERÍA haber facturado (compra × 1,20)
ÍtemCantidadCompra unitaria× 1,20 (correcto)Total correctoPlaca LCP 2.7 Recta 4,6 agujeros1$1.645.100$1.974.120$1.974.120Tornillo Cortical 2.7 mm7$200.500$240.600$1.684.200TOTAL FACTURABLE CORRECTO8$3.658.320
3. Lo que HUS REALMENTE facturó 
ÍtemCantidadVr. unitario facturadoTotal facturadoPlaca LCP 2.7 Recta 4,6 agujeros1$2.350.400$2.350.400Tornillo Cortical 2.7 mm7$308.600$2.160.200TOTAL FACTURADO8$4.510.600
4. Diferencias (sobrecobro respecto al +20%)
ÍtemFacturado unit.+20% correcto  Sobrecobro unit.Cantidad  Sobrecobro totalPlaca LCP 2.7$2.350.400$1.974.120$376.2801$376.280Tornillo Cortical 2.7 mm$308.600$240.600$68.0007$476.000TOTAL SOBRECOBRO  $852.280
5. Margen efectivo aplicado por HUS (lo que realmente cobró sobre el costo)
ÍtemCompraFacturadoMargen aplicadoMargen permitidoExcesoPlaca$1.645.100$2.350.400+42,87 %+20 %+22,87 ppTornillo (c/u)$200.500$308.600+53,92 %+20 %+33,92 pp
CUENTAS:
Total facturado por HUS: $4.510.600
Total que debió facturar (compra + 20%): $3.658.320
Diferencia / sobrecobro: $852.280
En porcentaje del facturado: 18,9 % por encima de lo permitido
HUS aplicó márgenes efectivos del 42,9% en la placa y del 53,9% en cada tornillo, ambos muy por encima del 20% CONTRATADO.</t>
  </si>
  <si>
    <t>EN CONCILIACION EPS LEVANTA GLOSA, IPS ADJUNTA SOPORTES DE GESTION POR CORREO SOLICITANDO AUTORIZACION DE LOS PROCEDIMIENTOS FACTURADOS IPS ADJUNTA SOPORTE DE AUTORIZACION POR EL DISPENSARIO MEDICO PARA CADA UNO SE ADJUNTA SOPORTE</t>
  </si>
  <si>
    <t>AU0201</t>
  </si>
  <si>
    <t>EN CONCILIACION EPS LEVANTA GLOSA PROCEDIMIENTO RADICADO SIN CONTRATO POR LO QUE SE RECONOCE SOAT UVB VIGENTE SE EVIDENCIA MENOR VALOR FACTURADO</t>
  </si>
  <si>
    <t>HUS0000200498</t>
  </si>
  <si>
    <t>VALOR $325.100 ACEPTADO EN TRAMITE DE RESPUESTA DE GLOSA INICIAL, CON NOTA CREDITO: 169913</t>
  </si>
  <si>
    <t>HUS0000201327</t>
  </si>
  <si>
    <t>HUS0000202795</t>
  </si>
  <si>
    <t>VALOR $176.200 ACEPTADO EN TRAMITE DE RESPUESTA DE GLOSA INICIAL, CON NOTA CREDITO: 169914</t>
  </si>
  <si>
    <t>HUS0000202807</t>
  </si>
  <si>
    <t>SSS RATIFICA GLOSA INICIALMENTE FORMULADA, SE DEVUELVE TOTAL FACTURA POR BD Y POR COBERTURA USUARIO REGISTRA CON DNP EN PIEDECUESTA PARA LA FECHA DE ATENCION POR LO TANTO NO CORRESPONDE A LA COBERTURA DECRETO 866., ESE HUS NO ACEPTA GLOSA POR FACTURACION - USUARIO O SERVICIO CORRESPONDE A OTRO PLAN O RESPONSABLE. SE CONSULTA PAGINA DEL DNP Y PACIENTE NO REGISTRA CON SISBEN DE PIEDECUESTA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</si>
  <si>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HUS0000203217</t>
  </si>
  <si>
    <t>HUS0000203712</t>
  </si>
  <si>
    <t>HUS0000203760</t>
  </si>
  <si>
    <t>EN CONCILIACION ESE HUS ACEPTA GLOSA PARCIAL POR $862.200 CORRESPONDIENTE A: (3) DIAS DE ESTANCIA POR CONCEPTO DE INOPORTUNIDAD DE MANEJO, PACIENTE EN ESPERA DE MATERIAL Y PROCEDIMIENTO QUIRURGICO. ENTIDAD LEVANTA EL RESTANTE</t>
  </si>
  <si>
    <t>HUS0000203865</t>
  </si>
  <si>
    <t>HUS0000205008</t>
  </si>
  <si>
    <t>HUS0000205110</t>
  </si>
  <si>
    <t>EN CONCILIACION ESE HUS ACEPTA GLOSA PARCIAL POR $149.777 CORRESPONDIENTES A: MVC TARIFAS MATERIAL DE OSTEOSINTESIS SE RECONOCE SEGUN FACTURA DE COMPRA PR 5655-7107 + 10% DE ACUERDO A LA RESOLUCION 15997. ENTIDAD LEVANTA RESTANTE</t>
  </si>
  <si>
    <t>HUS0000206052</t>
  </si>
  <si>
    <t>VALOR $176.200 ACEPTADO EN TRAMITE DE RESPUESTA DE GLOSA INICIAL, CON NOTA CREDITO: 169916</t>
  </si>
  <si>
    <t>HUS0000206171</t>
  </si>
  <si>
    <t>VALOR $528.600 ACEPTADO EN TRAMITE DE RESPUESTA DE GLOSA INICIAL, CON NOTA CREDITO: 169917. ENTIDAD LEVANTA RESTANTE</t>
  </si>
  <si>
    <t>HUS0000207246</t>
  </si>
  <si>
    <t xml:space="preserve">EN CONCILIACION ESE HUS ACEPTA GLOSA POR $373.200 POR TRANSFUSION O APLICACIÓN DE HEMODERIVADOS INCLUIDOS EN EL PROCESAMIENTO DE LA SANGRE Y EN LA TARIFA DE LA ESTANCIA. </t>
  </si>
  <si>
    <t>HUS0000208014</t>
  </si>
  <si>
    <t>EN CONCILIACION ESE HUS ACEPTA GLOSA TOTAL $1.164.300 CORRESPONDIENTE A: $799.300 AJUSTE DE UCI PLENA A INTERMEDIA EL DIA 28, PACIENTE CON OXIGENO POR VENTURY CON NECESIDAD DE MONITOREO, NO CUMPLE CRITERIOS DE PLENA, DEBIDO A QUE NO SE ADMINISTRO VMI, INOPTOPICOS NO VENTILACION MECANICA NO INVASIVA, MONITOREO Y MANEJO DE INTERMEDIO. $365.000S MVC EN MEDICAMENTO VITAMINA D3 CAP X 2.000 U.I SE AJUSTA A TARIFAS PROMEDIO DEL MERCADO, DE ACUERDO A LA RESOLUCION 15997.</t>
  </si>
  <si>
    <t>HUS0000208688</t>
  </si>
  <si>
    <t>SSS RATIFICA GLOSA INICIALMENTE FORMULADA, SE DEVUELVE TOTAL FACTURA POR BD Y POR COBERTURA USUARIO REGISTRA CON DNP PARA LA FECHA DE ATENCION POR LO TANTO NO CORRESPONDE A LA COBERTURA DECRETO 866., ESE HUS NO ACEPTA GLOSA POR FACTURACION - USUARIO O SERVICIO CORRESPONDE A OTRO PLAN O RESPONSABLE. SE CONSULTA PAGINA DEL DNP Y PACIENTE NO REGISTRA CON SISBEN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</si>
  <si>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HUS0000208696</t>
  </si>
  <si>
    <t xml:space="preserve">EN CONCILIACION ESE HUS ACEPTA GLOSA POR $288.470 CORRESPONDIENTE A: (1) ESTANCIA EFECTIVAMENTE LA PACIENTE CONTINUO HOSPITALIZADA, SE REVISA LA FACTURA HUS215819 DE LA ESTANCIA SIGUIENTE DEL 17 DE JUNIO AL 17 DE JULIO Y FACTURARON 31 DIAS CON EL DIA DE EGRESO LO CUAL CONFIRMA QUE ESTAN COBRANDO UN DIA DE MAS QUE DEBE SER ACEPTADO POR LA IPS. 
VALOR $607.030 ACEPTADO EN TRAMITE DE RESPUESTA DE GLOSA INICIAL, CON NOTA CREDITO: 170112. </t>
  </si>
  <si>
    <t>HUS0000208855</t>
  </si>
  <si>
    <t xml:space="preserve">VALOR $2.763.160 ACEPTADO EN TRAMITE DE RESPUESTA DE GLOSA INICIAL, CON NOTA CREDITO: 170113. </t>
  </si>
  <si>
    <t>HUS0000209440</t>
  </si>
  <si>
    <t>EN CONCILIACION ESE HUS ACEPTA GLOSA PARCIAL POR $1.261.100 CORRESPONDIENTE A: POR CONCEPTO DE AJUSTE DE UCI PLENA A INTERMEDIA EL DIA 25 Y 26, PACIENTE CON OXIGENO POR VENTURY CON NECESIDAD DE MONITOREO, NO CUMPLE CRITERIOS DE PLENA, DEBIDO A QUE NO SE ADMINISTRO VMI, INOPTOPICOS NO VENTILACION MECANICA NO INVASIVA, MONITOREO Y MANEJO DE INTERMEDIO.  ANALISIS EN EL MOMENTO, ESTABLE, SIN SOPORTE VASOPRESOR, AFEBRIL, HIDRATADO, TOLERANDO VÍA ORAL, TOLERANDO DESTETE DE OXIGENO SUPLEMENTARIO, HIPOVENTILACION EN CAMPO PULMONAR IZQUIERDO CON DRENAJE SEROHEMÁTICO. PARACLÍNICOS CON CULTIVO DE PLEURA NEGATIVO. PACIENTE CON ADECUADA EVOLCUIN EL CUAL SE PUEDE MONITORIZAR EN INTERMEDIOS. ENTIDAD LEVANTA RESTANTE</t>
  </si>
  <si>
    <t>HUS0000266187</t>
  </si>
  <si>
    <t>FUNDACION SALUD MIA EPS</t>
  </si>
  <si>
    <t>EN CONCILIACION EPS LEVANTA GLOSA</t>
  </si>
  <si>
    <t>HUS0000426754</t>
  </si>
  <si>
    <t>EN CONCILIACION ESE HUS ACEPTA GLOSA POR VALOR $865.333 POR CONCEPTO DE ABLACIÓN U OCLUSIÓN DE TROMPA DE FALOPIO BILATERAL POR LAPAROTOMÍA PROCEDIMIENTO INCLUIDO EN EL IVE SEGÚN RESOLUCION 280/2024.</t>
  </si>
  <si>
    <t>FA0805</t>
  </si>
  <si>
    <t>HUS0000431196</t>
  </si>
  <si>
    <t>HUS0000432181</t>
  </si>
  <si>
    <t>HUS0000433219</t>
  </si>
  <si>
    <t>HUS0000435739</t>
  </si>
  <si>
    <t>ESE HUS ACEPTO EN GLOSA INICIAL $112.166 CON NOTA CREDITO # 219177 DEL 17/12/2025, EPS LEVANTA DIFERENCIA.</t>
  </si>
  <si>
    <t>HUS0000436724</t>
  </si>
  <si>
    <t>ESE HUS ACEPTO EN GLOSA INICIAL VALOR TOTAL $29.833 SEGÚN NOTA CREDITO: 219845 DEL 19/12/2025</t>
  </si>
  <si>
    <t>ESE HUS ACEPTO EN GLOSA INICIAL VALOR TOTAL $14.022 SEGÚN NOTA CREDITO: 219845 DEL 19/12/2025</t>
  </si>
  <si>
    <t>ESE HUS ACEPTO EN GLOSA INICIAL VALOR TOTAL $13.900 SEGÚN NOTA CREDITO: 219845 DEL 19/12/2025</t>
  </si>
  <si>
    <t>HUS0000454926</t>
  </si>
  <si>
    <t>ESE HUS EN RESPUESTA A GLOSA INICIAL ACEPTA $42.800 SEGÚN NOTA CREDITO 223048 DE 30/01/2026</t>
  </si>
  <si>
    <t>HUS0000437417</t>
  </si>
  <si>
    <t>ESE HUS ACEPTO EN GLOSA INICIAL VALOR TOTAL $2.876 SEGÚN NOTA CREDITO: 219294 DEL 19/12/2025</t>
  </si>
  <si>
    <t>ESE HUS ACEPTO EN GLOSA INICIAL VALOR TOTAL $5.913 SEGÚN NOTA CREDITO: 219294 DEL 19/12/2025</t>
  </si>
  <si>
    <t>ESE HUS ACEPTO EN GLOSA INICIAL VALOR TOTAL $33.500 SEGÚN NOTA CREDITO: 219294 DEL 19/12/2025</t>
  </si>
  <si>
    <t>ESE HUS ACEPTO EN GLOSA INICIAL VALOR TOTAL $3.507SEGÚN NOTA CREDITO: 219294 DEL 19/12/2025</t>
  </si>
  <si>
    <t>ESE HUS ACEPTO EN GLOSA INICIAL VALOR TOTAL $11.885 SEGÚN NOTA CREDITO: 219294 DEL 19/12/2025</t>
  </si>
  <si>
    <t>ESE HUS ACEPTO EN GLOSA INICIAL VALOR TOTAL $3.739 SEGÚN NOTA CREDITO: 219294 DEL 19/12/2025</t>
  </si>
  <si>
    <t>ESE HUS ACEPTO EN GLOSA INICIAL VALOR TOTAL $14.022 SEGÚN NOTA CREDITO: 219294 DEL 19/12/2025</t>
  </si>
  <si>
    <t>ESE HUS ACEPTO EN GLOSA INICIAL VALOR TOTAL $39.100 SEGÚN NOTA CREDITO: 219294 DEL 19/12/2025</t>
  </si>
  <si>
    <t>HUS0000462315</t>
  </si>
  <si>
    <t>EN CONCILIACION ESE HUS ACEPTA GLOSA POR VALOR $708,656 POR MAYOR VALOR COBRADO EN PROGRAMA MADRE CANGURO FASE II - CON TERAPIAS FISICAS Y OCUPACIONALES SEGÚN TARIFA PACTADA EN EL CONTRATO CSA2025EVE3A005 HUS FIRMX2</t>
  </si>
  <si>
    <t>HUS0000462320</t>
  </si>
  <si>
    <t>EN CONCILIACION SE ACEPTA GLOSA TOTAL $708.656 POR MAYOR VALOR COBRADO EN PROGRAMA MADRE CANGURO FASE II - CON TERAPIAS FISICAS Y OCUPACIONALES SEGÚN TARIFA PACTADA EN EL CONTRATO CSA2025EVE3A005 HUS FIRMX2</t>
  </si>
  <si>
    <t>HUS0000463029</t>
  </si>
  <si>
    <t>EN CONCILICION SE ACEPTA GLOSA TOTAL $16.680 POR MVC EN INTERNACION ADULTOS COMPLEJIDAD ALTA HABITACION MULTIPLE SEGÚN TARIFA PACTADA EN EL CONTRATO SSA2025EVE3A005 HUS FIRMX2</t>
  </si>
  <si>
    <t>HUS0000437725</t>
  </si>
  <si>
    <t>EN CONCILIACION ESE HUS ACEPTA GLOSA POR VALOR $88,274, POR CONCEPTO DE SOPORTE RADIOGRAFIA DE RODILLA,DEBIDO A QUE NO SE LE REALIZO AL PACIENTE SEGÚN EL CENTRO DE COSTOS DE IMAGENOLOGIA</t>
  </si>
  <si>
    <t>EN CONCILIACION ESE HUS ACEPTA GLOSA PARCIAL POR $360.936 POR CONCEPTO DE PROCEDIMIENTO DE TORACOSTOMIA, EN ATENCION A QUE SEGUN LO VERIFICADO EN LA HISTORIA CLINICA EL PRIMER PROCEDIMIENTO REALIZADO AL INGRESO DEL PACIENTE FUE FALLIDO, EVIDENCIADO EN RADIOGRAFIA POST PROCEDIMIENTO, QUE EL TUBO SE ENCONTRABA EN TEJIDO SUBCUTANEO, POR LO QUE REQUIRIO REINTERVENCION, ENTIDAD LEVANTA  RESTANTE.</t>
  </si>
  <si>
    <t>HUS0000448508</t>
  </si>
  <si>
    <t>EN CONCILIACION ESE HUS ACEPTA GLOSA POR $60.000 CORRESPONDIENTE A AJUSTE DE 1 DIA (18) DE ESTANCIA EN CUIDADO INTERMEDIO A HABITACION 4 CAMAS, TENIENDO EN CUENTA QUE UNA VEZ VERIFICADA LA HISTORIA CLINICA SE EVIDENCIA PACIENTE CON INDICACION DE TRASLADO A HOSPITALIZACION EL DIA 17 POR LO TANTO ES FACTURABLE LA ESTANCIA DE MAYOR VALOR, DIA 18 NO PERTINENTE FACTURACION COMO UCIN, SE ACEPTA HOMOLOGACION A ESTANCIA EN HABITACION CUATRO CAMAS. 
ENTIDAD LEVANTA  RESTANTE. 
VALOR $619.247 ACEPTADO EN TRAMITE DE RESPUESTA DE GLOSA INICIAL, CON NOTA CREDITO: 223012.</t>
  </si>
  <si>
    <t>HUS0000450457</t>
  </si>
  <si>
    <t>EN CONCLIACION ESE HUS ACEPTA GLOSA TOTAL $31.037 YA QUE SEGÚN REGISTRO EN HISTORIA CLINICA SOLO SE REALIZARON 2 TERAPIAS EL 28 Y LA OTRA EL 30 DE NOVIEMBRE.</t>
  </si>
  <si>
    <t>HUS0000455425</t>
  </si>
  <si>
    <t>EN CONCILIACION ESE HUS ACEPTA GLOSA TOTAL $9.000 POR ESPARADRAPO X 1 CENTIMETRO INSUMO NO FACTURABLE.</t>
  </si>
  <si>
    <t>HUS0000441103</t>
  </si>
  <si>
    <t xml:space="preserve">EN CONCILIACION ESE HUS ACEPTA GLOSA POR $336,171 POR CONCEPTO DE PROCEDIMIENTO LAVADO Y DESBRIDAMIENTO NO PERTINENTE SU FACTURACION EN ATENCION A LO DESCRITO EN REGISTRO DE PROCEDIMIENTO. </t>
  </si>
  <si>
    <t>HUS0000442276</t>
  </si>
  <si>
    <t>HUS0000443727</t>
  </si>
  <si>
    <t>SO0301</t>
  </si>
  <si>
    <t>HUS0000443740</t>
  </si>
  <si>
    <t>HUS0000444549</t>
  </si>
  <si>
    <t>EN CONCILIACION ESE HUS ACEPTA GLOSA TOTAL $4.700 POR GLUCOMETRIA NO REALIZADA DE ACUERDO A HISTORIA CLINICA.</t>
  </si>
  <si>
    <t>EN CONCILIACION SE ACEPTA GLOSA TOTAL $5.800 POR INSUMO CATETER INTRAVENOSO 20  NO FACTURABLE</t>
  </si>
  <si>
    <t>HUS0000434399</t>
  </si>
  <si>
    <t>EN CONCILIACION ESE HUS ACEPTA GLOSA POR VALOR DE $ 758.700 POR CONCEPTO DE TOMOGRAFIA DE TORAX. NO PERTINENTE  TENIENDO ENCUENTA QUE AL INGRESO SE REALIZO RADIOGRAFIA DE REJA COSTAL SIN HALLAZGOS QUE AMERITE TOMA DE TAC,  PACIENTE DE 49 AÑOS HOSPITALIZADA EN CONTEXTO DE POLITRAUMA DE HEMICUERPO IZQUIERDO SECUNDARIO A ACCIDENTE DE TRANSITO EN CALIDAD DE CONDUCTORA DE MOTOCICLETA CON FRACTURA DE HOMBRO IZQUIERDO Y FRACTURA DE PLATILLO TIBIAL LATERAL IZQUIERDO HOSPITALIZADA POR SERVICIO DE ORTOPEDIA, SE INTERCONSULTO AL SERVICIO DE CIRUGIA GENERAL POR TRAUMA CERRADO DE TÓRAX,  SE EVIDENCIA RADIOGRAFÍA DE TÓRAX DE INGRESO NO IMPRESIONA FRACTURAS DE ARCOS COSTALES NI HEMO/NEUMOTORAX,  Y ENVIAN TOMOGRAFÍA DE TÓRAX,  EL CUAL NO ES PERTINENTE DE ACUERDO A EXAMEN FISICO TÓRAX: NORMOEXPANSIBLE, DOLOR A LA PALPACIÓN DE REGIÓN ESTERNAL Y REJA COSTAL IZQUIERDA, MURMULLO VESICULAR CONSERVADO, NI AGREGADOS PULMONARES. RUIDOS CARDÍACOS RÍTMICOS, SIN SOPLOS.  PACIENTE SIN DETERIORO RESPIRATORIO AL EXAME FISICO. CON RADIOGRAFIA SE DEFINE MANEJO.</t>
  </si>
  <si>
    <t>HUS0000445150</t>
  </si>
  <si>
    <t>SO5701</t>
  </si>
  <si>
    <t>HUS0000446511</t>
  </si>
  <si>
    <t>HUS0000460221</t>
  </si>
  <si>
    <t>EN CONCILIACION ESE HUS ACEPTA GLOSA PARCIAL POR VALOR DE $2.500 PESOS POR CONCEPTO DE HOMOLOGACION DE CODIGO 39145 CONSULTA DE URGENCIAS A CODIGO 39133 PACIENTE REMITIDO.
ENTIDAD LEVANTA EL RESTANTE</t>
  </si>
  <si>
    <t>HUS0000464469</t>
  </si>
  <si>
    <t>EN CONCILIACION ESE HUS ACEPTA GLOSA POR $300 POR MVC DE CONSULTA DE CONTROL O DE SEGUIMIENTO POR ESPECIALISTA EN ORTOPEDIA Y TRAUMATOLOGIA SEGÚN CIRCULAR 25</t>
  </si>
  <si>
    <t>EN CONCILIACION ESE HUS ACEPTA GLOSA VALOR $300 POR MVC DE RADIOGRAFIA DE CADERA O ARTICULACION COXO-FEMORAL (AP, LATERAL) SEGÚN CIRCULAR 25</t>
  </si>
  <si>
    <t>EN CONCILIACION ESE HUS ACEPTA GLOSA POR VALOR $200 POR MVC DE RADIOGRAFIA DE FEMUR (AP, LATERAL) SEGÚN CIRCULAR 25</t>
  </si>
  <si>
    <t>HUS0000305584</t>
  </si>
  <si>
    <t xml:space="preserve">SEGUROS DE VIDA DEL ESTADO S.A. </t>
  </si>
  <si>
    <t>EN CONCILIACION ESE HUS ACEPTA GLOSA POR VALOR $3.500 POR CONCEPTO DE MVC DE RAYOS X Mano, dedos, puno (muneca), codo, pie, clavicula, antebrazo, cuello de pie (tobillo), edad osea (carpograma), calcaneo, DE ACUERDO AL SOAT VIGENTE A LA PRESTACION DEL SERVICIO</t>
  </si>
  <si>
    <t>EN CONCILIACION ESE HUS ACEPTA GLOSA POR VALOR $3.900 POR CONCEPTO DE MVC DE CONSULTA DE URGENCIAS DE ACUERDO AL SOAT VIGENTE A LA PRESTACION DEL SERVICIO</t>
  </si>
  <si>
    <t>HUS0000352783</t>
  </si>
  <si>
    <t>EN CONCILIACION ESE HUS ACEPTA GLOSA POR $6.600 POR MVC CORRESPONDIENTE A RADIOGRAFIA DE PUÑO O MUÑECA DE ACUERDO A REVISION DE LA CIRCULAR 025</t>
  </si>
  <si>
    <t>EN CONCILIACION ESE HUS ACEPTA GLOSA POR $7.200 POR MVC CORRESPONDIENTE A APLICACION O CAMBIO DE YESO PARA INMOVILIZACION EN MIEMBRO SUPERIOR (EXCEPTO MANO) DE ACUERDO A REVISION DE LA CIRCULAR 025</t>
  </si>
  <si>
    <t>EN CONCILIACION ESE HUS RATIFICA GLOSA POR $170.000 DE SERVICIOS  SALA DE OBSERVACION EN URGENCIAS COMPLEJIDAD ALTA, PERTINENTE Y JUSTIFICADA DE ACUERDO HALLAZGOS DESCRITOS EN LA HISTORIA CLINICA,  PACIENTE ADOLESCENTE CON FRACTURA DE RADIO DISTAL DERECHO SALTER HARRIS II, SECUNDARIO A CAIDA DESDE SU ALTURA EN EL COLEGIO EL DIA 18/02/2025.  PACIENTE CON NECESIDAD DE AYUDAS DIAGNOSTICAS, MANEJO POR ORTOPEDIA ELCUAL  CONSIDERA POR TIPO DE FRACTURA Y EDAD DEL PACIENTE REQUIERE MANEJO CON FERÚLA DE YESO EN PINZA DE AZÚCAR. LA CUAL SE REALIZA SIN COMPLICACIONES. PACIENTE CON INGRESO EL 18 feb. 2025 11:46 a. m. FECHA EGRESO 18 feb. 2025 05:43 p. m. PACIENTE CON PERANENCIA EN LA UNIDAD MAS DE 2 HORAS EL CIUAL ES PERTINENTE FACTURACION DE SALA DE OBSERVACION. ENTIDAD MANTIENE CONCEPTO DE GLOSA INICIAL</t>
  </si>
  <si>
    <t>EN CONCILIACION ESE HUS ACEPTA GLOSA POR $7.500 POR MVC CORRESPONDIENTE A CONSULTA DE URGENCIAS, POR ESPECIALISTA EN URGENCIAS O EMERGENCIAS DE ACUERDO A REVISION DE LA CIRCULAR 025</t>
  </si>
  <si>
    <t>EN CONCILIACION ESE HUS ACEPTA GLOSA POR $9.300 POR MVC CORRESPONDIENTE A DERECHOS DE SALA DE YESOS DE ACUERDO A REVISION DE LA CIRCULAR 025</t>
  </si>
  <si>
    <t>SO0101</t>
  </si>
  <si>
    <t>HUS0000366521</t>
  </si>
  <si>
    <t>EN CONCILIACION ESE HUS ACEPTA GLOSA POR $3.200 POR MVC CORRESPONDIENTE A DERECHOS DE SALA PARA SUTURAS DE ACUERDO A REVISION DE LA CIRCULAR 025
ENTIDAD LEVANTA EL RESTANTE</t>
  </si>
  <si>
    <t>EN CONCILIACION ESE HUS ACEPTA GLOSA POR $1.200 POR MVC CORRESPONDIENTE A SUTURA DE HERIDA UNICA, EN AREA GENERAL PARA SUTURAS DE ACUERDO A REVISION DE LA CIRCULAR 025
ENTIDAD LEVANTA EL RESTANTE</t>
  </si>
  <si>
    <t>EN CONCILIACION ESE HUS ACEPTA GLOSA POR $3.900 POR MVC CORRESPONDIENTE A CONSULTA DE URGENCIAS DE ACUERDO A REVISION DE LA CIRCULAR 025
ENTIDAD LEVANTA EL RESTANTE</t>
  </si>
  <si>
    <t>HUS0000446551</t>
  </si>
  <si>
    <t>EN CONCILIACION ESE HUS ACEPTA GLOSA POR $65.000 POR MVC CORRESPONDIENTE A TOMOGRAFIA COMPUTADA DE CRANEO SIMPLE DE ACUERDO A REVISION DE LA CIRCULAR 025</t>
  </si>
  <si>
    <t>EN CONCILIACION ESE HUS ACEPTA GLOSA POR $7.500 POR MVC CORRESPONDIENTE A CONSULTA DE URGENCIAS DE ACUERDO A REVISION DE LA CIRCULAR 025</t>
  </si>
  <si>
    <t>HUS0000209472</t>
  </si>
  <si>
    <t>HDI SEGUROS COLOMBIA S.A.</t>
  </si>
  <si>
    <t>EN CONCILIACION ESE HUS ACEPTA GLOSA POR VALOR DE $189,200 POR FACTURACION DE INTENSIFICADOR DE IMAGEN, SE RECONOCE UNO POR REGION OPERATORIA Y/O EVENTO QUIRURGICO.</t>
  </si>
  <si>
    <t>HUS0000293435</t>
  </si>
  <si>
    <t>EN CONCILIACION ESE HUS ACEPTA GLOSA PARCIAL; 4.300.593 ASI: $ 1.002.500 POR RECONSTRUCCION 3D, NO HAY JUSTFICACION PARA SU SOLICITUD, ADEMAS NO SE REALIZA PARA DEFINIR MANEJO QCO. ///  $ 1.971.793 POR AJUSTE DE TOMOGRAFIA CON PROTOCOLO TAVI A TOMOGRAFIA DE ABDOMEN TOTAL MAS MEDIO DE CONTRASTE. LA REALIZADA CORRESPONDE A TOMOGRAFIA CONTRASTADA////  $ 1.326.300 EN TAC COLUMNA CERVICAL, SE REALIZA AJUSTE A UNA RADIOGRAFIA CERVICAL, AYUDA DIAGNOSTICA NO JUSTIFICADA SU SOLICITUD DE ACUERDO AL CUADRO CLINICO DE INGRESO. PACIENTE REMITIDO DE MENOR NIVEL DE COMPLEJIDAD, EL CUAL LLEVA MAS DE 5 HORAS DE EVOLUCION DESDE EL ACCIDENTE DE TRANSITO COMO CONDUCTOR DE MOTOCILCETA. AL EXAMEN FISICO DE INGRESO SE ENCUENTRA: CUELLO MOVIL SIN ADENOPTIAS, NO IINGURGITACION YUGULAR, FUERZA CONSERVADA, TONO ADECUADO, NO DEFICIT MOTOR NI SENSITIVO. ASEGURADORA LEVANTA EL RESTANTE.</t>
  </si>
  <si>
    <t>EN CONCILIACION ESE HUS ACEPTA GLOSA PARCIAL $ 8.594.954;  $ 6.611.500 POR SET DE ARTROSCOPIA, SE REVISA PROCEDIMIENTO QUIRURGICO REALIZADO EL DIA 22 DE JUNIO DE 2024 FOLIO 12, SE EVIDENCIA USO DE 1 SET. INFORMACION REVISADA Y CONFIRMADA CON AUIDTOR MEDICO DE FACTURACION, (DRA SOSA). ADEMAS SE ACEPTA $ 1.983.454 MVC EN 1 SET DE ARTROSCOPIA DE ACUERDO A LA FACTURA DE COMPRA Nª 10133.</t>
  </si>
  <si>
    <t>HUS0000298129</t>
  </si>
  <si>
    <t xml:space="preserve">EN CONCILIACION ESE HUS ACEPTA GLOSA PARCIAL $1.040.860 ASI: $ 625.500 POR TAC DE ABDOMEN, SE AJUSTA A ECOGRAFIA DE ABDOMEN CODIGO 31109. AYUDA DIAGNOSTICA NO PERTINENTE DE ACUERDO A LA VALORACION FISICA DE INGRESO: ABDOMEN BLANDO, NO SE PALPAN MASAS, NO DOLOR ABDOMINAL A LA PALPACIÓN, NO IRRITACIÓN PERITONEAL. ADEMAS PACIENTE CON MAS DE 18 HORAS DE EVOLCUION DESDE EL ACCIDENTE DE TRANSITO EL CUAL OCURRE EL DIA 23 DE JULIO   A LAS 15 HORAS. ATENCION DE LA URGENCIA 24 DE JULIO 10 10AM.////  $ 348.660 INSUMOS Y MEDIOS DE CONTRASTE UTILIZADOS EN LA TOMOGRAFIA LA CUAL NOES PERTINENTE DE ACUERDO A LAVALORACION FISICA DE INGRESO////$ 66.700 POR HEMOCLASIFICACION GLOBULAR E INVERSA, COMO PROTOCOLO PRE- QCO SE SOLICITA HEMOCLASIFICACION (GRUPO SANGUINEO Y FACTOR RH). (POR LA HERIDA SI SE DEBE SOLICITAR HEMODERIVADOS, POR LO TANTO SI ES FACTURABLE LOS ANTICUERPOS) </t>
  </si>
  <si>
    <t>HUS0000298068</t>
  </si>
  <si>
    <t>EN CONCILIACION ESE HUS ACEPTA GLOSA PARCIAL POR VALOR DE $46.900 POR FACTURACION DE MEDICAMENTOS E INSUMOS ASI:
$36.000 - 1# EQUIPO DE BOMBA DE INFUSION, INSUMO UTILIZADOS DURANTE PROCEDIMIENTO QUIRURGICO, NO FACTURABLES DE ACUERDO A LO ESTABLECIDO EN EL ART. 55 PAR. 5 DEL DECRETO 2423/96. 
$6.400 - 1# EQUIPO MACROGOTEO VENOCLISIS, INSUMO UTILIZADOS DURANTE PROCEDIMIENTO QUIRURGICO, NO FACTURABLES DE ACUERDO A LO ESTABLECIDO EN EL ART. 55 PAR. 5 DEL DECRETO 2423/96. 
$3.600 - 1# 19979158-04 SOLUCION SALINA NORMAL BOLSA X 500 ML, NO SE RECONOCE MEDICAMENTO, TENIENDO EN CUENTA QUE LOS MISMOS SE ADMINISTRAN EN SALAS DE CIRUGIA, DE ACUERDO A LO ESTIPULADO EN EL ART. 55 PARAGRAFO 1 DEL DECRETO 2423/96 SE INCLUYEN EN DERECHOS DE SALA.
$900 - 1# 19992190-3 DICLOFENACO SODICO AMP X 75MG/3M, NO SE RECONOCE MEDICAMENTO, TENIENDO EN CUENTA QUE LOS MISMOS SE ADMINISTRAN EN SALAS DE CIRUGIA, DE ACUERDO A LO ESTIPULADO EN EL ART. 55 PARAGRAFO 1 DEL DECRETO 2423/96 SE INCLUYEN EN DERECHOS DE SALA.
ASEGURADORA LEVANTA DIFERENCIA.</t>
  </si>
  <si>
    <t>EN CONCILIACION ESE HUS ACEPTA GLOSA PARCIAL POR VALOR DE $1.759.294 MVC EN MATERIAL DE OSTEOSINTESIS, SE RECONOCE APLICACIÓN DE TARIFAS SEGÚN FACTURA DE COMPRA NUMERO PR-10278 DE LA CASA ORTOPEDICA  "JAIMES RUEDA Y COMPAÑÍA PRECIMEC SAS". 
ADICIONAL SE RATIFICA UN VALOR DE $360,698 ASI: $23,113 EN FMO00654 -  1# PIN DE 1,2 Y FMO00473 - 1#  TORNILLO BLOQUEADO 2.7 DIFERENTES LONGITUDES, YA QUE NO SE EVIDENCIA DESCRIPCION DE SU USO EN LA DESCRIPCION QUIRURGICA, SE SOLICITA ACLARACION POR PARTE DE LA DIRECCION QUIRURGICA PARA ESTE CASO.
ASEGURADORA LEVANTA DIFERENCIA.</t>
  </si>
  <si>
    <t>HUS0000303769</t>
  </si>
  <si>
    <t>EN CONCILIACION ESE HUS ACEPTA GLOSA POR $1.927.200 CORRESPONDIENTE ASI:
$1.745.500 POR AJUSTE ENTRE TAC DE PROTOCOLO TAVI POR TAC DE ABDOMEN TOTAL, ACEPTANDOSE LA DIFERENCIA.
$181.700 POR AJUSTE ENTRE 1# -  21708 TAC DE COLUMNA CERVICAL (TRES ESPACIOS) POR 3# -  21709 TAC DE COLUMNA CERVICAL (ESPACIO ADICIONAL), SEGUN ANATOMIA DE COLUMNA VERTEBRAL.
ASEGURADORA LEVANTA DIFERENCIA.</t>
  </si>
  <si>
    <t>HUS0000308622</t>
  </si>
  <si>
    <t>EN CONCILIACION ESE HUS ACEPTA GLOSA PARCIAL POR VALOR DE $67.800 POR FACTURACION DE ESTANCIA (39201 -DERECHOS DE SALA PARA SUTURAS), YA QUE EN HISTORIA CLINICA NO DESCRIBEN LA UTILIZACION DE DICHA SALA.
ASEGURADORA LEVANTA DIFERENCIA.</t>
  </si>
  <si>
    <t>HUS0000309778</t>
  </si>
  <si>
    <t>EN CONCILIACION ESE HUS ACEPTA GLOSA POR VALOR DE $17.900 POR AJUSTE ENTRE 39140 - INTERCONSULTA MEDICA ESPECIALIZADA POR  39139 - CONSULTA PREANESTESICA. DEBIDO A LO SOPORTADO EN HISTORIA CLINICA.</t>
  </si>
  <si>
    <t>EN CONCILIACION ESE HUS ACEPTA GLOSA POR $1'850.322 CORRESPONDIENTE ASI:
$11,922 MVC EN FMO00799 - PIN KIRSCHNER, SE RECONOCE APLICACIÓN DE TARIFAS SEGÚN FACTURA DE COMPRA NUMERO PR-10911 DE LA CASA ORTOPEDIA "JAIMES RUEDA Y COMPAÑIA PRECIMEC"
$1,838,400 MVC EN FMO00800 - PLACA CALCANEO 3.5, SE RECONOCE APLICACIÓN DE TARIFAS SEGÚN FACTURA DE COMPRA NUMERO PR-10911 DE LA CASA ORTOPEDIA "JAIMES RUEDA Y COMPAÑIA PRECIMEC"</t>
  </si>
  <si>
    <t>EN CONCILIACION ESE HUS ACEPTA GLOSA $ 108.800 POR (PT, PTT, GLUCOMETRIA), AYUDAS DIAGNOSTICAS NO PERTINENTE SU REALIZACION, NO SE DESCRIBE ANTECEDENTES DE IMPORTANCIA QUE AMERITEN LA TOMA DE ESTOS LABORATORIOS.</t>
  </si>
  <si>
    <t>HUS0000310941</t>
  </si>
  <si>
    <t>EN CONCILIACION ESE HUS ACEPTA GLOSA PARCIAL POR $12.150 POR MVC EN INSUMOS (CATETER 18 #1,BOMBA DE INFUSION # 1, JERINGAS 10 ML # 4,BURETROL # 1, EXTENSION MACRO MONOLUMEN # 1), SE RECONOCE APLICACIÓN DE TARIFAS SEGÚN PRECIO PROMEDIO DE MERCADO.
ASEGURADORA LEVANTA DIFERENCIA.</t>
  </si>
  <si>
    <t>EN CONCILIACION ESE HUS ACEPTA GLOSA PARCIAL POR VALOR DE $160.000 POR AYUDAS DIAGNOSTICAS (19290 - SUERO ORINA Y OTROS, 19304 - CUADRO HEMATICO, 19749 -NITROGENO UREICO, 19792 - POTASIO, 19891 -SODIO) NO INTERPRETADOS EN HISTORIA CLINICA.
ASEGURADORA LEVANTA DIFERENCIA.</t>
  </si>
  <si>
    <t>HUS0000312448</t>
  </si>
  <si>
    <t>EN CONCILIACION ESE HUS ACEPTA GLOSA POR $145.900 POR FACTURACION DE INSUMO ( EQUIPO EN Y PARA IRRIGACIÓN #1 $ 63900), INSUMO QUE SE ENCUENTRAN INCLUIDO EN MATERIALES DE CIRUGIA SEGÚN ARTICULO 55, PARAGRAFO 5 DEL DECRETO 2423/96.</t>
  </si>
  <si>
    <t>EN CONCILIACION ESE HUS ACEPTA GLOSA PARCIAL POR $37.800 POR MVC EN INSUMOS ( EQUIPO BOMBA INFUSION #5, EQUIPO DE BOMBA FOTOPROTECTOR), SE RECONOCE APLICACIÓN DE TARIFA SEGÚN PRECIO PROMEDIO DEL MERCADO.
ASEGURADORA LEVANTA DIFERENCIA.</t>
  </si>
  <si>
    <t>HUS0000297952</t>
  </si>
  <si>
    <t>SE RATIFICA GLOSA POR SOPORTE DE PROCEDIMIENTO 16363 - REDUCCION ABIERTA DE FRACTURA ALVEOLAR SUPERIOR O INFERIOR; INCLUYE FRACTURA DE TUBEROSIDAD MAXILAR REIMPLANTE DENTAL Y FIJACION [GQ : 10] Y CURACION, EN ESPERA DE CARGAR SOPORTE EN PLATAFORMA.</t>
  </si>
  <si>
    <t>EN CONCILIACION ESE HUS ACEPTA GLOSA PARCIAL POR $4.925 POR MVC EN INSUMOS ( JERINGA 5ML # 2, CATETER INTRAVENOSO 18 #1, EQUIPO DE MACROGOTEO #1, JERINGA 20ML, BURETROL #1, APOSITO TRANSPARENTE #1), SE RECONOCE APLICACIÓN DE TARIFAS SEGÚN PRECIO PROMEDIO DE MERCADO.
ASEGURADORA LEVANTA DIFERENCIA.</t>
  </si>
  <si>
    <t>EN CONCILIACION ESE HUS ACEPTA GLOSA PARCIAL POR $400 POR MVC EN MEDICAMENTO ( LACTATO DE RINGER X500MG # 2), SE RECONOCE APLICACIÓN DE TARIFAS SEGÚN PRECIO PROMEDIO DE MERCADO.
ASEGURADORA LEVANTA DIFERENCIA.</t>
  </si>
  <si>
    <t xml:space="preserve">EN CONCILIACION ESE HUS ACEPTA GLOSA $ 5,500  POR OMEPRAZOL, MEDICAMENTO NO JUSTIFICADO DE ACUERDO A LA CLINICA DEL PACIENTE,NO SE REGISTRA ANTECEDENTES DE IMPORTANCIA QUE AMERITEN MANEJO DEL MEDICAMENTO.  </t>
  </si>
  <si>
    <t xml:space="preserve">EN CONCILACION ESE HUS ACEPTA GLOSA POR $ 99.300 RADIOGRAFIA DE TORAX, AYUDA DIAGNOSTICA QUE NO SE EVIDENCIA PERTINENCIA DE SU SOLICITUD Y REALIZACION. PACIENTE CON MAS DE 10 HORAS DE EVOLUCION DESDE EL ACCIDENTE A LA HORA DE INGRESO A LA INSTITUCION, AL EXAMEN FISICO SE ENCUENTRA:   - TÓRAX: NORMOEXPANSIBILIDAD TORÁCICA, RUIDOS RESPIRATORIOS NORMALES, NO TIRAJES, NO ESFUERZO RESPIRATORIO, RUIDOS CARDIACOS RÍTMICOS SIN SOPLO AUDIBLES. NO ESTIGMAS DE TRAUMA TORACOABDOMINAL.  ENTIDAD LEVANTA EL RESTANTE. 
</t>
  </si>
  <si>
    <t>HUS0000305496</t>
  </si>
  <si>
    <t>EN CONCILIACION ESE HUS ACEPTA GLOSA PARCIAL POR $20.300 MVC EN INSUMOS (VENDA YESO 4X5 YD # , VENDA ELASTICA 3X5 YD # 1, CATETER IV 18G # 1, EQUIPO BOMBA DE INFUSIÓN # 1, JERINGA 10ML # 1, EQUIPO BURETROL # 1), SE RECONOCE APLICACIÓN DE TARIFAS SEGÚN PRECIO PROMEDIO DEL MERCADO.
ASEGURADORA LEVANTA DIFERENCIA.</t>
  </si>
  <si>
    <t>EN CONCILIACION ESE HUS ACEPTA GLOSA PARCIAL POR $1.600 MVC EN MEDICAMENTOS (LACTATO DE RINGER 500CC SOLUCIÓN # 1,CEFAZOLINA AMPOLLA # 2), SE RECONOCE APLICACIÓN DE TARIFAS SEGÚN PRECIO PROMEDIO DEL MERCADO.
ASEGURADORA LEVANTA DIFERENCIA.</t>
  </si>
  <si>
    <t>EN CONCILIACION ESE HUS ACEPTA GLOSA $ 98.400 POR (PT, PTT), AYUDAS DIAGNOSTICAS NO PERTINENTE SU REALIZACION, NO SE DESCRIBE ANTECEDENTES DE IMPORTANCIA QUE AMERITEN LA TOMA DE ESTOS LABORATORIOS.</t>
  </si>
  <si>
    <t>HUS0000305364</t>
  </si>
  <si>
    <t>EN CONCILIACION ESE HUS ACEPTA GLOSA POR VALOR DE $17.900 POR AJUSTEN ENTRE 1# 39140 - INTERCONSULTA MEDICA ESPECIALIZADA POR 1# 39139 - CONSULTA PREANESTESICA, SEGÚN LO ESTIPULADO EN EL DECRETO 2423/96.</t>
  </si>
  <si>
    <t>EN CONCILIACION ESE HUS ACEPTA GLOSA POR VALOR DE $142.946 POR FACTURACION DE INSUMOS (AGUJA STIMUPLEX # 1 $82.000, BAYONETA PARA BOLSA # 1 $11.846, FILTRO # 2 $ 49.100 ), NO FACTURABLES INCLUIDOS EN MATERIALES DE CX Y/O DERECHOS DE SALA DE CX SEGÚN DECRETO 2423/96.</t>
  </si>
  <si>
    <t>EN CONCILIACION ESE HUS ACEPTA GLOSA PARCIAL $32.900 POR AJUSTE  ENTRE 1# - 21101 RX MANO DEDOS PUÑO (MUÑECA) POR 1# 21108 - RX PROYECCION, SEGÚN SOLICITUD DEL MEDICO TRATANTE SOPORTADA EN HISTORIA CLINICA.
ASEGURADORA LEVANTA DIFERENCIA.</t>
  </si>
  <si>
    <t>EN CONCILIACION ESE HUS ACEPTA GLOSA PARCIAL POR $24.950 MVC EN INSUMOS (VENDA YESO 3 X5 # 1, VENDA ALGODÓN LAMINADO 5 X5, VENDA ELASTICA 5 X5 #5, VENDA ALGODON LAMINADO 4X4 # 2, VENDA YESO 4 X 5 # 2, VEDA GASA 3 X5 #2), SE RECONOCE APLICACIÓN DE TARIFAS SEGUN PRECIO PROMEDIO DEL MERCADO.
ASEGURADORA LEVANTA DIFERENCIA.</t>
  </si>
  <si>
    <t xml:space="preserve">EN CONCILIACION ESE HUS ACEPTA GLOSA PARCIAL $ 215,000 ASI:  $ 66.700 POR HEMOCLASIFICACION GLOBULAR E INVERSA, COMO PROTOCOLO PRE- QCO SE SOLICITA HEMOCLASIFICACION (GRUPO SANGUINEO Y FACTOR RH) /// $ 148.300 POR (PT (1), PTT), AYUDAS DIAGNOSTICAS NO PERTINENTE SU REALIZACION, NO SE DESCRIBE ANTECEDENTES DE IMPORTANCIA QUE AMERITEN LA TOMA DE ESTOS LABORATORIOS., ADEMAS SE EVIDENCIA DOBLE FACTURACION DEL PT Y EN EL REPORTE SOLO SE EVIDENCIA 1. 
</t>
  </si>
  <si>
    <t xml:space="preserve">EN CONCILIACION ESE HUS ACEPTA GLOSA $ 340.800 POR 1 DE ESTANCIA, POR INOPORTUNIDAD EN FRANJA QCA. SE TRATA DE PACIENTE JOVEN QUE INGRESA AL SERVICO DE URGENCIAS A LAS 20 HORAS, REFIERE ACCIDENTE DE TRANSITO EN CALIDAD DE CONDUCTOR AL ESQUIVAR UN ANIMAL. CON POSTERIOR TRAUMA EN MSD, EN PRIMER NIVEL ENCUENTRAN FX DE 1ER METACARPIANO DE MANO DERECHA , PIDE SALIDA VOLUNTARIA. AL INGRESO A URGENCIAS SE ENCUENTRA EN EXAMEN FISICO: PÁCIENTE ALERTA, ORIENTADO, SIN SIGNOS DE DIFICULTAD RESPIRATORIA MANO DERECHA CON EDEMA, DOLOR A LA PALPACIÓN DEL PRIMER METACARPIAN, NO MALROTACION, NO ALTERACION DE LA SENSIBILIDAD. EL DIA 17 VALORADO POR ORTOPEDIA QUIEN INDICA CX, SOLIICTA MAOS, VALORACION PREANESTESICA. EL DIA 18 ES VALORADO POR ANESTESIA QUIEN INDICA APTO PARA PROCEDIMIENTO QCO. EL DIA 21 SE REALIZA PROCEDIMIENTO QCO SIN COMPLICACIONES, Y SE DA EGRESO. </t>
  </si>
  <si>
    <t>HUS0000298649</t>
  </si>
  <si>
    <t>VALOR ACEPTADO EN TRAMITE GLOSA INICIAL POR $200, NUMERO DE NOTA CREDITO 166950</t>
  </si>
  <si>
    <t xml:space="preserve">EN CONCILIACION ESE HUS ACEPTA GLOSA $ 98.400 POR (PT (1), PTT, AYUDAS DIAGNOSTICAS NO PERTINENTE SU REALIZACION, NO SE DESCRIBE ANTECEDENTES DE IMPORTANCIA QUE AMERITEN LA TOMA DE ESTOS LABORATORIOS.  </t>
  </si>
  <si>
    <t>HUS0000300159</t>
  </si>
  <si>
    <t>EN CONCILIACION ESE HUS ACEPTA GLOSA POR VALOR DE $597.119 MVC EN MATERIAL DE OSTEOSINTESIS, SE RECONOCE APLICACIÓN DE TARIFAS SEGÚN FACTURA DE COMPRA NUMERO PR-10453 DE LA CASA ORTOPEDICA "JAIMES RUEDA Y COMPAÑÍA PRECIMEC SAS".</t>
  </si>
  <si>
    <t>EN CONCILIACION ESE HUS ACEPTA GLOSA POR VALOR DE $49.100 POR FACTURACION DE INSUMO (FILTRO HME #2), INCLUIDOS EN DERECHOS DE SALA DE CIRUGIA SEGÚN DECRETO 2423/96.</t>
  </si>
  <si>
    <t>EN CONCILIACION ESE HUS ACEPTA GLOSA PARCIAL POR VALOR DE $6.550 MVC EN INSUMOS (CATÉTER IV N°18 # 1, EQUIPO BOMBA DE INFUSIÓN # 1) SE RECONOCE APLICACIÓN DE TARIFAS SEGÚN PRECIO PROMEDIO DEL MERCADO.
ASEGURADORA LEVANTA DIFERENCIA.</t>
  </si>
  <si>
    <t>HUS0000318609</t>
  </si>
  <si>
    <t>EN CONCILIACION ESE HUS ACEPTA GLOSA PARCIAL POR VALOR DE $17.900 POR AJUSTE ENTRE 1# 39140 - INTERCONSULTA MEDICA ESPECIALIZADA POR 1# 39139 - CONSULTA PREANESTESICA, SEGÚN LO ESTIPULADO EN EL DECRETO 2423/96.
ASEGURADORA LEVANTA DIFERENCIA.</t>
  </si>
  <si>
    <t>EN CONCILIACION ESE HUS ACEPTA GLOSA POR VALOR DE $430.468 MVC EN MATERIAL DE OSTEOSINTESIS, SE RECONOCE APLICACIÓN DE TARIFAS SEGÚN FACTURA DE COMPRA NUMERO PR-11263 DE LA CASA ORTOPEDICA "JAIMES RUEDA Y COMPAÑÍA PRECIMEC SAS".</t>
  </si>
  <si>
    <t>EN CONCILAICION ESE HUS ACEPTA GLOSA POR $60.400 POR FACTURACION DE INSUMO (2# - SUTURA ACERO MONOFIL Nº 5 UNIDAD), INCLUIDO EN MATERIALES DEL PROCEDIMIENTO QUIRURGICO SEGÚN DECRETO 2423/96.</t>
  </si>
  <si>
    <t>EN CONCILIACION ESE HUS ACEPTA GLOSA PARCIAL POR VALOR DE $4.200 POR MVC EN MEDICAMENTO (  CEFAZOLINA AMPOLLA # 6) SE RECONOCE APLICACIÓN DE TARIFAS SEGÚN PRECIO PROMEDIO DE MERCADO.
ASEGURADORA LEVANTA DIFERENCIA.</t>
  </si>
  <si>
    <t xml:space="preserve">EN CONCILIACION ESE HUS ACEPTA GLOSA PARCIAL POR $ 87.500 ASI:  $66.700 POR HEMOCLASIFICACION PRUEBA GLOBULAR Y PRUEBA SERICA, COMO PROTOCOLO PRE-QCO SE SOLICITA HEMOCLASIFICACIÒN (GRUPO SANGUINEO Y FACTOR RH). /// $ 20.800 POR GLUCOMETRIAS, AYUDAS DIAGNOSTICAS NO PERTINENTES, NO SOLICITADAS NI INTERPREADAS EN LA HC. ENTIDAD LEVANTA EL RESTANTE. </t>
  </si>
  <si>
    <t>HUS0000319193</t>
  </si>
  <si>
    <t>EN CONCILIACION ESE HUS ACEPTA GLOSA POR VALOR DE $265.400 POR AJUSTE DEL  PROCEDIMIENTO 1# 874910 FARINGOGRAFIA O ESOFAGOGRAMA (ESTUDIO DE LA DEGLUSION), POR LOS CODIGOS (1#21450 -FARINGOLARINGOGRAFÍA - 123.300) Y (21327
PROCEDIMIENTO ESPECIAL CON FLUOROSCOPIA (TV); AL VALOR DE LA REGIÓN: AGREGAR - 214.600), PROCEDIMIENTO QUE SE ENCUENTRA EN EL DECRETO 2423/96.</t>
  </si>
  <si>
    <t>EN CONCILIACION ESE HUS ACEPTA GLOSA PARCIAL POR VALOR DE $14.150 POR MVC EN INSUMOS ( CATETER IV 18 Y 20 # 2, EQUIPO EXTENSION DE ANETESIA # 3, EQUIPO DE MACROGOTEO # 1, EQUIPO BURETROL # 1) SE RECONOCE APLICACIÓN DE TARIFA SEGÚN PRECIO PROMEDIO DEL MERCADO.
ASEGURADORA LEVANTA DIFERENCIA.</t>
  </si>
  <si>
    <t>HUS0000327985</t>
  </si>
  <si>
    <t>VALOR ACEPTADO EN TRAMITE GLOSA INICIAL POR $17.900, NUMERO DE NOTA CREDITO 167465</t>
  </si>
  <si>
    <t>VALOR ACEPTADO EN TRAMITE GLOSA INICIAL POR $92.300, NUMERO DE NOTA CREDITO 167465</t>
  </si>
  <si>
    <t>EN CONCILIACION ESE HUS ACEPTA GLOSA POR VALOR DE $6.750 MVC EN INSUMOS (*CATETER IV 8, EQUIPO BOMBA DE INFUSION) SE RECONOCE APLICACIÓN DE TARIFAS SEGÚN PRECIO PROMEDIO DEL MERCADO.
ASEGURADORA LEVANTA DIFERENCIA.</t>
  </si>
  <si>
    <t>EN CONCILIACION ESE HUS ACEPTA GLOSA $ 108,800 POR (PT , PTT, GLUCOMETRIAS,  AYUDAS DIAGNOSTICAS NO PERTINENTE SU REALIZACION, NO SE DESCRIBE ANTECEDENTES DE IMPORTANCIA QUE AMERITEN LA TOMA DE ESTOS LABORATORIOS</t>
  </si>
  <si>
    <t>HUS0000332817</t>
  </si>
  <si>
    <t>EN CONCILIACION ESE HUS ACEPTA GLOSA POR $145.900 POR FACTURACION DE INSUMO ( EQUIPO EN Y PARA IRRIGACIÓN #1 $ 63900 - 1# AGUJA STIMUPLEX $82000), INSUMO NO FACTURABLE INCLUIDO EN MATERIALES DE CIRUGIA Y/O DERECHOS DE SALA DE CIRUGIA SEGÚN DECRETO 2423/96.</t>
  </si>
  <si>
    <t>EN CONCILIACION ESE HUS ACEPTA GLOSA PARCIAL POR $22.100 MVC EN INSUMOS (EQUIPO BOMBA DE INFUSION # 1, VENDA ALGODON LAMINADO 5 X5 YD # 2, VENDA ELASTICA 5X5 # 2, YELCO N 18 # 1), SE RECONOCE APLICACIÓN DE TARIFAS SEGÚN PRECIO PROMEDIO DEL MERCADO.
ASEGURADORA LEVANTA DIFERENCIA</t>
  </si>
  <si>
    <t>HUS0000284913</t>
  </si>
  <si>
    <t>EN CONCILIACION ESE HUS ACEPTA GLOSA PARCIAL POR $119.725 MVC EN INSUMOS (CATÉTER IV N°18 # 2, EQUIPO BOMBA DE INFUSIÓN # 2, CATÉTER IV N°20 # 4, EQUIPO MACROGOTEO # 1, JERINGA 10CC # 2, GUANTES ESTÉRILES 6.5 - 7.0 # 7, GUANTES ESTÉRILES 7.5 - 8 # 8, COMPRESA ESTÉRIL # 7, GUANTES ESTÉRILES 6.0 # 6) SE RECONOCE APLICACION DE TARIFAS SEGUN PRECIO PROMEDIO DEL MERCADO.
ASEGURADORA LEVANTA DIFERENCIA.</t>
  </si>
  <si>
    <t>EN CONCILIACION ESE HUS ACEPTA GLOSA PARCIAL POR VALOR DE  $31.700 POR FACTURACION DE INSUMO (1# - PLACA BIPOLAR), NO FACTURABLE INCLUIDA EN LOS DERECHOS DE SALA DEL PROCEDIMIENTO QUIRURGICO. SEGUN ARTICULO 55 DEL DECRETO 2423/96.
ASEGURADORA LEVANTA DIFERENCIA.</t>
  </si>
  <si>
    <t xml:space="preserve">EN CONCILIACION ESE HUS ACEPTA GLOSA POR VALOR DE $181.700 POR AJUSTE ENTRE 1# 21708 TAC DE COLUMNA CERVICAL (TRES ESPACIOS) POR  3# 21709 TAC DE COLUMNA CERVICAL (ESPACIO ADICIONAL), SEGÚN ANATOMIA DE REGION CERVICAL.
</t>
  </si>
  <si>
    <t>EN CONCILIACION SE RATIFICA OBJECION POR INSUMO (FMQ1019 - CUCHILLA PARA CORTE DE HUESO ADULTA 8 CM X 2.3 MM REF F2/8TA23), TENIENDO EN CUENTA QUE SON INSUMOS DE UNICO USO, SIN EMBARGO ASEGURADORA MANIFIESTA QUE SE ENCUENTRA INCLUIDO EN LOS DERECHOS DE SALA DE CIRUGIA.</t>
  </si>
  <si>
    <t>HUS0000289769</t>
  </si>
  <si>
    <t>EN CONCILIACION SE IDENTIFICA ATENCION SE ENCUENTRA EN INVESTIGACION, ESTUDIO DE CAMPO POSIBLE FRADUE.</t>
  </si>
  <si>
    <t>HUS0000294511</t>
  </si>
  <si>
    <t xml:space="preserve">EN CONCILIACION ESE HUS ACEPTA GLOSA PARCIAL POR $14.400 MVC EN MEDICAMENTO (GASA PARAFINA+DIGLUCONATO 0.5%X15CM # 1), SE RECONOCE APLICACIÓN DE TARIFAS SEGÚN PRECIO PROMEDIO DEL MERCADO.
ASEGURADORA LEVANTA DIFERENCIA.
</t>
  </si>
  <si>
    <t xml:space="preserve">EN CONCILIACION ESE HUS ACEPTA GLOSA PARCIAL POR $4.097 MVC EN INSUMOS ( VENDA ELASTICA 5X5 # 4, JERINGA 3ML # 1, JERINGA 10ML # 1, APOSITO DE GASA 45CMX90CM # 2, GASA NO TEJIDA 7.5X7.5CM # 5,), SE RECONOCE APLICACIÓN DE TARIFAS SEGÚN PRECIO PROMEDIO DEL MERCADO.
ASEGURADORA LEVANTA DIFERENCIA.
</t>
  </si>
  <si>
    <t>HUS0000305344</t>
  </si>
  <si>
    <t xml:space="preserve">EN CONCILIACION ESE HUS ACEPTA GLOSA PARCIAL POR $8.247 MVC EN INSUMOS (CATETER IV 18G # 1 , EQUIPO BOMBA DE INFUSIÓN # 1, JERINGA 3 ML # 1, JERINGA 5 ML # 1, JERINGA 10ML # 1), SE RECONOCE APLICACIÓN DE TARIFAS SEGÚN PRECIO PROMEDIO DEL MERCADO.
ASEGURADORA LEVANTA DIFERENCIA.
</t>
  </si>
  <si>
    <t xml:space="preserve">EN CONCILIACION ESE HUS ACEPTA GLOSA PARCIAL POR $400 MVC EN MEDICAMENTO (SSN 500 CC SOLUCIÓN # 4), SE RECONOCE APLICACIÓN DE TARIFAS SEGÚN PRECIO PROMEDIO DEL MERCADO.
ASEGURADORA LEVANTA DIFERENCIA.
</t>
  </si>
  <si>
    <t>EN CONCILIACION ESE HUS ACEPTA GLOSA  $ 1.002.500 ASI: $ 1.002.500 POR RECONSTRUCCION 3D,  NO HAY JUSTIFICACION PARA SU SOLICITUD,  NO HAY EVIDENCIA DE FRACTURA EN LA LECTURA DE LA TOMOGRAFIA , POR TANTO SE DEBIO SOLICITAR SI HAY FRACTURA Y SE DEFINE MANEJO QCO</t>
  </si>
  <si>
    <t>HUS0000304178</t>
  </si>
  <si>
    <t>SE RATIFICA GLOSA POR SOPORTE DE PROCEDIMIENTO COD 14163 REDUCCION ABIERTA FRACTURA FALANGE, SOPORTADO EN LA DESCRIPCION QUIRURGICA , EN ESPERA DE CARGAR SOPORTE EN PLATAFORMA.</t>
  </si>
  <si>
    <t>EN CONCILIACION ESE HUS ACEPTA GLOSA POR VALOR DE $17.900 POR AJUSTE ENTRE 39140 - INTERCONSULTA MEDICA ESPECIALIZADA POR  39139 - CONSULTA PREANESTESICA. SEGÚN DECRETO 2423/96.</t>
  </si>
  <si>
    <t>EN CONCILIACION ESE HUS ACEPTA GLOSA POR VALOR DE $209.900 POR FACTURACION DE INTENSIFICADOR DE IMAGEN, SE RECONOCE UNO POR REGION OPERATORIA Y/O EVENTO QUIRURGICO SEGÚN DECRETO 2423/96.</t>
  </si>
  <si>
    <t xml:space="preserve">EN CONCILIACION ESE HUS ACEPTA GLOSA PARCIAL POR $22.800 MVC EN INSUMOS (EQUIPO DE MACROGOTEO # 1, VENDA YESO # 3, VENDA DE ALGODON # 3, VENDA ELASTICA #4), SE RECONOCE APLICACIÓN DE TARIFAS SEGÚN PRECIO PROMEDIO DEL MERCADO.
ASEGURADORA LEVANTA DIFERENCIA.
</t>
  </si>
  <si>
    <t>SE RATIFICA GLOSA POR SOPORTE DE MAOS DONDE DE DESCRIBA SU UTILIZACION(DESCRIPCION QUIRURGICA), EN ESPERA DE CARGAR SOPORTE EN PLATAFORMA.</t>
  </si>
  <si>
    <t>SE RATIFICA GLOSA POR SOPORTE DE PROCEDIMIENTO COD 14165 REDUCCION ABIERTA INTRAARTICULAR, SOPORTADO EN LA DESCRIPCION QUIRURGICA , EN ESPERA DE CARGAR SOPORTE EN PLATAFORMA.</t>
  </si>
  <si>
    <t>EN CONCILIACION ES HUS ACEPTA GLOSA $ 165.100 POR AYUDAS DIAGNOSTICAS:  $66.700 POR HEMOCLASIFICACION PRUEBA GLOBULAR Y PRUEBA SERICA, COMO PROTOCOLO PRE-QCO SE SOLICITA HEMOCLASIFICACIÒN (GRUPO SANGUINEO Y FACTOR RH), $ 98.400 TIEMPOS DE COAGULACION NO PERTINENCIA PARA EDAD Y CUADRO CLINICO DEL PACIENTE, ADULTO JOVEN SIN SANGRADO ACTIVO, SIN ANTECEDENTES DE IMPORTANCIA QUE AMERITE LA REALIZACION DE LA AYUDA DX.</t>
  </si>
  <si>
    <t>EN CONCILIACION  ESE HUS  ACEPTA GLOSA $ 77.600 POR 1 YELCO Y 2 EQUIPOS DE BOMBA, LOS CUALES NO ESTAN JUSTIFICADOS SU USO EN LAS NOTAS DE ENFERMERIA DE ACUERDO A LA CANTIDAD FACTURADA.</t>
  </si>
  <si>
    <t>HUS0000306733</t>
  </si>
  <si>
    <t xml:space="preserve">EN CONCILIACION ESE HUS ACEPTA GLOSA PARCIAL POR $200 MVC EN INSUMO (JERINGA 5ML # 2), SE RECONOCE APLICACIÓN DE TARIFAS SEGÚN PRECIO PROMEDIO DEL MERCADO.
ASEGURADORA LEVANTA DIFERENCIA.
</t>
  </si>
  <si>
    <t>HUS0000306388</t>
  </si>
  <si>
    <t>EN CONCILIACION ESE HUS ACEPTA GLOSA POR VALOR DE $3.800 MVC EN SERVICIO (37206 - SUSTITUCION DE ESCAYOLA O FERULA EN MIEMBRO INFERIOR SOD), SE RECONOCE APLICACIÓN DE TARIFA SEGÚN MANUAL SOAT UVT VIGENTE PARA LA FECHA DE PRESTACION DE SERVICIOS.</t>
  </si>
  <si>
    <t>EN CONCILIACION ESE HUS ACETA GLOSA POR $ 98.400 AYUDAS DIAGNOSTICAS PT, PTT LAS CUALES NO SON PERTINENTES DE ACUERDO AL TRAUMA, PROCEDIMIENTO A REALIZAR, ANTECEDENTES PERSONALES DE IMPORTANCIA.</t>
  </si>
  <si>
    <t>EN CONCILIACION ESE HUS ACEPTA GLOSA  $ 1.002.500 POR RECONSTRUCCION 3D,  NO HAY JUSTIFICACION PARA SU SOLICITUD, ADEMAS NO SE REALIZA PARA DEFINIR MANEJO QCO.</t>
  </si>
  <si>
    <t>HUS0000294597</t>
  </si>
  <si>
    <t xml:space="preserve">EN CONCILIACION ESE HUS ACEPTA GLOSA PARCIAL POR $5.997 MVC EN INSUMO (EQUIPO BOMBA DE INFUSIÓN INSU # 1, JERINGA 3ML # 1,JERINGA 5ML # 1,JERINGA 10ML # 1, JERINGA 20ML # 1), SE RECONOCE APLICACIÓN DE TARIFAS SEGÚN PRECIO PROMEDIO DEL MERCADO.
ASEGURADORA LEVANTA DIFERENCIA.
</t>
  </si>
  <si>
    <t>HUS0000307198</t>
  </si>
  <si>
    <t>EN CONCILAICION ESE HUS ACEPTA GLOSA POR $60.400 POR FACTURACION DE INSUMO (2# - FILTROS HME ADULTOS INTERCAMBIADOR), INCLUIDO EN DERECHOS DE SALA DE ACUERDO AL ART 49 PARAGRAFO 2 DECRETO 2423/96.</t>
  </si>
  <si>
    <t>EN CONCILIACION ESE HUS ACEPTA GLOSA  $ 351.800 SISTEMA DE ADMINISTRACIÓN DE MEDIOS DE CONTRASTE + MEDIO DE CONTRASTE. TOMOGRAFIAS NO JUSTIFICADAS.</t>
  </si>
  <si>
    <t xml:space="preserve">EN CONCILIACION ESE HUS ACEPTA GLOSA $ 619.900 TAC DE TÓRAX, SE AJUSTA A UNA RADIOGRAFIA DE TORAX , PRIMERA ELECCION DE AYUDAS DIAGNOSTICAS, DE ACUERDO AL TRAUMA Y EXAMEN FISICO DE INGRESO:  TORAX: SIMETRICO, EXPANSIBLE, NO DOLOROSO A LA PALPACION, NO SE OBSERVAN SIGNOS DE DIFICULTAD RESPIRATORIA, MURMULLO VESICULAR CONSERVADO, NO AUSCULTO AGREGADOS RESPIRATORIOS, RUIDOS CARDIACOS RITMICOS, NO AUSCULTO SOPLOS, EN LA NOTA DE REMISION TAMPOCO SE EVIDENCIA QUE HAYA ALGUN SIGNO DE TRAUMA A ESTE NIVEL. </t>
  </si>
  <si>
    <t xml:space="preserve">EN CONCILIACION ESE HUS ACEPTA GLOSAS $ 2.371.000 TAC DE ABDOMEN SE AJUSTA A UNA ECOGRAFIA ABDOMINAL PRIMERA ELECCION DE AYUDAS DIAGNOSTICAS, DE ACUERDO AL TRAUMA Y EXAMEN FISICO DE INGRESO: ABDOMEN: BLANDO, DEPRESIBLE, NO DOLOROSO A LA PALPACION, NO HAY SIGNOS DE IRRITACION PERITONEAL, NO SE PALPAN MASAS, RUIDOS INTESTINALES PRESENTES CON ADECUADA FRECUENCIA E INTENSIDAD. EN LA NOTA DE REMISION TAMPOCO SE EVIDENCIA QUE HAYA ALGUN SIGNO DE TRAUMA A ESTE NIVEL, EL VALOR FACTURADO CORRESPONDE A UNA TOMOGRAFIA CON PROTOCOLO PARA TAVI EL CUAL ES UN ERROR DE FACTURACION. </t>
  </si>
  <si>
    <t>HUS0000308196</t>
  </si>
  <si>
    <t xml:space="preserve">EN CONCILIACION ESE HUS ACEPTA GLOSA PARCIAL POR $2.850 MVC EN MEDICAMENTO (TOXOIDE TETANICO AMP # 1), SE RECONOCE APLICACIÓN DE TARIFAS SEGÚN PRECIO PROMEDIO DEL MERCADO.
ASEGURADORA LEVANTA DIFERENCIA.
</t>
  </si>
  <si>
    <t xml:space="preserve">EN CONCILIACION ESE HUS ACEPTA GLOSA PARCIAL POR $14.822 MVC EN INSUMOS ( VENDA ALGODÓN LAMINADO 5X5 # 3, VENDA YESO 5X5 # 3, VENDA ELASTICA 5X5 # 3, JERINGA 3ML # 1), SE RECONOCE APLICACIÓN DE TARIFAS SEGÚN PRECIO PROMEDIO DEL MERCADO.
ASEGURADORA LEVANTA DIFERENCIA.
</t>
  </si>
  <si>
    <t>HUS0000310779</t>
  </si>
  <si>
    <t>EN CONCILIACION SE APLICA NOTA CREDITO POR $965.669 PARA REFACTURAR AL ADRES, POR MOTIVO DE AGOTAMIENTO DE COBERTURA DE POLIZA DIFERENCIAL SOAT.</t>
  </si>
  <si>
    <t>HUS0000285792</t>
  </si>
  <si>
    <t>EN CONCILIACION ESE HUS ACEPTA PARCIAL $ 1,136,400  ASI: $ 34.300 POR 1 CUADRO HEMATICO, NO PERTINENTE LA REALIZACION DE 2 EL 01 DE JUNIO CON DIFERENCIA DE 40 MINUTOS/// $ 1.102.100 POR AJUSTE DE TARIFA DE TOMOGRAFIA CON PROTOCOLO TAVI A TOMOGRAFIA DE ABDOMEN TOTAL CON CONTRASTE., SE EVIDENCIA ERROR EN LA FACTURACION DE LA AYUDA DIAGNOSTICA. ENTIDAD LEVANTA EL RESTANTE</t>
  </si>
  <si>
    <t>EN CONCILIACION ESE HUS ACEPTA GLOSA POR VALOR DE $77.300 CORRESPONDIENTE A:
$49.500 POR AJUSTE ENTRE 1# 21102 - RX HOMBRO POR 1# 21106 - RX DE HOMBRO COMPARATIVO, SEGUN INDICACION MEDICA. ACEPTANDOSE LA DIFERENCIA.
$27.800  POR AJUSTE ENTRE 1# -21708 TAC DE COLUMNA CERVICAL DORSAL O LUMBAR (HASTA TRES ESPACIOS) POR 3# 21709 TAC DE COLUMNA CERVICAL DORSAL O LUMBAR (ESPACIO ADICIONAL), SEGÚN ANATOMIA DE REGION CERVICAL, ACEPTANDOSE LA DIFERENCIA.</t>
  </si>
  <si>
    <t>EN CONCILIACION ESE HUS ACEPTA GLOSA PARCIAL PO VALOR DE $12.100 POR MVC EN INSUMOS ( CATÉTER IV N°18 #1, EQUIPO BURETROL #1, EQUIPO MACROGOTEO #1, JERINGA 10CC #4, EXTENSIÓN DE ANESTESIA #2,EQUIPO BOMBA DE INFUSIÓN #1, JERINGA 5CC #10) SE RECONOCE APLICACION DE TARIFAS SEGUN PRECIO PROMEDIO DEL MERCADO.
ASEGURADORA LEVANTA DIFERENCIA.</t>
  </si>
  <si>
    <t>HUS0000219809</t>
  </si>
  <si>
    <t>COMPAÑIA SURAMERICANA DE SEGUROS DE VIDA S.A. ARL</t>
  </si>
  <si>
    <t>EN CONCILIACION SE RATIFICA GLOSA POR VALOR DE $1.979.681, YA QUE SE SOLICITO EL CERTIFICADO DE AGOTAMIENTO TOPE SOAT A AXA ARL, Y A LA FECHA NO LO HA ENVIADO, POR LO TANTO ASEGURADORA MANTIENE EL MOTIVO DE GLOSA INICIAL</t>
  </si>
  <si>
    <t>HUS0000389224</t>
  </si>
  <si>
    <t>HUS0000393319</t>
  </si>
  <si>
    <t>EN CONCILIACIÓN SE RATIFICA GLOSA POR VALOR $170.800 POR CONCEPTO DE SALA DE OBSERVACION, PERTINENTE Y JUSTIFICADO DE ACUERDO HALLAZGOS DESCRITOS EN LA HISTORIA CLINICA. SEGUN PROTOCOLO PARA LA ATENCIÓN POR EXPOSICIÓN DE RIESGO BIOLÓGICO LABORAL O NO LABORAL DEL MINISTERIO DE SALUD, RECOMENDACIONES PARA DECIDIR INICIAR PROFILAXIS ANTE UNA EXPOSICIÓN DE RIESGO BIOLÓGICO OCUPACIONAL (ERBO)7 1) ES IMPORTANTE INTENTAR CONOCER LA SITUACIÓN SEROLÓGICA FRENTE AL VIH DE LA PERSONA FUENTE, LOS RESULTADOS SE HAN DE CONOCER PREFERIBLEMENTE EN LAS PRIMERAS 2 HORAS. RECOMENDACIÓN FUERTE A FAVOR, CALIDAD DE EVIDENCIA ALTA, POR LO ANTERIOR ES PERTINENTE LA FACTURACIÓN DERECHOS DE SALA DE OBSERVACION EN URGENCIAS COMPLEJIDAD ALTA. SEGUN ARTICULO 47 PARÁGRAFO 2. DEL DECRETO 2423, SE ADJUTA PROTOCOLO PARA LA ATENCIÓN POR EXPOSICIÓN DE RIESGO BIOLÓGICO LABORAL O NO LABORAL, ANTE LAS INFECCIONES DE TRANSMISIÓN SEXUAL, EL VIRUS DE INMUNODEFICIENCIA HUMANA, EL VIRUS DE LA HEPATITIS B Y EL VIRUS DE LA HEPATITIS C.PACIENTE EN MANEJO INTEGRAL CON PERMANENCIA MAYOR DE 2 HORAS EN EL SERVICIO. ASEGURADORA MANTIENE RATIFICADA LA GLOSA INICIAL</t>
  </si>
  <si>
    <t>HUS0000393674</t>
  </si>
  <si>
    <t>HUS0000394910</t>
  </si>
  <si>
    <t>HUS0000400266</t>
  </si>
  <si>
    <t>HUS0000404034</t>
  </si>
  <si>
    <t>EN CONCILIACIÓN SE RATIFICA GLOSA POR VALOR $170.800 POR CONCEPTO DE SALA DE OBSERVACION, PERTINENTE Y JUSTIFICADO DE ACUERDO HALLAZGOS DESCRITOS EN LA HISTORIA CLINICA. SEGUN PROTOCOLO PARA LA ATENCIÓN POR EXPOSICIÓN DE RIESGO BIOLÓGICO LABORAL O NO LABORAL DEL MINISTERIO DE SALUD, RECOMENDACIONES PARA DECIDIR INICIAR PROFILAXIS ANTE UNA EXPOSICIÓN DE RIESGO BIOLÓGICO OCUPACIONAL (ERBO)7 1) ES IMPORTANTE INTENTAR CONOCER LA SITUACIÓN SEROLÓGICA FRENTE AL VIH DE LA PERSONA FUENTE, LOS RESULTADOS SE HAN DE CONOCER PREFERIBLEMENTE EN LAS PRIMERAS 2 HORAS. RECOMENDACIÓN FUERTE A FAVOR, CALIDAD DE EVIDENCIA ALTA, POR LO ANTERIOR ES PERTINENTE LA FACTURACIÓN DERECHOS DE SALA DE OBSERVACION EN URGENCIAS COMPLEJIDAD ALTA. SEGUN ARTICULO 47 PARÁGRAFO 2. DEL DECRETO 2423, SE ADJUTA PROTOCOLO PARA LA ATENCIÓN POR EXPOSICIÓN DE RIESGO BIOLÓGICO LABORAL O NO LABORAL, ANTE LAS INFECCIONES DE TRANSMISIÓN SEXUAL, EL VIRUS DE INMUNODEFICIENCIA HUMANA, EL VIRUS DE LA HEPATITIS B Y EL VIRUS DE LA HEPATITIS C.PACIENTE EN MANEJO INTEGRAL CON PERMANENCIA MAYOR DE 2 HORAS EN EL SERVICIO. ENTIDAD MANTIENE RATIFICADA LA GLOSA POR SALA DE OBSERVACION.
ASEGURADORA LEVANTA EL RESTANTE.</t>
  </si>
  <si>
    <t>HUS0000409231</t>
  </si>
  <si>
    <t>EN CONCILIACIÓN SE RATIFICA GLOSA POR VALOR $170.800 POR CONCEPTO DE SALA DE OBSERVACION, PERTINENTE Y JUSTIFICADO DE ACUERDO HALLAZGOS DESCRITOS EN LA HISTORIA CLINICA. SEGUN PROTOCOLO PARA LA ATENCIÓN POR EXPOSICIÓN DE RIESGO BIOLÓGICO LABORAL O NO LABORAL DEL MINISTERIO DE SALUD, RECOMENDACIONES PARA DECIDIR INICIAR PROFILAXIS ANTE UNA EXPOSICIÓN DE RIESGO BIOLÓGICO OCUPACIONAL (ERBO)7 1) ES IMPORTANTE INTENTAR CONOCER LA SITUACIÓN SEROLÓGICA FRENTE AL VIH DE LA PERSONA FUENTE, LOS RESULTADOS SE HAN DE CONOCER PREFERIBLEMENTE EN LAS PRIMERAS 2 HORAS. RECOMENDACIÓN FUERTE A FAVOR, CALIDAD DE EVIDENCIA ALTA, POR LO ANTERIOR ES PERTINENTE LA FACTURACIÓN DERECHOS DE SALA DE OBSERVACION EN URGENCIAS COMPLEJIDAD ALTA. SEGUN ARTICULO 47 PARÁGRAFO 2. DEL DECRETO 2423, SE ADJUNTA PROTOCOLO PARA LA ATENCIÓN POR EXPOSICIÓN DE RIESGO BIOLÓGICO LABORAL O NO LABORAL, ANTE LAS INFECCIONES DE TRANSMISIÓN SEXUAL, EL VIRUS DE INMUNODEFICIENCIA HUMANA, EL VIRUS DE LA HEPATITIS B Y EL VIRUS DE LA HEPATITIS C.PACIENTE EN MANEJO INTEGRAL CON PERMANENCIA MAYOR DE 2 HORAS EN EL SERVICIO. ENTIDAD MANTIENE RATIFICADA LA GLOSA POR SALA DE OBSERVACION.
ASEGURADORA LEVANTA EL RESTANTE.</t>
  </si>
  <si>
    <t>HUS0000337643</t>
  </si>
  <si>
    <t xml:space="preserve">ASMET SALUD EPS </t>
  </si>
  <si>
    <t>SE REALIZA NOTA CRÉDITO POR ACTIVIDADES DE CONCILIACIÓN, DEPURACIÓN Y SANEAMIENTO DE CARTERA, SEGÚN REUNIÓN REALIZADA EL 11 DE FEBRERO DE 2026 POR PARTE DE LA ESE HUS Y LA ERP ASMET SALUD EPS</t>
  </si>
  <si>
    <t>102 | 106 | 308 | 602 | 333</t>
  </si>
  <si>
    <t>HUS0000345609</t>
  </si>
  <si>
    <t>HUS0000341921</t>
  </si>
  <si>
    <t>207 | 123</t>
  </si>
  <si>
    <t>HUS0000346809</t>
  </si>
  <si>
    <t>$                      -</t>
  </si>
  <si>
    <t>ENTIDAD LEVANTA EL VALOR DE LA GLOSA.</t>
  </si>
  <si>
    <t>623</t>
  </si>
  <si>
    <t>HUS0000364781</t>
  </si>
  <si>
    <t>TA0801 | SO6101 | FA0703 | FA0803</t>
  </si>
  <si>
    <t>HUS0000365637</t>
  </si>
  <si>
    <t>TA0701 | TA0601 | SO6101 | FA2302</t>
  </si>
  <si>
    <t>HUS0000376629</t>
  </si>
  <si>
    <t>TA0801 | TA0701 | TA5801 | TA0601 | SO6101 | FA0703</t>
  </si>
  <si>
    <t>HUS0000312876</t>
  </si>
  <si>
    <t>223 | 606</t>
  </si>
  <si>
    <t>HUS0000383879</t>
  </si>
  <si>
    <t>TA0801 | TA0701 | TA0601 | SO6101</t>
  </si>
  <si>
    <t>HUS0000379098</t>
  </si>
  <si>
    <t>HUS0000340073</t>
  </si>
  <si>
    <t>208 | 206</t>
  </si>
  <si>
    <t>HUS0000383652</t>
  </si>
  <si>
    <t>TA0801 | TA0701 | TA5701 | CL2301 | TA0601 | FA5802 | TA2901 | SO6101</t>
  </si>
  <si>
    <t>HUS0000377774</t>
  </si>
  <si>
    <t>TA0701 | TA5801 | TA0601</t>
  </si>
  <si>
    <t>HUS0000368447</t>
  </si>
  <si>
    <t>TA0801 | TA2301 | TA0701 | TA0601</t>
  </si>
  <si>
    <t>HUS0000382888</t>
  </si>
  <si>
    <t>TA0701 | TA0601 | SO6101 | FA0703</t>
  </si>
  <si>
    <t>HUS0000341127</t>
  </si>
  <si>
    <t>336</t>
  </si>
  <si>
    <t>HUS0000382418</t>
  </si>
  <si>
    <t>TA0201 | TA0701 | TA0101 | TA5801 | SO6101</t>
  </si>
  <si>
    <t>HUS0000354720</t>
  </si>
  <si>
    <t>TA0201 | TA0801 | TA2301 | TA0701 | TA0101 | TA5801 | SO6101</t>
  </si>
  <si>
    <t>HUS0000353015</t>
  </si>
  <si>
    <t>TA0201 | TA0801 | TA2301 | FA0603 | TA0701 | TA0101 | TA5701</t>
  </si>
  <si>
    <t>HUS0000360528</t>
  </si>
  <si>
    <t>TA0201 | TA0801 | TA0701 | TA0101 | TA5801</t>
  </si>
  <si>
    <t>HUS0000358010</t>
  </si>
  <si>
    <t>TA0801 | TA0101 | SO6101</t>
  </si>
  <si>
    <t>HUS0000370444</t>
  </si>
  <si>
    <t>TA0201 | TA0801 | TA2301 | TA0701 | TA0101 | TA0601 | SO0601 | FA2302</t>
  </si>
  <si>
    <t>HUS0000349958</t>
  </si>
  <si>
    <t>TA0201 | TA0801 | TA0701 | TA0101</t>
  </si>
  <si>
    <t>HUS0000350127</t>
  </si>
  <si>
    <t>TA0201 | TA0801 | FA0603 | TA0701 | TA0101 | TA5701 | FA0101 | SO6101 | FA5702</t>
  </si>
  <si>
    <t>HUS0000345830</t>
  </si>
  <si>
    <t>201 | 202 | 207 | 208 | 223 | 203</t>
  </si>
  <si>
    <t>HUS0000372187</t>
  </si>
  <si>
    <t>TA0201 | TA0801 | FA0201 | TA0701 | TA0101 | SO6101</t>
  </si>
  <si>
    <t>HUS0000372939</t>
  </si>
  <si>
    <t>TA0201 | TA0801 | TA0701 | TA0101 | TA5701</t>
  </si>
  <si>
    <t>HUS0000348395</t>
  </si>
  <si>
    <t>TA0201 | TA0801 | TA2301 | TA0701 | TA0101 | SO6101</t>
  </si>
  <si>
    <t>HUS0000390317</t>
  </si>
  <si>
    <t>SO0801 | SO6101 | CL0801 | TA0601 | FA0601</t>
  </si>
  <si>
    <t>HUS0000394713</t>
  </si>
  <si>
    <t>HUS0000402428</t>
  </si>
  <si>
    <t>HUS0000412675</t>
  </si>
  <si>
    <t>HUS0000411770</t>
  </si>
  <si>
    <t>HUS0000409148</t>
  </si>
  <si>
    <t>SO6101 | FA0101 | SO0201 | FA5702 | FA3801</t>
  </si>
  <si>
    <t>HUS0000409487</t>
  </si>
  <si>
    <t>SO6101 | CL0601 | CL0101</t>
  </si>
  <si>
    <t>HUS0000413091</t>
  </si>
  <si>
    <t>SO3401</t>
  </si>
  <si>
    <t>HUS0000399616</t>
  </si>
  <si>
    <t>SO6101 | CL0101 | TA0701</t>
  </si>
  <si>
    <t>HUS0000412229</t>
  </si>
  <si>
    <t>SO6101 | TA0201 | CL0801 | CL0201 | SO0601</t>
  </si>
  <si>
    <t>HUS0000412647</t>
  </si>
  <si>
    <t>SO6101 | CL0101 | CL0801 | TA0701</t>
  </si>
  <si>
    <t>HUS0000406682</t>
  </si>
  <si>
    <t>SO6101 | CL0101</t>
  </si>
  <si>
    <t>HUS0000412487</t>
  </si>
  <si>
    <t>HUS0000369119</t>
  </si>
  <si>
    <t>TA0101 | SO0801 | SO6101 | TA0201 | TA0601 | FA0601 | CL0201 | FA0201 | SO0601</t>
  </si>
  <si>
    <t>HUS0000406108</t>
  </si>
  <si>
    <t>HUS0000392948</t>
  </si>
  <si>
    <t>SO0801 | SO6101 | FA0801 | SO0701 | FA0601 | SO0601</t>
  </si>
  <si>
    <t>HUS0000387999</t>
  </si>
  <si>
    <t>SO6101 | FA0601 | SO0803 | SO0601 | FA1305 | FA0101 | SO3801</t>
  </si>
  <si>
    <t>HUS0000399445</t>
  </si>
  <si>
    <t>TA0101 | SO0801 | SO6101 | TA0801 | FA0801 | FA0601 | FA5801</t>
  </si>
  <si>
    <t>HUS0000339138</t>
  </si>
  <si>
    <t>308 | 123 | 608 | 223</t>
  </si>
  <si>
    <t>HUS0000416516</t>
  </si>
  <si>
    <t>HUS0000429345</t>
  </si>
  <si>
    <t>TA0601 | SO0601 | CL5801</t>
  </si>
  <si>
    <t>HUS0000435333</t>
  </si>
  <si>
    <t>FA0601 | CL0101 | FA0801 | SO0801</t>
  </si>
  <si>
    <t>HUS0000443144</t>
  </si>
  <si>
    <t>FA0103 | SO0801 | FA0601</t>
  </si>
  <si>
    <t>HUS0000322554</t>
  </si>
  <si>
    <t>HUS0000346527</t>
  </si>
  <si>
    <t>HUS0000348016</t>
  </si>
  <si>
    <t>HUS0000360114</t>
  </si>
  <si>
    <t>HUS0000364192</t>
  </si>
  <si>
    <t>HUS0000368601</t>
  </si>
  <si>
    <t>HUS0000384191</t>
  </si>
  <si>
    <t>HUS0000322958</t>
  </si>
  <si>
    <t>PIJAOS SALUD EPS INDIGENA</t>
  </si>
  <si>
    <t>EN CONCILIACION ESE HUS ACEPTA GLOSA POR $4.800 DE INSUMO TOALLA IMPREGNADA DE ALCOHOL, SOBRE FACTURADO INCLUIDO EN DERECHO DE SALA SEGÚN MANAUL SOAT ART 49.</t>
  </si>
  <si>
    <t>ENCONCILIACION ENTIDAD LEVANTA GLOSA</t>
  </si>
  <si>
    <t>HUS0000345961</t>
  </si>
  <si>
    <t>EN CONCILIACION ESE HUS ADJUNTA NOTA CREDITO N. 178443 POR $7.252 EN ACEPTACION  RTA A GLOSA INICIAL CON TRAMITE N. 118735 PARA ENTIDAD APLIQUE  VALOR ACEPTADO ESE HUS.</t>
  </si>
  <si>
    <t xml:space="preserve">EN CONCILIACION ESE HUS ACEPTA GLOSA POR $38.035 DE MVC EN ESTANCIA ENTIDAD SIN CONTRATO ES A SOAT PLENO SE EVIDENCIA MVC. </t>
  </si>
  <si>
    <t>HUS0000009682</t>
  </si>
  <si>
    <t>DEPARTAMENTO DEL PUTUMAYO</t>
  </si>
  <si>
    <t>EN CONCILIACION ESE HUS ACEPTA DEVOLUCION TOTAL POR $2.150.217 EN REVISION SE EVIDENCIA QUE LA FACTURA HUS9682 USUARIO NO CORRESPONDE PARA EL DEPARTAMENTO DE PUTUMAYO ES PACIENTE DEL MAGISTERIO UNIMAP ACTIVO PARA LA PRESTACION DEL SERVICIO, NO SE ACEPTO EN SU DEBIDO TIEMPO PARA LA REFACTURACION HAN PASADO 6 AÑOS, POR LO CUAL PARA LA VIGENCIA ACTUAL LA FACTURA PRESENTA PRESCRIPCION VIGENCIAS ANTERIORES.</t>
  </si>
  <si>
    <t>HUS0000384340</t>
  </si>
  <si>
    <t>SALUD TOTAL EPS</t>
  </si>
  <si>
    <t xml:space="preserve">EN CONCILIACION ESE HUS ACEPTA GLOSA PARCIAL POR MVC ENAYUDAS DIAGNOSTICAS. ENTIDAD LEVANTA LA DIFERENCIA </t>
  </si>
  <si>
    <t>HUS0000387581</t>
  </si>
  <si>
    <t xml:space="preserve">EN CONCILIACION ESE HUS ACEPTA GLOSA PARCIAL POR MVC EN CONSULTAS INTERCONSULTAS. ENTIDAD LEVANTA LA DIFERENCIA </t>
  </si>
  <si>
    <t>EN CONCILIACION ESE HUS ACEPTA GLOSA PARCIAL POR MVC EN PROCEDIMIENTOS O ACTIVIDAD. ENTIDAD LEVANTA LA DIFERENCIA.</t>
  </si>
  <si>
    <t xml:space="preserve">EN CONCILIACION ESE HUS ACEPTA GLOSA PARCIAL  POR MVC EN MEDICAMENTOS. ENTIDAD LEVANTA LA DIFERENCIA  </t>
  </si>
  <si>
    <t xml:space="preserve">EN CONCILIACION ESE HUS ACEPTA GLOSA PARCIAL  POR MVC EN INSUMOS. ENTIDAD LEVANTA LA DIFERENCIA  </t>
  </si>
  <si>
    <t>HUS0000387889</t>
  </si>
  <si>
    <t xml:space="preserve">EN CONCILIACION ESE HUS SUBSANA GLOSA POR SOPORTE SE PRESENTA FACTURA DE LA ASEGURADORA TOPE SOAT. ESE HUS ACEPTA GLOSA PARCIAL POR MVC EN MEDICAMENTOS, INSUMOS, Y PROCEDIMIENTOS. ENTIDAD LEVANTA LA DIFERENCIA </t>
  </si>
  <si>
    <t>HUS0000388486</t>
  </si>
  <si>
    <t>HUS0000389279</t>
  </si>
  <si>
    <t>HUS0000388429</t>
  </si>
  <si>
    <t xml:space="preserve">ENCONCILIACION ESE HUS ACEPTA GLOSA POR MVC EN MEDICAMENTOS </t>
  </si>
  <si>
    <t xml:space="preserve">EN CONCILIACION ESE HUS ACEPTA GLOSA POR MVC EN INSUMOS </t>
  </si>
  <si>
    <t>HUS0000388942</t>
  </si>
  <si>
    <t>HUS0000389298</t>
  </si>
  <si>
    <t>HUS0000389346</t>
  </si>
  <si>
    <t>HUS0000390360</t>
  </si>
  <si>
    <t>HUS0000392599</t>
  </si>
  <si>
    <t>HUS0000393303</t>
  </si>
  <si>
    <t>HUS0000393418</t>
  </si>
  <si>
    <t>HUS0000393497</t>
  </si>
  <si>
    <t>HUS0000393680</t>
  </si>
  <si>
    <t>HUS0000393806</t>
  </si>
  <si>
    <t>HUS0000393916</t>
  </si>
  <si>
    <t>HUS0000394280</t>
  </si>
  <si>
    <t>HUS0000394911</t>
  </si>
  <si>
    <t>HUS0000394954</t>
  </si>
  <si>
    <t>HUS0000396866</t>
  </si>
  <si>
    <t>HUS0000391768</t>
  </si>
  <si>
    <t>AU4304</t>
  </si>
  <si>
    <t>HUS0000391352</t>
  </si>
  <si>
    <t>HUS0000397494</t>
  </si>
  <si>
    <t>HUS0000397510</t>
  </si>
  <si>
    <t>HUS0000398668</t>
  </si>
  <si>
    <t>HUS0000400505</t>
  </si>
  <si>
    <t>HUS0000401050</t>
  </si>
  <si>
    <t>HUS0000401336</t>
  </si>
  <si>
    <t>HUS0000401639</t>
  </si>
  <si>
    <t>HUS0000402495</t>
  </si>
  <si>
    <t>HUS0000368993</t>
  </si>
  <si>
    <t>HUS0000394115</t>
  </si>
  <si>
    <t>HUS0000399426</t>
  </si>
  <si>
    <t>HUS0000403989</t>
  </si>
  <si>
    <t>HUS0000405133</t>
  </si>
  <si>
    <t>HUS0000405316</t>
  </si>
  <si>
    <t>HUS0000407241</t>
  </si>
  <si>
    <t>HUS0000407295</t>
  </si>
  <si>
    <t>HUS0000370362</t>
  </si>
  <si>
    <t>HUS0000399094</t>
  </si>
  <si>
    <t>HUS0000403733</t>
  </si>
  <si>
    <t>HUS0000405094</t>
  </si>
  <si>
    <t>HUS0000405581</t>
  </si>
  <si>
    <t>HUS0000367608</t>
  </si>
  <si>
    <t>HUS0000367675</t>
  </si>
  <si>
    <t>CO0701</t>
  </si>
  <si>
    <t>CO0801</t>
  </si>
  <si>
    <t>HUS0000391353</t>
  </si>
  <si>
    <t>HUS0000398478</t>
  </si>
  <si>
    <t>HUS0000402981</t>
  </si>
  <si>
    <t>HUS0000406198</t>
  </si>
  <si>
    <t>HUS0000405606</t>
  </si>
  <si>
    <t>HUS0000405201</t>
  </si>
  <si>
    <t>HUS0000403808</t>
  </si>
  <si>
    <t>HUS0000418088</t>
  </si>
  <si>
    <t>HUS0000418029</t>
  </si>
  <si>
    <t>HUS0000416810</t>
  </si>
  <si>
    <t>HUS0000415744</t>
  </si>
  <si>
    <t xml:space="preserve">EN CONCILIACION ESE HUS ACEPTA  GLOSA PARCIAL POR FACTURACION. ENTIDAD LEVANTA LA DIFERENCIA </t>
  </si>
  <si>
    <t>HUS0000415469</t>
  </si>
  <si>
    <t>HUS0000414921</t>
  </si>
  <si>
    <t>HUS0000414323</t>
  </si>
  <si>
    <t>HUS0000410340</t>
  </si>
  <si>
    <t>HUS0000411716</t>
  </si>
  <si>
    <t>HUS0000412517</t>
  </si>
  <si>
    <t>HUS0000413161</t>
  </si>
  <si>
    <t>HUS0000403734</t>
  </si>
  <si>
    <t>HUS0000413220</t>
  </si>
  <si>
    <t>HUS0000414294</t>
  </si>
  <si>
    <t>HUS0000415745</t>
  </si>
  <si>
    <t>HUS0000407483</t>
  </si>
  <si>
    <t>HUS0000418963</t>
  </si>
  <si>
    <t>AU2301</t>
  </si>
  <si>
    <t>SO4701</t>
  </si>
  <si>
    <t>HUS0000419203</t>
  </si>
  <si>
    <t>HUS0000419579</t>
  </si>
  <si>
    <t>HUS0000367603</t>
  </si>
  <si>
    <t>C02301</t>
  </si>
  <si>
    <t>HUSE0000893181</t>
  </si>
  <si>
    <t>EN CONCILIACION ESE HUS ACEPTA GLOSA PARCIAL SEGÚN DECISIÓN EJECCUTORIADA PROCESO SUPERSALUD SENTENCIA No. S2025-000900 del 14/08/2025 SE ADJUNTA.</t>
  </si>
  <si>
    <t>HUSE0000901511</t>
  </si>
  <si>
    <t>HUSE0000908216</t>
  </si>
  <si>
    <t>HUS0000088213</t>
  </si>
  <si>
    <t>HUS0000270367</t>
  </si>
  <si>
    <t>EN CONCILIACION ESE HUS ACEPTA GLOSA PARCIAL POR VALOR $21.300 POR MVC EN AYUDA DIAGNOSTICA (1) UROCULTIVO SE AJUSTA TARIFA ESTABLECIDA POR LA SSS SOAT 2024 -10%.  ENTIDAD LEVANTA EL RESTANTE</t>
  </si>
  <si>
    <t>HUS0000270791</t>
  </si>
  <si>
    <t>HUS0000270873</t>
  </si>
  <si>
    <t>EN CONCILIACION ESE HUS ACEPTA GLOSA PARCIAL POR $202.800 CORRESPONDIENTE A: $181.500 DIFERENCIA DE (1) DE ESTANCIA A SALA DE OBSERVACION UNA VEZ REVISADA LA HISTORIA CLINICA SE EVIDENCIA ESTUDIOS REALIZADOS A LA PACIENTE NO AMERITA ESTANCIA SUPERIOR A 6 HORAS CON RESULTADOS NORMALES DONDE SE PUDO DEFINIR CONDUCTA Y DAR EGRESO SEGURO Y OPORTUNO. $21.300 POR MVC EN AYUDA DIAGNOSTICA (1) UROCULTIVO SE AJUSTA TARIFA ESTABLECIDA POR LA SSS SOAT 2024 -10%.  ENTIDAD LEVANTA EL RESTANTE</t>
  </si>
  <si>
    <t>HUS0000271863</t>
  </si>
  <si>
    <t>EN CONCILIACION ESE HUS ACEPTA GLOSA PARCIAL POR VALOR $42.600 POR MVC EN AYUDA DIAGNOSTICA (2) UROCULTIVO SE AJUSTA TARIFA ESTABLECIDA POR LA SSS SOAT 2024 -10%.  ENTIDAD LEVANTA EL RESTANTE</t>
  </si>
  <si>
    <t>HUS0000271896</t>
  </si>
  <si>
    <t>EN CONCILIACION ESE HUS ACEPTA GLOSA TOTAL POR $1.790.600, POR CONCEPTO DE AJUSTE DE ESTANCIA DE UCI PLENA A UCI INETREMEDIA UNA VEZ VERIFICADA LA HISTORIA CLINICA PACIENTE CON ESTABILIDAD HEMODINAMICA SIN SOPORTE VASOPRESOR PERO CON REQUERIMIENTO DE MONITOREO CONTINUO DESDE EL 5 AL 9 DE ABRIL, DADO POR CONTROL HEMATOLOGICO Y SIGNOS DE ALARMA DADO TROMBOCITOPENIA PERO SIN INVASORES NI SOPORTE VENTILATORIO SOLO CN A BAJO FLUJO LO QUE CUMPLE CRITERIOS PARA ESTANCIA EN CUIDADO INTERMEDIO.</t>
  </si>
  <si>
    <t>HUS0000271928</t>
  </si>
  <si>
    <t>HUS0000272020</t>
  </si>
  <si>
    <t>HUS0000272040</t>
  </si>
  <si>
    <t>HUS0000272770</t>
  </si>
  <si>
    <t>HUS0000273069</t>
  </si>
  <si>
    <t>ESE HUS, EN PROCESO DE CONCILIACIÓN, RATIFICA LA GLOSA POR VALOR DE $3.036.300, CORRESPONDIENTE AL COBRO DE EVACUACIÓN UTERINA, TODA VEZ QUE LOS VALORES FACTURADOS CORRESPONDEN A TARIFAS PROPIAS ESTABLECIDAS MEDIANTE RESOLUCIONES INTERNAS DE LA ENTIDAD (RESOLUCIONES 280 DE 2024 Y 0347), LAS CUALES NO SON RECONOCIDAS POR EL PAGADOR.</t>
  </si>
  <si>
    <t>HUS0000273449</t>
  </si>
  <si>
    <t>EN CONCILIACION ESE HUS ACEPTA GLOSA PARCIAL POR $181.500 POR CONCEPTO DE DIFERENCIA DE ESTANCIA A SALA DE OBSERVACION UNA VEZ REVISADA LA HISTORIA CLINICA SE EVIDENCIA ESTUDIOS REALIZADOS A LA PACIENTE NO AMERITA ESTANCIA SUPERIOR A 6 HORAS CON RESULTADOS NORMALES DONDE SE PUDO DEFINIR CONDUCTA Y DAR EGRESO SEGURO Y OPORTUNO. ENTIDAD LEVANTA EL RESTANTE</t>
  </si>
  <si>
    <t>HUS0000273777</t>
  </si>
  <si>
    <t>SSS RATIFICA GLOSA INICIALMENTE FORMULADA, SE DEVUELVE TOTAL FACTURA POR BD Y POR COBERTURA USUARIO REGISTRA CON DNP EN OIBA PARA LA FECHA DE ATENCION POR LO TANTO NO CORRESPONDE A LA COBERTURA DECRETO 866., ESE HUS NO ACEPTA GLOSA POR FACTURACION - USUARIO O SERVICIO CORRESPONDE A OTRO PLAN O RESPONSABLE. SE CONSULTA PAGINA DEL DNP Y PACIENTE NO REGISTRA CON SISBEN DE OIBA NI PARA EL MOMENTO DE LA PRESTACION DEL SERVICIO NI EN LA ACTUALIDAD, POR LO ANTERIOR, GLOSA NO PERTINENTE.", ES POR ESTO POR LO QUE NO SE LLEGA A UN ACUERDO ENTRE LAS PARTES CON ESTA OBJECIÓN, Y SE REMITE A CONCILIACIÓN EN SEGUNDA INSTANCIA EN LOS TERMINOS DESCRITOS EN EL ART 57 DE LA LEY N. 1438 DE 2011.</t>
  </si>
  <si>
    <t>HUS0000273826</t>
  </si>
  <si>
    <t>HUS0000274051</t>
  </si>
  <si>
    <t>HUS0000274303</t>
  </si>
  <si>
    <t>HUS0000274363</t>
  </si>
  <si>
    <t xml:space="preserve">EN CONCILIACION ESE HUS ACEPTA GLOSA PARCIAL POR $3.229.000 CORRESPONDIENTE A: MVC EN PROCEDIMIENTO DECORTICACIÓN TORACOSCOPICA PULMONAR  PROCEDIMIENTO QUE ESTÁ INCLUIDO EN PROCEDIMIENTO PRINCIPAL PLEURECTOMIA  EL CUAL HACE PARTE DE CÓDIGO DE MANUAL TARIFARIO SOAT 6120 GRUPO NO 20  POR LO ANTERIOR LA SSS RECONOCE COMO CIRUGÍA PRINCIPAL PLEURECTOMIA FACTURADA POR IPS CON CÓDIGO 090114  GRUPO ESPECIAL POR VALOR DE $8.720.400. ENTIDAD LEVANTA EL RESTANTE.
EN CONCILIACION ESE HUS RATIFICA GLOSA POR VALOR $912.900 CORRESPONDIENTE A COBRO  DE LOS INSUMOS (PINZAS PARA LAPAROSCOPIA) BASADOS EN LA FICHA TÉCNICA QUE SE ADJUNTA COMO SOPORTE INTEGRAL DE ESTA RESPUESTA, SE DEMUESTRA QUE EL DISPOSITIVO ES DE CARÁCTER NO REUTILIZABLE. ENTIDAD RATIFICA GLOSA POR MOTIVO INICIAL
</t>
  </si>
  <si>
    <t>HUS0000274430</t>
  </si>
  <si>
    <t>EN CONCILIACION ESE HUS ACEPTA GLOSA PARCIAL POR VALOR $112.110, CORRESPONDIENTE A:  $52.890 POR MVC EN AYUDA DIAGNOSTICA (1) UROCULTIVO SIN ANTIBIOGRAMA RESULTADO NEGATIVO, SE AJUSTA A CODIGO 19966 TARIFA ESTABLECIDA POR LA SSS SOAT 2024 -10%.  $21.300 POR MVC EN AYUDA DIAGNOSTICA (2) UROCULTIVO SE AJUSTA TARIFA ESTABLECIDA POR LA SSS SOAT 2024 -10%. $37.920 POR MVC EN AMPICILINA SULBACTAM 1.5GR AMP SE AJUSTA A TARIFAS PROMEDIO DEL MERCADO, DE ACUERDO A LA RESOLUCION 15997. ENTIDAD LEVANTA RESTANTE</t>
  </si>
  <si>
    <t>HUS0000274503</t>
  </si>
  <si>
    <t>EN CONCILIACION ESE HUS ACEPTA GLOSA PARCIAL POR $25.280 CORRESPONDIENTE A: MVC EN MEDICAMENTO AMPICILINA SULBACTAM 1.5GR AMP SE AJUSTA A TARIFAS PROMEDIO DEL MERCADO, DE ACUERDO A LA RESOLUCION 15997. ENTIDAD LEVANTA RESTANTE.</t>
  </si>
  <si>
    <t>HUS0000274588</t>
  </si>
  <si>
    <t>HUS0000275335</t>
  </si>
  <si>
    <t>HUS0000275624</t>
  </si>
  <si>
    <t>EN CONCILIACION ESE HUS ACEPTA GLOSA PARCIAL POR VALOR $137.400 CORRESPONDIENTE A: $116.100 EN MONITOREO INTRAPARTO Y ANTEPARTO SE VERIFICA HC DONDE SE EVIDENCIA QUE NO REALIZADO Y NO PERTINENTE A LA PACIENTE NUNCA SE LE ATENDIÓ PARTO.  $21.300 POR MVC EN AYUDA DIAGNOSTICA (1) UROCULTIVO SE AJUSTA TARIFA ESTABLECIDA POR LA SSS SOAT 2024 -10%.  ENTIDAD LEVANTA EL RESTANTE</t>
  </si>
  <si>
    <t>HUS0000275756</t>
  </si>
  <si>
    <t>EN CONCILIACION ESE HUS ACEPTA GLOSA TOTAL POR $55.200 CORRESPONDIENTE A ELECTROLITOS EN GASES NO FACTURABLES INCLUIDOS EN LOS GASES ARTERIALES  ADEMAS TAMPOCO FUERON SOLICITADOS.</t>
  </si>
  <si>
    <t>HUS0000275816</t>
  </si>
  <si>
    <t>HUS0000275870</t>
  </si>
  <si>
    <t>EN CONCILIACION ESE HUS ACEPTA GLOSA PARCIAL POR $181.500 POR CONCEPTO DE DIFERENCIA DE ESTANCIA A SALA DE OBSERVACION UNA VEZ REVISADA LA HISTORIA CLINICA SE EVIDENCIA ESTUDIOS REALIZADOS AL PACIENTE NO AMERITA ESTANCIA SUPERIOR A 6 HORAS CON RESULTADOS DONDE SE PUDO DEFINIR CONDUCTA Y DAR EGRESO SEGURO Y OPORTUNO.  ENTIDAD LEVANTA EL RESTANTE</t>
  </si>
  <si>
    <t>HUS0000275887</t>
  </si>
  <si>
    <t>HUS0000275978</t>
  </si>
  <si>
    <t>EN CONCILIACION ESE HUS ACEPTA GLOSA PARCIAL POR $252.956, POR MVC TARIFAS MATERIAL DE OSTEOSINTESIS SE RECONOCE SEGUN FACTURA DE COMPRA PRECIMEN No.9562 + 10% DE ACUERDO A LA RESOLUCION 15997. ENTIDAD LEVANTA EL RESTANTE</t>
  </si>
  <si>
    <t>HUS0000275991</t>
  </si>
  <si>
    <t>EN CONCILIACION ESE HUS ACEPTA GLOSA PARCIAL POR $607.094  MVC TARIFAS MATERIAL DE OSTEOSINTESIS SE RECONOCE SEGUN FACTURA DE COMPRA PRECIMEN No.9560 + 10% DE ACUERDO A LA RESOLUCION 15997. ENTIDAD LEVANTA EL RESTANTE</t>
  </si>
  <si>
    <t>HUS0000276035</t>
  </si>
  <si>
    <t>EN CONCILIACION ESE HUS ACEPTA GLOSA PARCIAL POR $181.500 POR CONCEPTO DE DIFERENCIA DE ESTANCIA A SALA DE OBSERVACION UNA VEZ REVISADA LA HISTORIA CLINICA SE EVIDENCIA ESTUDIOS REALIZADOS A LA PACIENTE NO AMERITA ESTANCIA SUPERIOR A 6 HORAS CON RESULTADOS DONDE SE PUDO DEFINIR CONDUCTA Y DAR EGRESO SEGURO Y OPORTUNO. ENTIDAD LEVANTA EL RESTANTE</t>
  </si>
  <si>
    <t>HUS0000276037</t>
  </si>
  <si>
    <t>EN CONCILIACION ESE HUS ACEPTA GLOSA PARCIAL POR $600.218  MVC TARIFAS MATERIAL DE OSTEOSINTESIS SE RECONOCE SEGUN FACTURA DE COMPRA PRECIMEN No.9539 + 10% DE ACUERDO A LA RESOLUCION 15997. ENTIDAD LEVANTA EL RESTANTE</t>
  </si>
  <si>
    <t>HUS0000276038</t>
  </si>
  <si>
    <t>EN CONCILIACION ESE HUS ACEPTA GLOSA PARCIAL POR VALOR $275.422, CORRESPONDIENTE A: $189.000 DE LISIS DE ADHERENCIA NO FACTURABLE YA QUE SE TRATA DE LA VIA DE ACCESO SEGÚN DESCRIPCION QUIRURGICA. $23.323  MVC TARIFAS MATERIAL DE OSTEOSINTESIS SE RECONOCE SEGUN FACTURA DE COMPRA PRECIMEN No.9543 + 10% DE ACUERDO A LA RESOLUCION 15997.  $63.100 (1) HEMOCLASIFICACIÓN SISTEMA ABO DIRECTA $17.100 (1) HEMOCLASIFICACIÓN SISTEMA ABO INVERSA $46.000, NO FACTURABLES SEGÚN ARTÍCULO 32 PGFO 1 DEC 2423 DE 1996 INCLUIDAS EN PRUEBAS CRUZADAS REALIZADAS Y FACTURADAS. ENTIDAD LEVANTA EL RESTANTE</t>
  </si>
  <si>
    <t>HUS0000276111</t>
  </si>
  <si>
    <t>HUS0000276353</t>
  </si>
  <si>
    <t>HUS0000276354</t>
  </si>
  <si>
    <t>EN CONCILIACION ESE HUS ACEPTA GLOSA PARCIAL POR VALOR $1.250.904, CORRESPONDIENTE A:  $986.304 POR MVC EN MEDICAMENTO PIPERACILINA TAZOBACTAM AMP SE AJUSTA A TARIFAS PROMEDIO DEL MERCADO, DE ACUERDO A LA RESOLUCION 15997. $243.300 POR MVC EN AYUDA DIAGNOSTICA (3) HEMOCULTIVO SE AJUSTA A CODIGO 19514 TARIFA ESTABLECIDA POR LA SSS SOAT 2024 -10%. $21.300 POR MVC EN AYUDA DIAGNOSTICA UROCULTIVO SE AJUSTA A CODIGO 19966 TARIFA ESTABLECIDA POR LA SSS SOAT 2024 -10%. SSS LEVANTA LA DIFERENCIA</t>
  </si>
  <si>
    <t>HUS0000276666</t>
  </si>
  <si>
    <t>EN CONCILIACION ESE HUS ACEPTA GLOSA TOTAL POR VALOR $71.489 CORRESPODIENTE A:  (1) HOJA VIDEOLARINGOSCOPIO N° 3 REF, HACE PARTE DE LOS MATERIALES Y DERECHOS DE SALA, NO FACTURABLE.</t>
  </si>
  <si>
    <t>HUS0000276906</t>
  </si>
  <si>
    <t>EN CONCILIACION ESE HUS ACEPTA GLOSA PARCIAL POR VALOR $243.400 POR MVC EN AYUDA DIAGNOSTICA HEMOCULTIVO SE AJUSTA A CODIGO 19514 TARIFA ESTABLECIDA POR LA SSS SOAT 2024 -10%. SSS LEVANTA LA DIFERENCIA.</t>
  </si>
  <si>
    <t>HUS0000276942</t>
  </si>
  <si>
    <t>ESE HUS, EN PROCESO DE CONCILIACIÓN, RATIFICA LA GLOSA POR VALOR DE $514.100, CORRESPONDIENTE AL COBRO DE EVACUACIÓN UTERINA, TODA VEZ QUE LOS VALORES FACTURADOS CORRESPONDEN A TARIFAS PROPIAS ESTABLECIDAS MEDIANTE RESOLUCIONES INTERNAS DE LA ENTIDAD (RESOLUCIONES 280 DE 2024 Y 0347), LAS CUALES NO SON RECONOCIDAS POR EL PAGADOR.</t>
  </si>
  <si>
    <t>HUS0000104284</t>
  </si>
  <si>
    <t>HUS0000104901</t>
  </si>
  <si>
    <t>HUS0000092829</t>
  </si>
  <si>
    <t>HUS0000278500</t>
  </si>
  <si>
    <t>EN CONCILIACION ESE HUS ACEPTA GLOSA PARCIAL POR VALOR $999.880 CORRESPONDIENTE A:  $283.658 MVC TARIFAS MATERIAL DE OSTEOSINTESIS SE RECONOCE SEGUN FACTURA DE COMPRA PRECIMEN No. 9326 + 10% DE ACUERDO A LA RESOLUCION 15997. $263.000 CORRESPONDIENTE A ELECTROLITOS EN GASES NO FACTURABLES INCLUIDOS EN LOS GASES ARTERIALES  ADEMAS TAMPOCO FUERON SOLICITADOS. $222.800 POR MVC EN AYUDA DIAGNOSTICA (2) HEMOCULTIVO SE AJUSTA A CODIGO 19514 TARIFA ESTABLECIDA POR LA SSS SOAT 2024 -10%. $209.000 POR TRANSFUSION O APLICACIÓN DE HEMODERIVADOS INCLUIDOS EN EL PROCESAMIENTO DE LA SANGRE Y EN LA TARIFA DE LA ESTANCIA. $21.422 MVC EN MEDICAMENTO (1) CLORHIDRATO DE DEXMEDETOMIDINA 400 MCG/100ML AMPOLLA, MEDICAMENTO REGULADO EN CIRUCULAR 13/2022 DE LA COMISION NACIONAL DE PRECIOS DE MEDICAMENTOS Y DISPOSITIVOS MEDICOS, SE VERIFICAN VALORES Y ACEPTA LA DIFERENCIA. ENTIDAD LEVANTA EL RESTANTE</t>
  </si>
  <si>
    <t>HUS0000180509</t>
  </si>
  <si>
    <t>EN CONCILIACION ESE HUS ACEPTA GLOSA PARCIAL POR VALOR $337.806, CORRESPONDIENTE A: $103.006 MVC EN MEDICAMENTO PIPERACILINA TAZOBACTAM AMP SE AJUSTA A TARIFAS PROMEDIO DEL MERCADO, DE ACUERDO A LA RESOLUCION 15997. $234.800 CORRESPONDIENTE A ELECTROLITOS EN GASES NO FACTURABLES INCLUIDOS EN LOS GASES ARTERIALES ADEMAS TAMPOCO FUERON SOLICITADOS. ENTIDAD LEVANTA RESTANTE.</t>
  </si>
  <si>
    <t>HUS0000172931</t>
  </si>
  <si>
    <t>EN CONCILIACION ESE HUS ACEPTA GLOSA TOTAL POR VALOR $55.288 POR MVC EN AYUDA DIAGNOSTICA UROCULTIVO SE AJUSTA TARIFA ESTABLECIDA POR LA SSS SOAT 2023 -10%.</t>
  </si>
  <si>
    <t>HUS0000133338</t>
  </si>
  <si>
    <t>HUS0000136077</t>
  </si>
  <si>
    <t>HUS0000136143</t>
  </si>
  <si>
    <t>HUS0000134407</t>
  </si>
  <si>
    <t>HUS0000135778</t>
  </si>
  <si>
    <t>HUS0000133451</t>
  </si>
  <si>
    <t>HUS0000300404</t>
  </si>
  <si>
    <t>EN CONCILIACION ESE HUS ACEPTA GLOSA PARCIAL POR VALOR $1.600.800 CORRESPONDIENTE A ESTANCIA INACTIVA INJUSTIFICADA EN ESPERA DE PROGRAMACION DE PROCEDIMIENTO INDICADO POR ORTOPEDIA EL DIA 4- CON APTO DE ANESTESIA EL DIA 5 Y EVOLUCIONAN EN ESPERA DE MAOS Y PROGRAMACION QUIRURGICA Y EL DIA 9 DAN EGRESO COMO URGENCIA DIFERIDA, ESTANCIA NO PERTINENTE. ENTIDAD LEVANTA RESTANTE</t>
  </si>
  <si>
    <t>HUS0000305691</t>
  </si>
  <si>
    <t>EN CONCILIACION ESE HUS ACEPTA GLOSA PARCIAL POR VALOR $386.790, CORRESPONDIENTE A: $273.600 POR MVC EN MEDICAMENTO AMPICILINA SULBACTAM 1.5GR AMP SE AJUSTA A TARIFAS PROMEDIO DEL MERCADO, DE ACUERDO A LA RESOLUCION 15997.  $113.190 POR MVC EN INSUMO (1) KIT DE TROCAR 5MM  SE AJUSTA A TARIFAS PROMEDIO DEL MERCADO, DE ACUERDO A LA RESOLUCION 15997.ENTIDAD LEVANTA RESTANTE</t>
  </si>
  <si>
    <t>HUS0000305774</t>
  </si>
  <si>
    <t>EN CONCILIACION ESE HUS ACEPTA GLOSA PARCIAL POR VALOR $1.362.050, CORRESPONDIENTE A: $30.200 EN MEDICAMENTO KETAMINA 500 MG AMPOLLA (AGENTE ANESTESICO ENINCLUIDOS EN MATERIALES ART 55 DEL MANUAL TARIFARIO SOAT.  $11.200 POR SOBREFACTURACION DE YODOPOVIDONA SOLUCION FRASCO X 120 ML,INSUMO INCLUIDO EN DERECHOS DE MATERIALES E INSUMOS.  $7.600 POR SOBREFACTURACION DE YODOPOVIDONA ESPUMA FRASCO X 60 ML, INSUMO INCLUIDO EN DERECHOS DE MATERIALES E $243.400 POR MVC EN AYUDA DIAGNOSTICA (2) HEMOCULTIVO SE AJUSTA A CODIGO 19514 TARIFA ESTABLECIDA POR LA SSS SOAT 2024 -10%. $621.000 POR MVC EN MEDICAMENTO PIPERACILINA TAZOBACTAM SE AJUSTA A TARIFAS PROMEDIO DEL MERCADO, DE ACUERDO A LA RESOLUCION 15997. $448.650 POR MVC EN INSUMO CATETER IMPLANTOFIX 4.5 FR PEDIATRICO SE AJUSTA A TARIFAS PROMEDIO DEL MERCADO, DE ACUERDO A LA RESOLUCION 15997. ENTIDAD LEVANTA RESTANTE</t>
  </si>
  <si>
    <t>HUS0000306021</t>
  </si>
  <si>
    <t>HUS0000306061</t>
  </si>
  <si>
    <t>HUS0000306441</t>
  </si>
  <si>
    <t>EN CONCILIACION ESE HUS ACEPTA GLOSA TOTAL POR VALOR $752.932, CORRESPONDIENTE A: MVC TARIFAS MATERIAL DE OSTEOSINTESIS SE RECONOCE SEGUN FACTURA DE COMPRA + 10% DE ACUERDO A LA RESOLUCION 15997.</t>
  </si>
  <si>
    <t>HUS0000306777</t>
  </si>
  <si>
    <t>EN CONCILIACION ESE HUS ACEPTA GLOSA PARCIAL POR VALOR $243.400 CORRESPONDIENTE A:  MVC EN AYUDA DIAGNOSTICA (2) HEMOCULTIVO SE AJUSTA A CODIGO 19514 TARIFA ESTABLECIDA POR LA SSS SOAT 2024 -10%. SSS LEVANTA LA DIFERENCIA</t>
  </si>
  <si>
    <t>HUS0000307559</t>
  </si>
  <si>
    <t>HUS0000307840</t>
  </si>
  <si>
    <t>EN CONCILIACION ESE HUS ACEPTA GLOSA PARCIAL POR VALOR $3.672.950, CORREPONDIENTE A:  $1.714.650 PROCEDIMIENTO FACTURADO AL 100% EL CUAL NO CORRESPONDE A PROCEDIMIENTO PRINCIPAL, ADEMAS DICHO PROCEDIMIENTO EN INHERENTE AL MAYOR HEMICOLECTOMIA, POR LO QUE NO ES PERTINENTE SU FACTURACION PLENA, EN ATENCION A LO ESTABLECIDO POR EL DECRETO 2423/1996. $702.000 POR MVC EN MEDICAMENTO PIPERACILINA TAZOBACTAM SE AJUSTA A TARIFAS PROMEDIO DEL MERCADO, DE ACUERDO A LA RESOLUCION 15997. $261.400 ASI: (1) ELIMINADOR DE ADHESIVO NO IRRITANTE SPRAY 50ML $113.600 (1) BARRERA CUTANEA SPRAY 50ML$147.800, INSUMOS INCLUIDOS EN DERECHOS DE INTERNACIÓN. ARTÍCULO 40 LITERAL E)  PARÁGRAFO 2 DECRETO 2423/96. $994.900 POR MVC EN PROCEDIMIENTO PAQUETE FISTULOGRAFÍA EN PARED ABDOMINAL SE AJUSTA A CODIGO 21516 TARIFA ESTABLECIDA POR LA SSS SOAT 2024 -10%. SSS LEVANTA LA DIFERENCIA
EN CONCILIACION ESE HUS RATIFICA GLOSA POR VALOR $1.004.500 CORRESPONDIENTE AL COBRO DE LOS SIGUIENTES INSUMOS (GRAPADORA ELECTRICA ECHELON CIRCULAR CON BATERIA DE 29 MM REF CDH29P) BASADOS EN LA FICHA TÉCNICA QUE SE ADJUNTA COMO SOPORTE INTEGRAL DE ESTA RESPUESTA, SE DEMUESTRA QUE EL DISPOSITIVO ES DE CARÁCTER NO REUTILIZABLE. ENTIDAD RATIFICA GLOSA POR MOTIVO INICIAL</t>
  </si>
  <si>
    <t>HUS0000308404</t>
  </si>
  <si>
    <t>EN CONCILIACION ESE HUS ACEPTA GLOSA PARCIAL POR VALOR $270.000 POR MVC EN MEDICAMENTO PIPERACILINA TAZOBACTAM SE AJUSTA A TARIFAS PROMEDIO DEL MERCADO, DE ACUERDO A LA RESOLUCION 15997. SSS LEVANTA LA DIFERENCIA</t>
  </si>
  <si>
    <t>HUS0000309711</t>
  </si>
  <si>
    <t>EN CONCILIACION ESE HUS ACEPTA GLOSA PARCIAL POR VALOR $756.212, CORRESPONDIENTE A:  $49.825 MVC EN ESTUCHE DE PLAQUETOFÉRESIS PARA OPTIA ( SPECTRA OPTIA PLATELET, PLASMA SET PLAQUETAS POR AFERESIS) SE RECONOCE SEGUN FACTURA DE COMPRA + 10% DE ACUERDO A LA RESOLUCION 15997. $648.800 POR MVC EN AYUDA DIAGNOSTICA (8) HEMOCULTIVO SE AJUSTA A CODIGO 19514 TARIFA ESTABLECIDA POR LA SSS SOAT 2024 -10%. $57.587 CORRESPONDIENTE A (1) MEROPENEM 1 G AMPOLLA. MEDICAMENTO NO SE ENCUENTRA SOPORTADO EN LA HOJA DE MEDICAMENTOS, SE EVIDENCIA EN LOS REGISTROS CLÍNICOS LA ADMINISTRACIÓN DE 35 UNIDADES DE LAS 36 FACTURADAS. SSS LEVANTA LA DIFERENCIA</t>
  </si>
  <si>
    <t>HUS0000310570</t>
  </si>
  <si>
    <t>EN CONCILIACION ESE HUS ACEPTA GLOSA PARCIAL POR VALOR $251.836, CORRESPONDIENTE A:  $60.400 (2) FILTRO HME SE RECONOCE 1 DISPOSITIVO EN PROCEDIMIENTO QUIRÚRGICO MULTIPLE EN ÚNICO TIEMPO NO HAY JUSTIFICACIÓN PARA SEGUNDA UNIDAD. //$161.300 POR SOBREFACTURACION EN (2)  LAPICERO PARA ELECTROBISTURI, (2) PLACA BIPOLARES ADULTO, (1) PUNTA PEDIATRICA, INSUMOS NO FACTURABLES INCLUIDOS EN LOS DERECHOS DE SALA Y MATERIALES SEGÚN ART 49 Y 55 DECRETO 2423/96. $22.856 (2) MASCARILLA RESPIRATORIA N95, SE RECONOCE DE ACUERDO A DIAS DE ESTANCIA. $7.280 POR MVC EN INSUMO (1) INCENTIVO RESPIRATORIO SE AJUSTA A TARIFAS PROMEDIO DEL MERCADO, DE ACUERDO A LA RESOLUCION 15997. SSS LEVANTA LA DIFERENCIA.</t>
  </si>
  <si>
    <t>HUS0000310605</t>
  </si>
  <si>
    <t>EN CONCILIACION ESE HUS ACEPTA GLOSA TOTAL POR VALOR $51.600 CORRESPONDIENTE A: (1) POLIPROPILENO AZUL 3/0 SC-24 CORTANTE INSUMO NO FACTURABLE INCLUIDOS EN LOS DERECHOS DE SALA.</t>
  </si>
  <si>
    <t>HUS0000311797</t>
  </si>
  <si>
    <t>EN CONCILIACION ESE HUS ACEPTA GLOSA PARCIAL POR VALOR $4.364.947, CORRESPONDIENTE A:  $58.500 MVC EN (1) INTERCONSULTA ESPECIALIZADA (NEUROLOGÍA) SE AJUSTA A TARIFA SOAT VIGENTE 2024 -10% CÓDIGO 39140, SEGÚN RESOLUCION 15997 DE 2017.
$1.593.000 POR MVC EN MEDICAMENTO PIPERACILINA TAZOBACTAM SE AJUSTA A TARIFAS PROMEDIO DEL MERCADO, DE ACUERDO A LA RESOLUCION 15997. $973.600 POR MVC EN AYUDA DIAGNOSTICA (8) HEMOCULTIVO SE AJUSTA A CODIGO 19514 TARIFA ESTABLECIDA POR LA SSS SOAT 2024 -10%. $1.173.600 POR MVC EN MEDICAMENTO SULBACTAM AMPICILINA AMP X 1.5 GR, SE AJUSTA A TARIFAS PROMEDIO DEL MERCADO, DE ACUERDO A LA RESOLUCION 15997.  $566.247 EN (1) KIT DE TRAQUEOSTOMIA PERCUTANEA CON CÁNULA FENETRADA NO 8 FR, SE RECONOCE SEGUN FACTURA DE COMPRA + 10% DE ACUERDO A LA RESOLUCION 15997. SSS LEVANTA LA DIFERENCIA.
EN CONCILIACIÓN ESE HUS RATIFICA GLOSA POR VALOR DE $1.423.400, CORRESPONDIENTE A: (2) FÉRULAS EN POSICIÓN FUNCIONAL DEL TALLER DE ÓRTESIS Y PRÓTESIS Y (2) ÓRTESIS TOBILLO–PIE FUNCIONAL DEL MISMO TALLER. SE ANEXA HISTORIA CLÍNICA EN LA CUAL SE EVIDENCIA LA UTILIZACIÓN DE DICHOS INSUMOS DURANTE LA ESTANCIA DEL PACIENTE; ADICIONALMENTE, SE ADJUNTA ACTA DE ENTREGA DE ÓRTESIS GAT-REH-FO-29, COMO SOPORTE DE SU SUMINISTRO.</t>
  </si>
  <si>
    <t>HUS0000309211</t>
  </si>
  <si>
    <t>EN CONCILIACION ESE HUS ACEPTA GLOSA PARCIAL POR VALOR $4.794.719, CORRESPONDIENTE A:  $2.575.200 (8) DIAS DE ESTANCIA EN ESPERA DE GARANTIA DE MAOS Y PROGRAMACION QUIRURGICA INOPORTUNIDAD, PACIENTE CON INDICACION DE PROCEDIMIENTO EL DIA 29 - APTO ANESTESIA EL DIA 30 Y SE INTERVIENE EL DIA 9 DE SEPTIEMBRE CON EGRESO AL DIA SIGUIENTE.  $2.219.519 MVC EN MATERIAL OSTEOSINTESIS SE RECONOCE A FACTURA DE COMPRA No 10887 DE LA CASA COMERCIAL PRECIMEC + EL 10% DE ACUERDO A LA RESOLUCION 15997. SSS LEVANTA LA DIFERENCIA.</t>
  </si>
  <si>
    <t>206-601</t>
  </si>
  <si>
    <t>HUS0000221649</t>
  </si>
  <si>
    <t>EN CONCILIACIÓN ESE HUS ACEPTA GLOSA PARCIAL POR VALOR DE $290.000, CORRESPONDIENTE AL PROCEDIMIENTO DE LISIS DE ADHERENCIAS PERITONEALES POR VÍA ABIERTA, EL CUAL NO ES FACTURABLE DE MANERA INDEPENDIENTE AL HACER PARTE DE LA TÉCNICA QUIRÚRGICA. SE EVIDENCIA EN LA HISTORIA CLÍNICA LA REALIZACIÓN DE CIRUGÍA MAYOR (HISTERECTOMÍA TOTAL), DENTRO DE LA CUAL SE ENCUENTRA INCLUIDO DICHO PROCEDIMIENTO. ENTIDAD LEVANTA RESTANTE.
EN CONCILIACION ESE HUS RATIFICA GLOSA POR VALOR $2.780.960 CORRESPONDIENTE AL COBRO DE LOS SIGUIENTES INSUMOS (PINZA LAPAROTOMIA 36MM -18 MM REF: LF4418) BASADOS EN LA FICHA TÉCNICA QUE SE ADJUNTA COMO SOPORTE INTEGRAL DE ESTA RESPUESTA, SE DEMUESTRA QUE EL DISPOSITIVO ES DE CARÁCTER NO REUTILIZABLE. ENTIDAD RATIFICA GLOSA POR MOTIVO INICIAL</t>
  </si>
  <si>
    <t>HUS0000223598</t>
  </si>
  <si>
    <t xml:space="preserve">EN CONCILIACION ESE HUS ACEPTA GLOSA TOTAL POR VALOR $55.288 POR MVC EN AYUDA DIAGNOSTICA UROCULTIVO SE AJUSTA TARIFA ESTABLECIDA POR LA SSS SOAT 2023 -10%. </t>
  </si>
  <si>
    <t>HUS0000312556</t>
  </si>
  <si>
    <t xml:space="preserve">EN CONCILIACION SSS LEVANTA GLOSA
EN CONCILIACION ESE HUS RATIFICA GLOSA POR VALOR DE $2.606.000 CORRESPONDIENTE A (1) RIZOTOMÍA NO REALIZADA. AL VERIFICAR LA HISTORIA CLÍNICA Y EL REGISTRO DE PROCEDIMIENTOS QUIRÚRGICOS, SE EVIDENCIA EN EL FOLIO 14 CON FECHA 14/09/2024 LA REALIZACIÓN DEL PRIMER PROCEDIMIENTO, Y POSTERIORMENTE EL 17/09/2024 EN EL FOLIO 34 SE REGISTRA LA REALIZACIÓN DEL SEGUNDO PROCEDIMIENTO. POR LO ANTERIOR, SE CONFIRMA QUE EL PROCEDIMIENTO FUE EFECTIVAMENTE REALIZADO Y SE ENCUENTRA DEBIDAMENTE SOPORTADO EN LOS REGISTROS CLÍNICOS, RAZÓN POR LA CUAL LA FACTURACIÓN CORRESPONDE A LOS SERVICIOS PRESTADOS.
</t>
  </si>
  <si>
    <t>HUS0000314367</t>
  </si>
  <si>
    <t>EN CONCILIACION ESE HUS ACEPTA GLOSA PARCIAL POR VALOR $1.684.029 CORRESPONDIENTE A:  $1.040.379 POR MVC TARIFAS MATERIAL DE OSTEOSINTESIS SE RECONOCE SEGUN FACTURA DE COMPRA PRECIMEN No. 11032, + 10%. DE ACUERDO A LA RESOLUCION 15997. $643.650 CORRESPONDIENTE A ESTANCIA INACTIVA DE 2 DIAS, PACIENTE CON INDICACION DE PROCEDIMIENTO Y AVAL DE ANESTESIA EL DIA 20, Y PROGRAMADO PARA EL DIA 25. SSS LEVANTA OBJECION DE 2 DIAS. ENTIDAD LEVANTA RESTANTE</t>
  </si>
  <si>
    <t>HUS0000316081</t>
  </si>
  <si>
    <t>EN CONCILIACION ESE HUS ACEPTA GLOSA TOTAL POR VALOR $72.800 CORRESPONDIENTE A:  $68.400 EN MEDICAMENTOS (1) KETAMINA 500MG AMP $30.200, (1) PROPOFOL AL 1% 20ML $32.000, (1) MIDAZOLAM 5MG/5ML $6.200 AGENTES ANESTÉSICOS UTILIZADOS EN PROCEDIMIENTOS DE ENDOSCOPIA INCLUIDOS EN DERECHOS DE MATERIALES SUTURA Y CURACIÓN ART 55 DEC 2423/96.  $4.400 EN (2) PRESERVATIVOS CONDON UNIDAD  ELEMENTO NO FACTURABLE INCLUIDO EN VALOR DE AYUDA DIAGNÓSTICA FACTURADA.</t>
  </si>
  <si>
    <t>HUS0000316529</t>
  </si>
  <si>
    <t>EN CONCILIACION ESE HUS ACEPTA GLOSA PARCIAL POR VALOR $2.060.901, CORRESPONDIENTE A: $1.095.201 POR MVC TARIFAS MATERIAL DE OSTEOSINTESIS SE RECONOCE SEGUN FACTURA DE COMPRA PRECIMEN No. 11100, + 10%. DE ACUERDO A LA RESOLUCION 15997. $965.700 POR CONCEPTO DE 3 DIAS DE ESTANCIA INACTIVA (29-30-1) EN PACIENTE QUE INGRESA A URGENCIAS EL 25 SEP 2024  CON CONDUCTA QUIRÚRGICA TOMADA EL 26 SEP  EN ESPERA DE MATERIAL DE OTS  ESTANCIA INACTIVA EN PACIENTE ESTABLE HEMODINAMICAMENTE  CIRUGÍA REALIZADA EL 02 OCTUBRE Y EGRESO AL SIGUIENTE DÍA. ENTIDAD RECONOCE 27 Y 28. ENTIDAD LEVANTA RESTANTE</t>
  </si>
  <si>
    <t>HUS0000316575</t>
  </si>
  <si>
    <t>EN CONCILIACION ESE HUS ACEPTA GLOSA TOTAL POR VALOR $23.000, CORRESPONDIENTE A:  (1) HEMOCLASIFICACION SISTEMA RH [ANTIGENO RH D] POR MICROTECNICA NO FACTURABLE SEGÚN ARTÍCULO 32 PGFO 1 DEC 2423 DE 1996 INCLUIDAS EN PRUEBAS CRUZADAS REALIZADAS Y FACTURADAS.</t>
  </si>
  <si>
    <t>HUS0000318050</t>
  </si>
  <si>
    <t>EN CONCILIACION ESE HUS ACEPTA GLOSA PARCIAL POR VALOR $234.005, CORRESPONDIENTE A:  $77.730, MVC EN INSUMO (1) CANISTER 800CC GENADYNE, SE AJUSTA A TARIFAS PROMEDIO DEL MERCADO DE ACUERDO A LA RESOLUCION 15997 DE 2017. $156.275, MVC EN INSUMO (1) KIT APOSITO VERDE TALLA L GENADYE, SE AJUSTA A TARIFAS PROMEDIO DEL MERCADO DE ACUERDO A LA RESOLUCION 15997 DE 2017. ENTIDAD LEVANTA RESTANTE</t>
  </si>
  <si>
    <t>HUS0000318309</t>
  </si>
  <si>
    <t>EN CONCILIACION ESE HUS ACEPTA GLOSA PARCIAL POR VALOR $82.000, CORRESPONDIENTE A:  (1) AGUJA STIMUPLEX 22X500MM INSUMO NO FACTURABLE QUE HACE PARTE DE LOS DERECHOS DE SALA SUTURA Y CURACIÓN DE PROCEDIMIENTO QUIRÚRGICO GRUPO NO 08 ART 55 PFGO 5 DEC 2423/96. 
EN CONCILIACION ESE HUS RATIFICA GLOSA POR VALOR $64.300, CORRESPONDIENTE A (1) SIERRA DE GIGLI DE 4 HILOS, LONGITUD 50 CM SURTIDA, UTILIZADA DURANTE PROCEDIMIENTO DE ORTOPEDIA. SE ACLARA A LA ENTIDAD QUE ESTE INSUMO CORRESPONDE A UN MATERIAL ESPECIAL DE USO ESPECÍFICO EN EL ACTO QUIRÚRGICO, EL CUAL NO HACE PARTE DE LOS DERECHOS DE SALA. POR LO TANTO, ES UN INSUMO FACTURABLE DE MANERA INDEPENDIENTE, CONFORME A LO ESTABLECIDO EN EL ARTÍCULO 57 DEL DECRETO 2423 DE 1996. EN CONSECUENCIA, LA FACTURACIÓN REALIZADA ES CORRECTA Y SE ENCUENTRA DEBIDAMENTE SOPORTADA EN LA ATENCIÓN PRESTADA.</t>
  </si>
  <si>
    <t>HUS0000319645</t>
  </si>
  <si>
    <t>HUS0000313654</t>
  </si>
  <si>
    <t xml:space="preserve">EN CONCILIACION ESE HUS ACEPTA GLOSA PARCIAL POR VALOR $2.621.326, CORRESPONDIENTE A:  $1.161.000 POR MVC EN MEDICAMENTO PIPERACILINA TAZOBACTAM SE AJUSTA A TARIFAS PROMEDIO DEL MERCADO, DE ACUERDO A LA RESOLUCION 15997. $1.460.326 POR MVC TARIFAS MATERIAL DE OSTEOSINTESIS SE RECONOCE SEGUN FACTURA DE COMPRA PRECIMEN No. 11189, + 10%. DE ACUERDO A LA RESOLUCION 15997. ENTIDAD LEVANTA RESTANTE
</t>
  </si>
  <si>
    <t>HUS0000314407</t>
  </si>
  <si>
    <t xml:space="preserve">EN CONCILIACION ESE HUS ACEPTA GLOSA PARCIAL POR VALOR $2.742.837, CORRESPONDIENTE A:  $175.500 POR MVC EN (3) INTERCONSULTA ESPECIALIZADA (NEUROLOGÍA) SE AJUSTA A TARIFA SOAT VIGENTE 2024 -10% CÓDIGO 39140, SEGÚN RESOLUCION 15997 DE 2017. $429.900 CORRESPONDIENTE A UN DIA DE ESTANCIA, PACIENTE CON EGRESO EL DIA 22  Y SEGUN LA ESTANCIA FACTURADA DEL 18 SEPT AL 22 OCTUBRE DA 35 DIAS, SIN EMBARGO DIA 22 OCT NO FACTURABLE POR SER DIA DE EGRESO. $241.600 DE (8) FILTROS HME ADULTOS (INTERCAMBIADOR DE CALOR Y HUMEDAD). SI BIEN EXISTEN PROTOCOLOS QUE SUGIEREN RECAMBIO CADA 48 HORAS, EN LA PRÁCTICA CLÍNICA EN UNIDAD DE CUIDADOS INTENSIVOS EL CAMBIO DEL DISPOSITIVO DEPENDE DEL ESTADO CLÍNICO DEL PACIENTE, LA PRESENCIA DE SECRECIONES, HUMEDAD, OBSTRUCCIÓN O CONTAMINACIÓN DEL FILTRO, LO CUAL PUEDE REQUERIR RECAMBIO ANTICIPADO PARA GARANTIZAR LA SEGURIDAD DEL PACIENTE Y EL ADECUADO FUNCIONAMIENTO DEL SOPORTE VENTILATORIO. LOS DISPOSITIVOS FACTURADOS FUERON UTILIZADOS DURANTE LA ATENCIÓN DEL PACIENTE Y SE ENCUENTRAN SOPORTADOS EN LA HISTORIA CLÍNICA Y REGISTROS ASISTENCIALES, POR LO TANTO, CORRESPONDEN A INSUMOS EFECTIVAMENTE UTILIZADOS EN LA ATENCIÓN, RAZÓN POR LA CUAL SE SOLICITA EL RECONOCIMIENTO TOTAL DE LAS (11) UNIDADES FACTURADAS.  $310.237 POR MVC EN MEDICAMENTO PIPERACILINA TAZOBACTAM SE AJUSTA A TARIFAS PROMEDIO DEL MERCADO, DE ACUERDO A LA RESOLUCION 15997.  $405.000 POR MVC EN MEDICAMENTO PIPERACILINA TAZOBACTAM SE AJUSTA A TARIFAS PROMEDIO DEL MERCADO, DE ACUERDO A LA RESOLUCION 15997. $973.600 POR MVC EN AYUDA DIAGNOSTICA (8) HEMOCULTIVO SE AJUSTA A CODIGO 19514 TARIFA ESTABLECIDA POR LA SSS SOAT 2024 -10%. $207.000 POR MVC EN AYUDA DIAGNOSTICA (4) UROCULTIVO SE AJUSTA TARIFA ESTABLECIDA POR LA SSS SOAT 2024 -10%. ENTIDAD LEVANTA EL RESTANTE.
EN CONCILIACION ESE HUS RATIFICA GLOSA POR VALOR DE $211.400 CORRESPONDIENTE A: (11) FILTROS HME ADULTOS, SI BIEN EXISTEN PROTOCOLOS QUE SUGIEREN RECAMBIO CADA 48 HORAS, EN LA PRÁCTICA CLÍNICA EN UNIDAD DE CUIDADOS INTENSIVOS EL CAMBIO DEL DISPOSITIVO DEPENDE DEL ESTADO CLÍNICO DEL PACIENTE, LA PRESENCIA DE SECRECIONES, HUMEDAD, OBSTRUCCIÓN O CONTAMINACIÓN DEL FILTRO, LO CUAL PUEDE REQUERIR RECAMBIO ANTICIPADO PARA GARANTIZAR LA SEGURIDAD DEL PACIENTE Y EL ADECUADO FUNCIONAMIENTO DEL SOPORTE VENTILATORIO. LOS DISPOSITIVOS FACTURADOS FUERON UTILIZADOS DURANTE LA ATENCIÓN DEL PACIENTE Y SE ENCUENTRAN SOPORTADOS EN LA HISTORIA CLÍNICA Y REGISTROS ASISTENCIALES, POR LO TANTO, CORRESPONDEN A INSUMOS EFECTIVAMENTE UTILIZADOS EN LA ATENCIÓN.
</t>
  </si>
  <si>
    <t>HUS0000075564</t>
  </si>
  <si>
    <t>HUS0000075277</t>
  </si>
  <si>
    <t>HUS0000080145</t>
  </si>
  <si>
    <t>HUS0000369994</t>
  </si>
  <si>
    <t>HUS0000088258</t>
  </si>
  <si>
    <t>HUS0000083625</t>
  </si>
  <si>
    <t>HUS0000083857</t>
  </si>
  <si>
    <t>HUS0000084722</t>
  </si>
  <si>
    <t>HUS0000084818</t>
  </si>
  <si>
    <t>HUS0000085604</t>
  </si>
  <si>
    <t>HUS0000085992</t>
  </si>
  <si>
    <t>HUS0000087966</t>
  </si>
  <si>
    <t>HUS0000088409</t>
  </si>
  <si>
    <t>HUS0000088785</t>
  </si>
  <si>
    <t>HUS0000089108</t>
  </si>
  <si>
    <t>HUS0000089130</t>
  </si>
  <si>
    <t>HUS0000089341</t>
  </si>
  <si>
    <t>HUS0000089427</t>
  </si>
  <si>
    <t>HUS0000089485</t>
  </si>
  <si>
    <t>HUS0000089743</t>
  </si>
  <si>
    <t>HUS0000089854</t>
  </si>
  <si>
    <t>HUS0000089876</t>
  </si>
  <si>
    <t>HUS0000090337</t>
  </si>
  <si>
    <t>HUS0000090349</t>
  </si>
  <si>
    <t>HUS0000090763</t>
  </si>
  <si>
    <t>HUS0000090767</t>
  </si>
  <si>
    <t>HUS0000090793</t>
  </si>
  <si>
    <t>HUS0000091052</t>
  </si>
  <si>
    <t>HUS0000091165</t>
  </si>
  <si>
    <t>HUS0000091459</t>
  </si>
  <si>
    <t>HUS0000092570</t>
  </si>
  <si>
    <t>HUS0000093758</t>
  </si>
  <si>
    <t>HUS0000463735</t>
  </si>
  <si>
    <t>ESE HUS ACEPTA GLOSA EN CONCILIACION POR $13.600 EN 20152146-01 POS-CEFAZOLINA-COLFF003-0-62, TENIENDO EN CUENTA QUE EL USO CORRESPONDE A PROFILAXIS  QUIRURGICA, LA CUAL SE ENCUENTRA INCLUIDA DENTRO DEL PROCEDIMIENTO REALIZADO
Y POR TANTO  NO ES SUSCEPTIBLE DE FACTURACION INDEPENDIENTE.</t>
  </si>
  <si>
    <t>EPS LEVANTA OBJECIÓN</t>
  </si>
  <si>
    <t>EPS LEVANTA OBJECIÓN POR PRESENTACIÓN  DE SOPORTES</t>
  </si>
  <si>
    <t>ESE HUS ACEPTA GLOSA EN CONCILIACION POR $84.200 EN FMQ0385-1; SET ANESTESIA EPIDURAL CONTINUA NO 18 REF 405066, TENIENDO EN CUENTA QUE UNA VEZ REALIZADA LA VALIDACION SE EVIDENCIA QUE EL INSUMO REFERIDO SE ENCUENTRA
INCLUIDO DENTRO DE LOS MATERIALES Y DERECHOS DE SALA ASOCIADOS AL PROCEDIMIENTO FACTURADO, POR LO CUAL NO ES PROCEDENTE SU COBRO DE MANERA INDEPENDIENTE</t>
  </si>
  <si>
    <t>ESE HUS ACEPTA GLOSA  PARCIAL EN CONCILIACION POR $163,325 COD 039101 ANALGESIA OBSTETRICA POR MISMO USO DE CATETER EN EL PROCEDIMIENTO</t>
  </si>
  <si>
    <t>HUS0000340011</t>
  </si>
  <si>
    <t>EN CONCILIACION ESE HUS ACEPTA GLOSA PARCIAL POR VALOR DE $158.250 MVC EN INSUMOS (CATÉTER IV N°22 # 2, CATÉTER IV N°24 # 2, EQUIPO BOMBA DE INFUSIÓN # 2, EQUIPO MACROGOTEO # 1, JERINGA 10CC # 10, BURETROL # 2, COMPRESA ESTÉRIL 44*45 # 2, CUTICELL CLASIC # 3), SE RECONOCE SEGÚN PRECIO PROMEDIO DEL MERCADO.
ASEGURADORA LEVANTA DIFERENCIA.</t>
  </si>
  <si>
    <t>EN CONCILIACION ESE HUS ACEPTA GLOSA PARCIAL POR VALOR DE $70.600 MVC EN INSUMO (FITOSTIMOLINE IDROGEL # 1), SE RECONOCE SEGÚN PRECIO PROMEDIO DEL MERCADO.
ASEGURADORA LEVANTA DIFERENCIA.</t>
  </si>
  <si>
    <t>EN CONCILIACION ESE HUS ACEPTA GLOSA PARCIAL POR VALOR DE $3.319 POR MVC EN GLUCOMETRIA YA QUE ESTE SERVICIO NO SE ENCUENTRA EN EL MANUAL TARIFARIO SOAT, POR LO QUE SE LEGA A UN ACUERDO CONCILATORIO SEGÚN TARIFA INSTITUCIONAL DE LA ESE HUS VS PRECIO DE TIRILLA.
ASEGURADORA LEVANTA DIFERENCIA.</t>
  </si>
  <si>
    <t xml:space="preserve">EN CONCILIACION ESE HUS ACEPTA GLOSA $ 40 POR MVC EN CONSULTA DE PSICOLOGIA DE ACUERDO A AL MANUAL SOAT UVT AÑO 2024, ENTIDAD LEVANTA GLOSA POR SOPORTE DE CONSULTAS REALIZADAS AL PACIENTE. </t>
  </si>
  <si>
    <t>EN CONCILIACION ESE HUS ACEPTA GLOSA PARCIAL POR VALOR DE $21.240 POR AJUSTE ENTRE 37401 - CURACION SIMPLE CON INMOVILIZACION POR 39300 - MATERIALES DE CURACIÓN POR COMPLICACIONES INTRAHOSPITALARIAS, POR TIPO DE HERIDA Y POR REALIZACION DE ENFERMERIA.
ASEGURADORA LEVANTA DIFERENCIA.</t>
  </si>
  <si>
    <t>HUS0000299147</t>
  </si>
  <si>
    <t>VALOR ACEPTADO EN NUMERO DE NOTA CREDITO: 161047</t>
  </si>
  <si>
    <t>HUS0000305412</t>
  </si>
  <si>
    <t>EN CONCILIACION ESE HUS ACEPTA GLOSA PARCIAL POR VALOR DE $107 MVC EN INSUMOS (JERINGA 3 ML - JERINGA 1 ML), SE RECONOCE SEGÚN PRECIO PROMEDIO DEL MERCADO.
ASEGURADORA LEVANTA DIFERENCIA.</t>
  </si>
  <si>
    <t>HUS0000308289</t>
  </si>
  <si>
    <t>EN CONCILIACION ESE HUS ACEPTA GLOSA PARCIAL POR VALOR DE $47 MVC EN INSUMO (JERINGA 3 ML), SE RECONOCE SEGÚN PRECIO PROMEDIO DEL MERCADO.
ASEGURADORA LEVANTA DIFERENCIA.</t>
  </si>
  <si>
    <t>HUS0000343457</t>
  </si>
  <si>
    <t>EN CONCILIACION ESE HUS ACEPTA GLOSA PARCIAL POR VALOR DE $17.891 ASI:
$17.869 POR AJUSTE ENTRA 39140 - INTERCONSULTA MEDICA ESPECIALIZADA AMBULATORIA O INTRAHOSPITALARIA POR 39139 CONSULTA PREANESTESICA, SEGÚN DECRETO 2423/96.
$22 POR MVC EN CONSULTA DE URGENCIAS SE RECONOCE SEGUN TARIFA UVT VIGENTE PARA LA FECHA DE PRESTACION DE SERVICIOS.
ASEGURADORA LEVANTA DIFERENCIA.</t>
  </si>
  <si>
    <t>EN CONCILIACION SE RATIFICA GLOSA POR SOPORTES YA QUE SE REQUIERE HACER EL CARGUE EN LA PLATAFORMA.</t>
  </si>
  <si>
    <t xml:space="preserve">EN CONCILIACION ESE HUS ACEPTA GLOSA $ 33.000 POR 1 EQUIPO DE BOMBA, NO JUSTIFICADO NI SOPORTADO EN LA HC. 
</t>
  </si>
  <si>
    <t>EN CONCILIACION ASEGURADORA LEVANTA GLOSA.</t>
  </si>
  <si>
    <t>HUS0000473315</t>
  </si>
  <si>
    <t>HUS0000339100</t>
  </si>
  <si>
    <t>EN CONCILIACION ESE HUS ACEPTA GLOSA PARCIAL POR VALOR DE $11.000 POR MVC EN INSUMOS (CATETER INTRAVENOSO 18 #1, EQUIPO DE BOMBA #1, EXTENSION DE ANESTESIA#1, EQUIPO MACROGOTEO #1, JERINGA 5ML #4, JERINGA 10ML #3, BURETROL #1), SE RECONOCE SEGUN PRECIO PROMEDIO DEL MERCADO.
ASEGURADORA LEVANTA DIFERENCIA.</t>
  </si>
  <si>
    <t>EN CONCILIACION ESE HUS ACEPTA GLOSA PARCIAL POR VALOR DE $850 POR MVC EN MEDICAMENTO (DEXTROSA 10% X 500ML # 1), SE RECONOCE PRECIO PROMEDIO DEL MERCADO.
ASEGURADORA LEVANTA DIFERENCIA.</t>
  </si>
  <si>
    <t xml:space="preserve">EN CONCILIACION ESE HUS ACEPTA GLOSA $ 472.500 ASI: $ 103.900 POR (PT , PTT, AYUDAS DIAGNOSTICAS NO PERTINENTE SU REALIZACION, NO SE DESCRIBE ANTECEDENTES DE IMPORTANCIA QUE AMERITEN LA TOMA DE ESTOS LABORATORIOS., $ 368,600  MEDIO DE CONTRASTE E INSUMOS, NO  JUSTIFICADOS DE ACUERDO AL CUADRO CLINICO Y EXAMEN FISICO DEL PACIENTE, CON UNA TOMOGRAFIA DE ABDOMEN SIMPLE SE PUEDE  EVALUAR. </t>
  </si>
  <si>
    <t>HUS0000339634</t>
  </si>
  <si>
    <t>EN CONCILIACION ESE HUS ACEPTA GLOSA PARCIAL POR VALOR DE $25.575 POR MVC EN INSUMOS (JERINGA 5CC # 1,VENDA DE ALGODÓN 4X5 #3, VENDA ALGODÓN 5X5 #3,VENDA DE YESO 4X5 #3, VENDA YESO 5X5 #3,VENDA ELASTICA 5X5 #3), SE RECONOCE SEGUN PRECIO PROMEDIO DEL MERCADO.
ASEGURADORA LEVANTA DIFERENCIA."</t>
  </si>
  <si>
    <t>EN  CONCILIACION ESE HUS ACEPTA GLOSA $ 73.500  POR RADIOGRAFIA DE PIE, AYUDA DIAGNOSTICA NO JUSTIFICADA SU REALIZACION, DENTRO DEL EXAMEN FISICO NO REFIEREN  LESIONES A ESTE NIVEL ANATOMICO.</t>
  </si>
  <si>
    <t>HUS0000360286</t>
  </si>
  <si>
    <t>EN CONCILIACION ESE HUS ACEPTA GLOSA $ 11.500 GLUCOMETRIA, AYUDA DIAGNOSTICA NO JUSTIFICADA, NO ORDENADA NI INTEPRETRADA EN LA HISTORIA CLINICA. 
ASEGURADORA LEVANTA DIFERENCIA.</t>
  </si>
  <si>
    <t>EN CONCILIACION ESE HUS ACEPTA GLOSA PARCIAL POR VALOR DE $27.050 POR MVC EN INSUMOS (EQUIPO BOMBA DE INFUSION # 1, VENDA ALGODON LAMINADO 5 X5 YD # 3, VENDA DE ALGODON 6X5 YD # 3, VENDA ELASTICA 3X5 # 3, VENDA YESO 5 X5 YD # 3, YELCO N 20 # 1, VENDA ELASTICA 6X5 YD # 4), SE RECONOCE SEGUN PRECIO PROMEDIO DEL MERCADO.
ASEGURADORA LEVANTA DIFERENCIA."</t>
  </si>
  <si>
    <t>EN CONCILIACION ESE HUS ACEPTA GLOSA PARCIAL POR VALOR DE $221.500 POR FACTURACION DE INTENSIFICADOR DE IMAGEN SOBREFACTURADO, YA QUE LA ASEGURADORA RECONOCE  DOS Y EL E SE HUS ACEPTA UNO POR CAMPO OPERATORIO YA QUE UNO SE UTILIZO PARA EL PIE Y EL OTRO EN LA TIBIO / PERONE.
ASEGURADORA LEVANTA DIFERENCIA.</t>
  </si>
  <si>
    <t>HUS0000359240</t>
  </si>
  <si>
    <t>EN CONCILIACION ESE HUS ACEPTA GLOSA PARCIAL POR VALOR DE $17.400 POR MVC EN MEDICAMENTO (REMIFENTANILO 2MG AMPOLLA # 1), SE RECONOCE SEGUN PRECIO PROMEDIO DEL MERCADO.
ASEGURADORA LEVANTA DIFERENCIA.</t>
  </si>
  <si>
    <t>EN CONCILIACION ESE HUS ACEPTA GLOSA PARCIAL POR VALOR DE $38.500 POR MVC EN INSUMO (QUIPO BOMBA DE INFUSION # 7), SE RECONOCE SEGUN PRECIO PROMEDIO DEL MERCADO.
ASEGURADORA LEVANTA DIFERENCIA.</t>
  </si>
  <si>
    <t>EN CONCILIACION ESE HUS ACEPTA GLOSA POR VALOR DE $191.800 POR AJUSTE ENTRE 1# 21708 - TAC COLUMNA CERVICAL DORSAL O LUMBAR (TRES ESPACIOS) POR 3# 21709 - TAC COLUMNA CERVICAL DORSAL O LUMBAR (ESPACIO ADICIONAL), SEGÚN ANATOMIA CERVICAL, RECONOCIENDOSE UN TOTAL DE 1# TAC TRES ESPACIOS MAS 4# TAC DE ESPACIO ADICIONAL.</t>
  </si>
  <si>
    <t>HUS0000378514</t>
  </si>
  <si>
    <t>EN CONCILIACION SE APLICA NOTA CREDITO POR VALOR DE $51.200 PARA REFACTURAR A SU RESPECTIVO RESPONSABLE DE PAGO, POR MOTIVO DE LIMITE DE COBERTURA DE POLIZA SOAT.</t>
  </si>
  <si>
    <t>FA08</t>
  </si>
  <si>
    <t>EN CONCILIACION SE APLICA NOTA CREDITO POR VALOR DE $48.000 PARA REFACTURAR A SU RESPECTIVO RESPONSABLE DE PAGO, POR MOTIVO DE LIMITE DE COBERTURA DE POLIZA SOAT.</t>
  </si>
  <si>
    <t>TA06</t>
  </si>
  <si>
    <t>HUS0000377664</t>
  </si>
  <si>
    <t>EN CONCILIACION ESE HUS ACEPTA GLOSA PARCIAL POR VALOR DE $11.300 POR MVC EN INSUMOS (CATETER INTRAVENOSO 22 # 2 , CATETER INTRAVENOSO 24 # 1, CONECTOR NEUTRO # 1, EQUIPO DE BOMBA DE INFUSION # 1, JERINGA DESECHABLE 20 ML # 4, JERINGA DESECHABLE 3 ML # 3, SSN 500 CC SOLUCIÓN # 2), SE RECONOCE SEGUN PRECIO PROMEDIO DEL MERCADO.
ASEGURADORA LEVANTA DIFERENCIA.</t>
  </si>
  <si>
    <t>HUS0000377741</t>
  </si>
  <si>
    <t>EN CONCILIACION ESE HUS ACEPTA GLOSA PARCIAL POR VALOR DE $1.000 POR MVC EN MEDICAMENTO (LACTATO DE RINGER 500CC SOLUCIÓN # 5), SE RECONOCE SEGUN PRECIO PROMEDIO DEL MERCADO.
ASEGURADORA LEVANTA DIFERENCIA.</t>
  </si>
  <si>
    <t>TA07</t>
  </si>
  <si>
    <t>EN CONCILIACION ESE HUS ACEPTA GLOSA PARCIAL $435.100 ASI:  $ 98.400 POR (PT , PTT, AYUDAS DIAGNOSTICAS NO PERTINENTE SU REALIZACION, NO SE DESCRIBE ANTECEDENTES DE IMPORTANCIA QUE AMERITEN LA TOMA DE ESTOS LABORATORIOS, $ 336.700 EN AJUSTE DE TARIFA  DE TAC ADBOMINAL A ECOGRAFIA DE ABDOMEN ACEPTADO EN GLOSA INICIAL Y RATIFICADA.
ASEGURADORA LEVANTA DIFERENCIA.</t>
  </si>
  <si>
    <t>EN CONCILIACION ESE HUS  ACEPTA GLOSA $5.500 MVC  POR EQUIPO DE BOMBA, SE RECONOCE SEGÚN PRECIO PROMEDIO DEL MERCADO.  ENTIDAD LEVENTA GLOSA POR  JUSTIFICACION DE USO DEL INSUMO. 
LEVANTANDO LA DIFERENCIA.</t>
  </si>
  <si>
    <t>EN CONCILIACION ESE HUS ACEPTA GLOSA PARCIAL POR VALOR DE $5.650 POR MVC EN INSUMOS (BURETROL # 1, CATETER INTRAVENOSO 18 # 1, EQUIPO EXTENSION DE ANESTESIA # 1, EQUIPO MACROGOTEO VENOCLISIS # 1), SE RECONOCE SEGUN PRECIO PROMEDIO DEL MERCADO.
ASEGURADORA LEVANTA DIFERENCIA.</t>
  </si>
  <si>
    <t>EN CONCILIACION ESE HUS ACEPTA GLOSA $ 5.500 POR OMEPRAZOL , PACIENTE CON INDICACION DE VIA ORAL DESPUES DE 8 HORAS EN OBSERVACION, SE RECONOCE 1 AMPOLLA DE OMEPRAZOL DE LAS 2 FACTURADAS. 
ASEGURADORA LEVANTA DIFERENCIA.</t>
  </si>
  <si>
    <t>FA02</t>
  </si>
  <si>
    <t>HUS0000379101</t>
  </si>
  <si>
    <t>EN CONCILIACION ESE HUS ACEPTA GLOSA POR VALOR DE $77.000 ASI:
$17.000 POR INSUMO1# SET DE EXTENCION DE TRES VIAS - INCLUIDO EN MATERIALES QUIRÚRGICOS ARTICULO 55 PARAGRAFO 5 DECRETO 2423/96 
$60.000 POR INSUMO 2# SISTEMA CERRADO CON GEL SOLIDIFICANTE NO FACTURABLE INCLUIDO EN SALAS QUIRÚRGICA ARTICULO 49 PARAGRAFO 2 DECRETO 2423/96.</t>
  </si>
  <si>
    <t xml:space="preserve">EN CONCILIACION ESE HUS ACEPTA GLOSA $36.000 EQUIPO DE BOMBA, SOLO HAY UNO JUSTIFICADO EN LA NOTAS DE ENFEMERIA DE ACUERDO AL MANEJO QUE TIENE, SE FACTURARON 3. 1 ES ACEPTADO EN TRAMITE INICIAL. </t>
  </si>
  <si>
    <t xml:space="preserve">EN CONCILIACION ESE HUS ACEPTA GLOSA PARCIAL POR VALOR DE $18.630 POR MVC EN INSUMOS (BURETROL # 1, CATETER INTRAVENOSO 18 # 1, CATETER INTRAVENOSO 22 # 1, EQUIPO DE BOMBA DE INFUSION # 1, EQUIPO MACROGOTEO VENOCLISIS # 1, JERINGA DESECHABLE 10 CC # 11, SET DE EXTENSION CON MICROCLAVE # 1, VENDA DE ALGODON 5 X 5 # 1, VENDA DE YESO 5 X 5 # 1, VENDA ELASTICA 5X5 # 1), SE RECONOCE SEGUN PRECIO PROMEDIO DEL MERCADO.
ASEGURADORA LEVANTA DIFERENCIA.
</t>
  </si>
  <si>
    <t>HUS0000381323</t>
  </si>
  <si>
    <t>EN CONCILIACION SE APLICA NOTA CREDITO POR VALOR DE $19.600 PARA REFACTURAR A SU RESPECTIVO RESPONSABLE DE PAGO, POR MOTIVO DE LIMITE DE COBERTURA POLIZA SOAT.</t>
  </si>
  <si>
    <t>EN CONCILIACION SE APLICA NOTA CREDITO POR VALOR DE $55.750 PARA REFACTURAR A SU RESPECTIVO RESPONSABLE DE PAGO, POR MOTIVO DE LIMITE DE COBERTURA POLIZA SOAT.</t>
  </si>
  <si>
    <t>EN CONCILIACION SE APLICA NOTA CREDITO POR VALOR DE $22.500 PARA REFACTURAR A SU RESPECTIVO RESPONSABLE DE PAGO, POR MOTIVO DE LIMITE DE COBERTURA POLIZA SOAT.</t>
  </si>
  <si>
    <t>HUS0000383308</t>
  </si>
  <si>
    <t>EN CONCILIACION ESE HUS ACEPTA GLOSA POR $513.400 POR FACTURACION DE (39304 - MATERIALES Y SUTURAS GRUPOS 10 - 11 - 12 - 13) DEL PROCEDIMIENTO (13370 - REDUCCION ABIERTA DE FRACTURA EN PELVIS [ACETABULO REBORDE ANTERIOR O POSTERIOR] CON FIJACION INTERNA (DISPOSITIVOS DE FIJACION U OSTEOSINTESIS) [GQ : 12]), YA QUE AL REVISAR ES UN PROCEDIMIENTO DE IGUAL VIA AL PRINCIPAL QUE ES (13371 - OSTEOSINTESIS DE ACETABULO - COMPUESTA (ANTERIOR - POSTERIOR Y SUPERIOR [GQ : 21]) Y SEGUN DECRETO 2423/96 HACE PARTE DE LA MISMA REGION OPERATORIA, NO FACTURABLE.</t>
  </si>
  <si>
    <t xml:space="preserve">EN CONCILIACION ESE HUS ACEPTA GLOSA PARCIAL POR VALOR DE $3.250 POR MVC EN MEDICAMENTOS (LACTATO DE RINGER 500 CC SOLUCIÓN # 13, TOXOIDE TETÁNICO AMPOLLA # 1), SE RECONOCE SEGUN PRECIO PROMEDIO DEL MERCADO.
ASEGURADORA LEVANTA DIFERENCIA.
</t>
  </si>
  <si>
    <t xml:space="preserve">ESE HUS ACEPTA GLOSA POR $ 898.100 POR ECOCARDIOGRAMA, LA AYUDA DIAGNOSTICA NO ESTA JUSTIFICADA POR MEDICINA INTERNA NI EN LA VALORACION DE ANESTESIOLOGIA LA INTERPRETAN PARA INDICAR SI ES APTO PARA LLEVAR A PROCEDIMIENTO QUIRURURGICO. PACIENTE CON ESTUDIOS AMBULATORIOS DE LIPOTIMIA, LAS AYUDAS DIAGNOSTICAS SE DEBEN SOLICITAR DE FORMA AMBULATORIA SI EN EL MOMENTO DE LA ATENCION NO INTERFIEREN CON SU CONDICION CLINICA ACTUAL. </t>
  </si>
  <si>
    <t xml:space="preserve">EN CONCILIACION ESE HUS ACEPTA GLOSA PARCIAL POR VALOR DE $29.475 POR MVC EN INSUMOS (EQUIPO DE MACROGOTEO # 2, CATETER IV 18-20 # 2, CATETER IV 22 # 2, JERINGA 3CC # 2, JERINGA 5CC # 7, EQUIPO BOMBA DE INFUSIÓN # 3, JERINGA 10ML # 15, EQUIPO BURETROL # 2, ELECTRODOS # 5), SE RECONOCE SEGUN PRECIO PROMEDIO DEL MERCADO.
ASEGURADORA LEVANTA DIFERENCIA.
</t>
  </si>
  <si>
    <t>EN CONCILIACION SE RATIFICA GLOSA POR SOPORTE DE MAOS (FACTURA DE COMPRA) EN ESPERA DEL CARGUE EN PLATAFORMA</t>
  </si>
  <si>
    <t xml:space="preserve">EN CONCILIACION ESE HUS ACEPTA GLOSA PARCIAL POR VALOR DE $3.750 POR MVC EN INSUMO DE TIRILLAS RECONOCIDAS POR GLUCOMETRIA, SE RECONOCE SEGUN PRECIO PROMEDIO DEL MERCADO.
ASEGURADORA LEVANTA DIFERENCIA.
</t>
  </si>
  <si>
    <t>EN CONCILIACION ESE HUS ACEPTA GLOSA POR $685.100 POR FACTURACION DE (39214 - DERECHOS DE SALA DE CIRUGIA GRUPO 12) DEL PROCEDIMIENTO (13370 - REDUCCION ABIERTA DE FRACTURA EN PELVIS [ACETABULO REBORDE ANTERIOR O POSTERIOR] CON FIJACION INTERNA (DISPOSITIVOS DE FIJACION U OSTEOSINTESIS) [GQ : 12]), YA QUE AL REVISAR ES UN PROCEDIMIENTO DE IGUAL VIA AL PRINCIPAL QUE ES (13371 - OSTEOSINTESIS DE ACETABULO - COMPUESTA (ANTERIOR - POSTERIOR Y SUPERIOR [GQ : 21]) Y SEGUN DECRETO 2423/96 HACE PARTE DE LA MISMA REGION OPERATORIA, NO FACTURABLE.</t>
  </si>
  <si>
    <t>HUS0000476822</t>
  </si>
  <si>
    <t>EN CONCILIACION SE APLICA NOTA CREDITO POR VALOR DE $11.514.568 PARA REFACTURAR A SU RESPECTIVO RESPONSABLE DE PAGO, POR MOTIVO DE LIMITE DE COBERTURA POLIZA SOAT.</t>
  </si>
  <si>
    <t>HUS0000337007</t>
  </si>
  <si>
    <t>EN CONCILIACION SE RATIFICA ATENCION YA QUE EN LA VERSION DE LOS HECHOS, ASEGURADORA MANIFIESTA ESTAR EN INVESTIGACION INTERNA PARA VALIDAR SI DERIVA DE ACCIDENTE DE TRANSITO.</t>
  </si>
  <si>
    <t>HUS0000340037</t>
  </si>
  <si>
    <t>VALOR ACEPTADO EN NUMERO DE NOTA CREDITO: 174627</t>
  </si>
  <si>
    <t>HUS0000346253</t>
  </si>
  <si>
    <t>VALOR ACEPTADO EN NUMERO DE NOTA CREDITO: 169442</t>
  </si>
  <si>
    <t>HUS0000395820</t>
  </si>
  <si>
    <t>VALOR ACEPTADO EN NUMERO DE NOTA CREDITO: 185534</t>
  </si>
  <si>
    <t>HUS0000385246</t>
  </si>
  <si>
    <t>VALOR ACEPTADO EN NUMERO DE NOTA CREDITO: 245211 - REVISAR OBSERVACION DEL ACTA.</t>
  </si>
  <si>
    <t>HUS0000395198</t>
  </si>
  <si>
    <t>EN CONCILIACION ESE HUS ACEPTA GLOSA PARCIAL POR $31.700 POR FACTURACION DE INSUMOS (1# PLACAS BIPOLARES), NO FACTURABLE SEGÚN ARTICULO 55 PARAGRAFO 5 DEL DECRETO 2423/96.
SE RATIFICA GLOSA DE FACTURACION DEL PROCEDIMIENTO QX PARA CARGAR EN LA PLATAFORMA LA IMAGEN DE LA PLACA DONDE SE EVIDENICIA DOS TUTORES PUESTOS.
ASEGURADORA LEVANTA DIFERENCIA.</t>
  </si>
  <si>
    <t xml:space="preserve">EN CONCILIACION ESE HUS ACEPTA GLOSA $ 20.900 POR 1 CREATININA, NO JUSTFICADA LA REALIZACION DE 2 AYUDAS DIAGNOSTICAS EN LA MISMA ATENCION CON REPORTE NORMAL.
ASEGURADORA LEVANTA DIFERENCIA.
</t>
  </si>
  <si>
    <t>EN CONCILIACION ESE HUS ACEPTA GLOSA POR $ 189.390 POR MEDICAMENTOS E INSUMOS ( SSN, DIPIRONA, HEPARINA,   EQUIPO DE BOMBA, CATETER INTRAVENOSO) QUE NO ESTAN JUSTIFICADOS Y/O REGISTRADOS EN LA HC DE ACUERDO A LA CANTIDAD FACTURADA.
ASEGURADORA LEVANTA DIFERENCIA.</t>
  </si>
  <si>
    <t>EN CONCILIACION ESE HUS ACEPTA GLOSA PARCIAL POR $31.888 POR FACTURACION DE MEDICAMENTOS (BUPICAINA PESADA AMP, FENTANILO AMP, MORFINA AMP #1, DEXAMETASONA AMP, MIDAZOLAM AMP, CEFAZOLINA AMP #2) ADMINISTRADOS DURANTE EL PROCEDIMIENTO QUIURGICO INCLUIDOS EN DERECHOS DE SALA ACORDE CON EL ARTICULO 55 PARAGRAFO 1.</t>
  </si>
  <si>
    <t xml:space="preserve">EN CONCILIACION ESE HUS ACEPTA GLOSA $ 114.700 POR TSH, AYUDA DIAGNOSTICA NO JUSTFICADA LA SOLICITUD Y REALIZACION, NO HAY ANTECEDENTES QUE SUGIERA LA  TOMA DE ESTE LABORATORIO, ADEMAS SIN LECTURA Y/ O INTERPRETACION. </t>
  </si>
  <si>
    <t>HUS0000385201</t>
  </si>
  <si>
    <t>EN CONCILIACION ESE HUS ACEPTA GLOSA POR $86.400 POR AJUSTE ENTRE 37401 - CURACION SIMPLE CON INMOVILIZACION POR 39202 - DERECHOS DE SALA PARA CURACIONES, YA QUE EL CODIGO FACTURADO PERTENECE A LAS CURACIONES REALIZADAS POR ESPECIALISTA EN CIRUGIA PLASTICA Y PARA ESTE CASO LAS REALIZO ENFERMERIA. POR ENDE SE REALIZA AJUSTE ACEPTANDOSE LA DIFERENICIA.</t>
  </si>
  <si>
    <t>HUS0000378404</t>
  </si>
  <si>
    <t>EN CONCILIACION ESE HUS ACEPTA GLOSA POR $91.000 POR AJUSTE ENTRE 37401 - CURACION SIMPLE CON INMOVILIZACION POR 39202 - DERECHOS DE SALA PARA CURACIONES, YA QUE EL CODIGO FACTURADO PERTENECE A LAS CURACIONES REALIZADAS POR ESPECIALISTA EN CIRUGIA PLASTICA Y PARA ESTE CASO LAS REALIZO ENFERMERIA. POR ENDE SE REALIZA AJUSTE ACEPTANDOSE LA DIFERENICIA.</t>
  </si>
  <si>
    <t>HUS0000307619</t>
  </si>
  <si>
    <t>EN CONCILIACION SE RATIFICA ATENCION DEL SINIESTRO YA QUE ASEGURADORA EN INVESTIGACION INTERNA AFIRMA SER POLIZA PRESTADA.</t>
  </si>
  <si>
    <t>HUS0000318631</t>
  </si>
  <si>
    <t>HUS0000314332</t>
  </si>
  <si>
    <t>HUS0000315302</t>
  </si>
  <si>
    <t>=BUSCARV(E12;Hoja1!B:N;13;0)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</si>
</sst>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2" formatCode="_-&quot;$&quot;\ * #,##0_-;\-&quot;$&quot;\ * #,##0_-;_-&quot;$&quot;\ * &quot;-&quot;_-;_-@_-"/>
    <numFmt numFmtId="41" formatCode="_-* #,##0_-;\-* #,##0_-;_-* &quot;-&quot;_-;_-@_-"/>
    <numFmt numFmtId="44" formatCode="_-&quot;$&quot;\ * #,##0.00_-;\-&quot;$&quot;\ * #,##0.00_-;_-&quot;$&quot;\ * &quot;-&quot;??_-;_-@_-"/>
    <numFmt numFmtId="43" formatCode="_-* #,##0.00_-;\-* #,##0.00_-;_-* &quot;-&quot;??_-;_-@_-"/>
    <numFmt numFmtId="164" formatCode="dd/mm/yyyy;@"/>
    <numFmt numFmtId="165" formatCode="000"/>
    <numFmt numFmtId="166" formatCode="_-&quot;$&quot;\ * #,##0_-;\-&quot;$&quot;\ * #,##0_-;_-&quot;$&quot;\ * &quot;-&quot;??_-;_-@_-"/>
    <numFmt numFmtId="167" formatCode="0_ ;\-0\ "/>
    <numFmt numFmtId="168" formatCode="_-* #,##0_-;\-* #,##0_-;_-* &quot;-&quot;??_-;_-@_-"/>
    <numFmt numFmtId="169" formatCode="_-* #,##0.0_-;\-* #,##0.0_-;_-* &quot;-&quot;??_-;_-@_-"/>
    <numFmt numFmtId="170" formatCode="dd/mm/yy;@"/>
  </numFmts>
  <fonts count="29" x14ac:knownFonts="1">
    <font>
      <sz val="11"/>
      <color theme="1"/>
      <name val="Calibri"/>
      <family val="2"/>
      <scheme val="minor"/>
    </font>
    <font>
      <sz val="11"/>
      <color theme="1"/>
      <name val="Calibri"/>
      <family val="2"/>
      <scheme val="minor"/>
    </font>
    <font>
      <sz val="10"/>
      <name val="Bookman Old Style"/>
      <family val="1"/>
    </font>
    <font>
      <b/>
      <sz val="18"/>
      <name val="Bookman Old Style"/>
      <family val="1"/>
    </font>
    <font>
      <b/>
      <sz val="34"/>
      <color theme="0"/>
      <name val="Bookman Old Style"/>
      <family val="1"/>
    </font>
    <font>
      <b/>
      <sz val="16"/>
      <color theme="0"/>
      <name val="Bookman Old Style"/>
      <family val="1"/>
    </font>
    <font>
      <b/>
      <sz val="16"/>
      <name val="Bookman Old Style"/>
      <family val="1"/>
    </font>
    <font>
      <b/>
      <sz val="28"/>
      <name val="Bookman Old Style"/>
      <family val="1"/>
    </font>
    <font>
      <b/>
      <sz val="17"/>
      <color theme="0"/>
      <name val="Bookman Old Style"/>
      <family val="1"/>
    </font>
    <font>
      <sz val="17"/>
      <name val="Bookman Old Style"/>
      <family val="1"/>
    </font>
    <font>
      <sz val="16"/>
      <name val="Bookman Old Style"/>
      <family val="1"/>
    </font>
    <font>
      <b/>
      <sz val="24"/>
      <name val="Bookman Old Style"/>
      <family val="1"/>
    </font>
    <font>
      <sz val="24"/>
      <color theme="1"/>
      <name val="Bookman Old Style"/>
      <family val="1"/>
    </font>
    <font>
      <sz val="24"/>
      <name val="Bookman Old Style"/>
      <family val="1"/>
    </font>
    <font>
      <b/>
      <sz val="36"/>
      <color rgb="FF000000"/>
      <name val="Calibri"/>
      <family val="2"/>
    </font>
    <font>
      <b/>
      <sz val="11"/>
      <color rgb="FFFF0000"/>
      <name val="Calibri"/>
      <family val="2"/>
      <scheme val="minor"/>
    </font>
    <font>
      <sz val="11"/>
      <name val="Calibri"/>
      <family val="2"/>
      <scheme val="minor"/>
    </font>
    <font>
      <b/>
      <sz val="11"/>
      <name val="Calibri"/>
      <family val="2"/>
      <scheme val="minor"/>
    </font>
    <font>
      <sz val="11"/>
      <color rgb="FFFF0000"/>
      <name val="Calibri"/>
      <family val="2"/>
      <scheme val="minor"/>
    </font>
    <font>
      <sz val="11"/>
      <name val="Century Gothic"/>
      <family val="2"/>
    </font>
    <font>
      <sz val="11"/>
      <name val="Century Gothic"/>
      <family val="2"/>
    </font>
    <font>
      <sz val="11"/>
      <color rgb="FFFF0000"/>
      <name val="Century Gothic"/>
      <family val="2"/>
    </font>
    <font>
      <sz val="11"/>
      <color rgb="FF006100"/>
      <name val="Calibri"/>
      <family val="2"/>
      <scheme val="minor"/>
    </font>
    <font>
      <sz val="10"/>
      <color theme="1"/>
      <name val="Calibri"/>
      <family val="2"/>
      <scheme val="minor"/>
    </font>
    <font>
      <sz val="11"/>
      <color rgb="FF000000"/>
      <name val="Calibri"/>
      <family val="2"/>
      <scheme val="minor"/>
    </font>
    <font>
      <sz val="10"/>
      <color theme="1"/>
      <name val="Arial"/>
      <family val="2"/>
    </font>
    <font>
      <sz val="11"/>
      <color theme="1"/>
      <name val="Arial"/>
      <family val="2"/>
    </font>
    <font>
      <sz val="11"/>
      <name val="Arial"/>
      <family val="2"/>
    </font>
    <font>
      <sz val="10"/>
      <name val="Arial"/>
      <family val="2"/>
    </font>
  </fonts>
  <fills count="8">
    <fill>
      <patternFill patternType="none"/>
    </fill>
    <fill>
      <patternFill patternType="gray125"/>
    </fill>
    <fill>
      <patternFill patternType="solid">
        <fgColor rgb="FF033783"/>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C6EFCE"/>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right style="thin">
        <color auto="1"/>
      </right>
      <top style="medium">
        <color indexed="64"/>
      </top>
      <bottom/>
      <diagonal/>
    </border>
    <border>
      <left/>
      <right style="medium">
        <color indexed="64"/>
      </right>
      <top/>
      <bottom/>
      <diagonal/>
    </border>
    <border>
      <left style="thin">
        <color auto="1"/>
      </left>
      <right/>
      <top/>
      <bottom/>
      <diagonal/>
    </border>
    <border>
      <left/>
      <right style="thin">
        <color auto="1"/>
      </right>
      <top/>
      <bottom/>
      <diagonal/>
    </border>
    <border>
      <left style="medium">
        <color indexed="64"/>
      </left>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thin">
        <color auto="1"/>
      </bottom>
      <diagonal/>
    </border>
    <border>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style="thin">
        <color auto="1"/>
      </top>
      <bottom/>
      <diagonal/>
    </border>
    <border>
      <left style="medium">
        <color indexed="64"/>
      </left>
      <right style="medium">
        <color indexed="64"/>
      </right>
      <top/>
      <bottom/>
      <diagonal/>
    </border>
    <border>
      <left style="thin">
        <color indexed="64"/>
      </left>
      <right style="thin">
        <color indexed="64"/>
      </right>
      <top/>
      <bottom/>
      <diagonal/>
    </border>
  </borders>
  <cellStyleXfs count="9">
    <xf numFmtId="0" fontId="0"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42" fontId="1" fillId="0" borderId="0"/>
    <xf numFmtId="0" fontId="1" fillId="0" borderId="0"/>
    <xf numFmtId="0" fontId="22" fillId="7" borderId="0" applyNumberFormat="0" applyBorder="0" applyAlignment="0" applyProtection="0"/>
    <xf numFmtId="41" fontId="1" fillId="0" borderId="0" applyFont="0" applyFill="0" applyBorder="0" applyAlignment="0" applyProtection="0"/>
    <xf numFmtId="0" fontId="1" fillId="0" borderId="0"/>
  </cellStyleXfs>
  <cellXfs count="262">
    <xf numFmtId="0" fontId="0" fillId="0" borderId="0" xfId="0"/>
    <xf numFmtId="0" fontId="2" fillId="0" borderId="0" xfId="3" applyFont="1"/>
    <xf numFmtId="0" fontId="2" fillId="0" borderId="0" xfId="3" applyFont="1" applyAlignment="1">
      <alignment wrapText="1"/>
    </xf>
    <xf numFmtId="42" fontId="2" fillId="0" borderId="0" xfId="4" applyFont="1" applyAlignment="1">
      <alignment horizontal="center"/>
    </xf>
    <xf numFmtId="0" fontId="2" fillId="0" borderId="1" xfId="3" applyFont="1" applyBorder="1"/>
    <xf numFmtId="0" fontId="2" fillId="0" borderId="2" xfId="3" applyFont="1" applyBorder="1"/>
    <xf numFmtId="0" fontId="2" fillId="0" borderId="2" xfId="3" applyFont="1" applyBorder="1" applyAlignment="1">
      <alignment wrapText="1"/>
    </xf>
    <xf numFmtId="42" fontId="2" fillId="0" borderId="2" xfId="4" applyFont="1" applyBorder="1" applyAlignment="1">
      <alignment horizontal="center"/>
    </xf>
    <xf numFmtId="0" fontId="2" fillId="0" borderId="3" xfId="3" applyFont="1" applyBorder="1" applyAlignment="1">
      <alignment wrapText="1"/>
    </xf>
    <xf numFmtId="0" fontId="2" fillId="0" borderId="4" xfId="3" applyFont="1" applyBorder="1" applyAlignment="1">
      <alignment vertical="center"/>
    </xf>
    <xf numFmtId="0" fontId="2" fillId="0" borderId="11" xfId="3" applyFont="1" applyBorder="1" applyAlignment="1">
      <alignment wrapText="1"/>
    </xf>
    <xf numFmtId="0" fontId="2" fillId="0" borderId="0" xfId="3" applyFont="1" applyAlignment="1">
      <alignment vertical="center"/>
    </xf>
    <xf numFmtId="0" fontId="5" fillId="2" borderId="20" xfId="3" applyFont="1" applyFill="1" applyBorder="1" applyAlignment="1">
      <alignment vertical="center"/>
    </xf>
    <xf numFmtId="0" fontId="5" fillId="2" borderId="21" xfId="3" applyFont="1" applyFill="1" applyBorder="1" applyAlignment="1">
      <alignment vertical="center"/>
    </xf>
    <xf numFmtId="165" fontId="5" fillId="2" borderId="24" xfId="4" applyNumberFormat="1" applyFont="1" applyFill="1" applyBorder="1" applyAlignment="1">
      <alignment horizontal="center" vertical="center" wrapText="1"/>
    </xf>
    <xf numFmtId="0" fontId="2" fillId="0" borderId="4" xfId="3" applyFont="1" applyBorder="1" applyAlignment="1">
      <alignment vertical="center" wrapText="1"/>
    </xf>
    <xf numFmtId="0" fontId="5" fillId="2" borderId="21" xfId="3" applyFont="1" applyFill="1" applyBorder="1" applyAlignment="1">
      <alignment horizontal="center" vertical="center" wrapText="1"/>
    </xf>
    <xf numFmtId="0" fontId="6" fillId="0" borderId="21" xfId="3" applyFont="1" applyBorder="1" applyAlignment="1">
      <alignment horizontal="center" vertical="center" wrapText="1"/>
    </xf>
    <xf numFmtId="42" fontId="6" fillId="0" borderId="21" xfId="3" applyNumberFormat="1" applyFont="1" applyBorder="1" applyAlignment="1">
      <alignment vertical="center" wrapText="1"/>
    </xf>
    <xf numFmtId="44" fontId="6" fillId="0" borderId="25" xfId="1" applyNumberFormat="1" applyFont="1" applyBorder="1" applyAlignment="1">
      <alignment horizontal="center" vertical="center" wrapText="1"/>
    </xf>
    <xf numFmtId="0" fontId="2" fillId="0" borderId="0" xfId="3" applyFont="1" applyAlignment="1">
      <alignment vertical="center" wrapText="1"/>
    </xf>
    <xf numFmtId="0" fontId="6" fillId="0" borderId="0" xfId="3" applyFont="1" applyAlignment="1">
      <alignment horizontal="center" vertical="center"/>
    </xf>
    <xf numFmtId="165" fontId="6" fillId="0" borderId="0" xfId="4" applyNumberFormat="1" applyFont="1" applyAlignment="1">
      <alignment vertical="center" wrapText="1"/>
    </xf>
    <xf numFmtId="0" fontId="2" fillId="0" borderId="11" xfId="3" applyFont="1" applyBorder="1" applyAlignment="1">
      <alignment vertical="center"/>
    </xf>
    <xf numFmtId="0" fontId="8" fillId="2" borderId="20" xfId="3" applyFont="1" applyFill="1" applyBorder="1" applyAlignment="1">
      <alignment horizontal="center" vertical="center" wrapText="1"/>
    </xf>
    <xf numFmtId="0" fontId="8" fillId="2" borderId="23" xfId="3" applyFont="1" applyFill="1" applyBorder="1" applyAlignment="1">
      <alignment horizontal="center" vertical="center" wrapText="1"/>
    </xf>
    <xf numFmtId="0" fontId="8" fillId="2" borderId="21" xfId="3" applyFont="1" applyFill="1" applyBorder="1" applyAlignment="1">
      <alignment horizontal="center" vertical="center" wrapText="1"/>
    </xf>
    <xf numFmtId="0" fontId="8" fillId="2" borderId="25" xfId="3" applyFont="1" applyFill="1" applyBorder="1" applyAlignment="1">
      <alignment horizontal="center" vertical="center" wrapText="1"/>
    </xf>
    <xf numFmtId="42" fontId="9" fillId="0" borderId="21" xfId="4" applyFont="1" applyBorder="1" applyAlignment="1">
      <alignment horizontal="right" vertical="center"/>
    </xf>
    <xf numFmtId="0" fontId="2" fillId="0" borderId="11" xfId="3" applyFont="1" applyBorder="1"/>
    <xf numFmtId="0" fontId="2" fillId="0" borderId="4" xfId="3" applyFont="1" applyBorder="1"/>
    <xf numFmtId="0" fontId="9" fillId="0" borderId="4" xfId="3" applyFont="1" applyBorder="1" applyAlignment="1">
      <alignment horizontal="center" vertical="center" wrapText="1"/>
    </xf>
    <xf numFmtId="0" fontId="9" fillId="0" borderId="0" xfId="3" applyFont="1"/>
    <xf numFmtId="166" fontId="8" fillId="2" borderId="21" xfId="2" applyNumberFormat="1" applyFont="1" applyFill="1" applyBorder="1" applyAlignment="1">
      <alignment horizontal="right" vertical="center"/>
    </xf>
    <xf numFmtId="166" fontId="8" fillId="2" borderId="28" xfId="2" applyNumberFormat="1" applyFont="1" applyFill="1" applyBorder="1" applyAlignment="1">
      <alignment horizontal="center" vertical="center"/>
    </xf>
    <xf numFmtId="166" fontId="8" fillId="2" borderId="21" xfId="2" applyNumberFormat="1" applyFont="1" applyFill="1" applyBorder="1" applyAlignment="1">
      <alignment horizontal="center" vertical="center"/>
    </xf>
    <xf numFmtId="166" fontId="8" fillId="2" borderId="21" xfId="2" applyNumberFormat="1" applyFont="1" applyFill="1" applyBorder="1" applyAlignment="1">
      <alignment vertical="center"/>
    </xf>
    <xf numFmtId="166" fontId="8" fillId="2" borderId="25" xfId="2" applyNumberFormat="1" applyFont="1" applyFill="1" applyBorder="1" applyAlignment="1">
      <alignment horizontal="right" vertical="center"/>
    </xf>
    <xf numFmtId="0" fontId="6" fillId="0" borderId="4" xfId="3" applyFont="1" applyBorder="1" applyAlignment="1">
      <alignment vertical="center"/>
    </xf>
    <xf numFmtId="0" fontId="6" fillId="0" borderId="0" xfId="3" applyFont="1"/>
    <xf numFmtId="0" fontId="10" fillId="0" borderId="0" xfId="3" applyFont="1"/>
    <xf numFmtId="42" fontId="10" fillId="0" borderId="0" xfId="4" applyFont="1" applyAlignment="1">
      <alignment horizontal="center"/>
    </xf>
    <xf numFmtId="14" fontId="10" fillId="0" borderId="0" xfId="4" applyNumberFormat="1" applyFont="1" applyAlignment="1">
      <alignment horizontal="center"/>
    </xf>
    <xf numFmtId="42" fontId="2" fillId="0" borderId="0" xfId="4" applyFont="1"/>
    <xf numFmtId="166" fontId="2" fillId="0" borderId="29" xfId="3" applyNumberFormat="1" applyFont="1" applyBorder="1" applyAlignment="1">
      <alignment wrapText="1"/>
    </xf>
    <xf numFmtId="0" fontId="10" fillId="0" borderId="0" xfId="3" applyFont="1" applyAlignment="1">
      <alignment wrapText="1"/>
    </xf>
    <xf numFmtId="0" fontId="2" fillId="0" borderId="30" xfId="3" applyFont="1" applyBorder="1" applyAlignment="1">
      <alignment wrapText="1"/>
    </xf>
    <xf numFmtId="166" fontId="2" fillId="0" borderId="0" xfId="2" applyNumberFormat="1" applyFont="1"/>
    <xf numFmtId="166" fontId="2" fillId="0" borderId="0" xfId="2" applyNumberFormat="1" applyFont="1" applyAlignment="1">
      <alignment wrapText="1"/>
    </xf>
    <xf numFmtId="166" fontId="2" fillId="0" borderId="0" xfId="2" applyNumberFormat="1" applyFont="1" applyAlignment="1">
      <alignment horizontal="left"/>
    </xf>
    <xf numFmtId="166" fontId="2" fillId="0" borderId="0" xfId="2" applyNumberFormat="1" applyFont="1" applyAlignment="1">
      <alignment horizontal="center"/>
    </xf>
    <xf numFmtId="166" fontId="2" fillId="0" borderId="2" xfId="2" applyNumberFormat="1" applyFont="1" applyBorder="1"/>
    <xf numFmtId="166" fontId="2" fillId="0" borderId="2" xfId="2" applyNumberFormat="1" applyFont="1" applyBorder="1" applyAlignment="1">
      <alignment wrapText="1"/>
    </xf>
    <xf numFmtId="166" fontId="2" fillId="0" borderId="2" xfId="2" applyNumberFormat="1" applyFont="1" applyBorder="1" applyAlignment="1">
      <alignment horizontal="left"/>
    </xf>
    <xf numFmtId="166" fontId="2" fillId="0" borderId="2" xfId="2" applyNumberFormat="1" applyFont="1" applyBorder="1" applyAlignment="1">
      <alignment horizontal="center"/>
    </xf>
    <xf numFmtId="166" fontId="6" fillId="0" borderId="21" xfId="2" applyNumberFormat="1" applyFont="1" applyBorder="1" applyAlignment="1">
      <alignment horizontal="center" vertical="center" wrapText="1"/>
    </xf>
    <xf numFmtId="166" fontId="5" fillId="2" borderId="21" xfId="2" applyNumberFormat="1" applyFont="1" applyFill="1" applyBorder="1" applyAlignment="1">
      <alignment horizontal="center" vertical="center" wrapText="1"/>
    </xf>
    <xf numFmtId="166" fontId="6" fillId="0" borderId="21" xfId="2" applyNumberFormat="1" applyFont="1" applyBorder="1" applyAlignment="1">
      <alignment vertical="center" wrapText="1"/>
    </xf>
    <xf numFmtId="166" fontId="8" fillId="2" borderId="21" xfId="2" applyNumberFormat="1" applyFont="1" applyFill="1" applyBorder="1" applyAlignment="1">
      <alignment horizontal="center" vertical="center" wrapText="1"/>
    </xf>
    <xf numFmtId="0" fontId="15" fillId="0" borderId="21" xfId="0" applyFont="1" applyBorder="1"/>
    <xf numFmtId="0" fontId="15" fillId="0" borderId="21" xfId="0" applyFont="1" applyBorder="1" applyAlignment="1">
      <alignment horizontal="center"/>
    </xf>
    <xf numFmtId="14" fontId="15" fillId="0" borderId="21" xfId="0" applyNumberFormat="1" applyFont="1" applyBorder="1"/>
    <xf numFmtId="0" fontId="15" fillId="0" borderId="21" xfId="0" applyFont="1" applyBorder="1" applyAlignment="1">
      <alignment horizontal="left"/>
    </xf>
    <xf numFmtId="43" fontId="15" fillId="0" borderId="21" xfId="1" applyFont="1" applyBorder="1"/>
    <xf numFmtId="43" fontId="15" fillId="0" borderId="21" xfId="1" applyFont="1" applyFill="1" applyBorder="1"/>
    <xf numFmtId="0" fontId="15" fillId="0" borderId="0" xfId="0" applyFont="1"/>
    <xf numFmtId="0" fontId="0" fillId="0" borderId="21" xfId="0" applyBorder="1"/>
    <xf numFmtId="14" fontId="0" fillId="0" borderId="21" xfId="0" applyNumberFormat="1" applyBorder="1"/>
    <xf numFmtId="0" fontId="16" fillId="0" borderId="21" xfId="0" applyFont="1" applyBorder="1"/>
    <xf numFmtId="43" fontId="0" fillId="0" borderId="21" xfId="1" applyFont="1" applyBorder="1"/>
    <xf numFmtId="43" fontId="0" fillId="0" borderId="21" xfId="1" applyFont="1" applyFill="1" applyBorder="1"/>
    <xf numFmtId="14" fontId="9" fillId="0" borderId="0" xfId="3" applyNumberFormat="1" applyFont="1"/>
    <xf numFmtId="0" fontId="17" fillId="4" borderId="21" xfId="0" applyFont="1" applyFill="1" applyBorder="1"/>
    <xf numFmtId="14" fontId="17" fillId="4" borderId="21" xfId="0" applyNumberFormat="1" applyFont="1" applyFill="1" applyBorder="1"/>
    <xf numFmtId="43" fontId="17" fillId="4" borderId="21" xfId="1" applyFont="1" applyFill="1" applyBorder="1"/>
    <xf numFmtId="0" fontId="17" fillId="4" borderId="21" xfId="0" applyFont="1" applyFill="1" applyBorder="1" applyAlignment="1">
      <alignment horizontal="center"/>
    </xf>
    <xf numFmtId="0" fontId="17" fillId="4" borderId="13" xfId="0" applyFont="1" applyFill="1" applyBorder="1"/>
    <xf numFmtId="168" fontId="16" fillId="0" borderId="21" xfId="1" applyNumberFormat="1" applyFont="1" applyFill="1" applyBorder="1"/>
    <xf numFmtId="0" fontId="0" fillId="0" borderId="31" xfId="0" applyBorder="1"/>
    <xf numFmtId="0" fontId="18" fillId="0" borderId="21" xfId="0" applyFont="1" applyBorder="1"/>
    <xf numFmtId="0" fontId="15" fillId="5" borderId="21" xfId="0" applyFont="1" applyFill="1" applyBorder="1"/>
    <xf numFmtId="167" fontId="15" fillId="5" borderId="21" xfId="1" applyNumberFormat="1" applyFont="1" applyFill="1" applyBorder="1"/>
    <xf numFmtId="0" fontId="17" fillId="6" borderId="21" xfId="0" applyFont="1" applyFill="1" applyBorder="1"/>
    <xf numFmtId="0" fontId="15" fillId="6" borderId="21" xfId="0" applyFont="1" applyFill="1" applyBorder="1"/>
    <xf numFmtId="43" fontId="17" fillId="6" borderId="21" xfId="1" applyFont="1" applyFill="1" applyBorder="1"/>
    <xf numFmtId="0" fontId="17" fillId="6" borderId="21" xfId="1" applyNumberFormat="1" applyFont="1" applyFill="1" applyBorder="1"/>
    <xf numFmtId="0" fontId="16" fillId="0" borderId="0" xfId="0" applyFont="1"/>
    <xf numFmtId="0" fontId="19" fillId="0" borderId="0" xfId="0" applyFont="1"/>
    <xf numFmtId="43" fontId="19" fillId="0" borderId="0" xfId="1" applyFont="1"/>
    <xf numFmtId="14" fontId="19" fillId="0" borderId="0" xfId="0" applyNumberFormat="1" applyFont="1"/>
    <xf numFmtId="0" fontId="16" fillId="0" borderId="0" xfId="1" applyNumberFormat="1" applyFont="1"/>
    <xf numFmtId="0" fontId="20" fillId="0" borderId="0" xfId="0" applyFont="1"/>
    <xf numFmtId="43" fontId="20" fillId="0" borderId="0" xfId="1" applyFont="1"/>
    <xf numFmtId="14" fontId="20" fillId="0" borderId="0" xfId="0" applyNumberFormat="1" applyFont="1"/>
    <xf numFmtId="0" fontId="20" fillId="0" borderId="0" xfId="0" applyFont="1" applyAlignment="1">
      <alignment horizontal="left"/>
    </xf>
    <xf numFmtId="43" fontId="21" fillId="0" borderId="0" xfId="1" applyFont="1"/>
    <xf numFmtId="0" fontId="8" fillId="2" borderId="23" xfId="3" applyFont="1" applyFill="1" applyBorder="1" applyAlignment="1">
      <alignment horizontal="center" vertical="center"/>
    </xf>
    <xf numFmtId="0" fontId="5" fillId="2" borderId="21" xfId="3" applyFont="1" applyFill="1" applyBorder="1" applyAlignment="1">
      <alignment vertical="center" wrapText="1"/>
    </xf>
    <xf numFmtId="0" fontId="9" fillId="0" borderId="21" xfId="3" applyFont="1" applyBorder="1" applyAlignment="1">
      <alignment horizontal="left" vertical="center"/>
    </xf>
    <xf numFmtId="0" fontId="9" fillId="0" borderId="21" xfId="3" applyFont="1" applyBorder="1" applyAlignment="1">
      <alignment horizontal="left" vertical="center" wrapText="1"/>
    </xf>
    <xf numFmtId="166" fontId="9" fillId="0" borderId="21" xfId="2" applyNumberFormat="1" applyFont="1" applyFill="1" applyBorder="1" applyAlignment="1">
      <alignment horizontal="left" vertical="center" wrapText="1"/>
    </xf>
    <xf numFmtId="166" fontId="9" fillId="0" borderId="25" xfId="2" applyNumberFormat="1" applyFont="1" applyFill="1" applyBorder="1" applyAlignment="1">
      <alignment horizontal="center" vertical="center"/>
    </xf>
    <xf numFmtId="0" fontId="2" fillId="0" borderId="30" xfId="3" applyFont="1" applyBorder="1"/>
    <xf numFmtId="166" fontId="10" fillId="0" borderId="0" xfId="3" applyNumberFormat="1" applyFont="1" applyAlignment="1">
      <alignment wrapText="1"/>
    </xf>
    <xf numFmtId="14" fontId="10" fillId="0" borderId="0" xfId="3" applyNumberFormat="1" applyFont="1" applyAlignment="1">
      <alignment wrapText="1"/>
    </xf>
    <xf numFmtId="43" fontId="10" fillId="0" borderId="0" xfId="1" applyFont="1" applyFill="1" applyAlignment="1">
      <alignment wrapText="1"/>
    </xf>
    <xf numFmtId="43" fontId="10" fillId="0" borderId="0" xfId="1" applyFont="1" applyFill="1" applyAlignment="1"/>
    <xf numFmtId="168" fontId="10" fillId="0" borderId="0" xfId="1" applyNumberFormat="1" applyFont="1" applyFill="1" applyAlignment="1"/>
    <xf numFmtId="168" fontId="10" fillId="0" borderId="0" xfId="1" applyNumberFormat="1" applyFont="1" applyFill="1" applyAlignment="1">
      <alignment wrapText="1"/>
    </xf>
    <xf numFmtId="0" fontId="9" fillId="0" borderId="21" xfId="0" applyFont="1" applyBorder="1" applyAlignment="1">
      <alignment horizontal="left" vertical="center"/>
    </xf>
    <xf numFmtId="166" fontId="9" fillId="0" borderId="21" xfId="2" applyNumberFormat="1" applyFont="1" applyFill="1" applyBorder="1" applyAlignment="1">
      <alignment horizontal="right" vertical="center" wrapText="1"/>
    </xf>
    <xf numFmtId="0" fontId="9" fillId="0" borderId="22" xfId="3" applyFont="1" applyBorder="1" applyAlignment="1">
      <alignment horizontal="left" vertical="center"/>
    </xf>
    <xf numFmtId="169" fontId="10" fillId="0" borderId="0" xfId="1" applyNumberFormat="1" applyFont="1" applyFill="1" applyAlignment="1">
      <alignment wrapText="1"/>
    </xf>
    <xf numFmtId="0" fontId="9" fillId="0" borderId="20" xfId="3" applyFont="1" applyBorder="1" applyAlignment="1">
      <alignment horizontal="left" vertical="center" wrapText="1"/>
    </xf>
    <xf numFmtId="0" fontId="9" fillId="0" borderId="23" xfId="3" applyFont="1" applyBorder="1" applyAlignment="1">
      <alignment horizontal="left" vertical="center" wrapText="1"/>
    </xf>
    <xf numFmtId="0" fontId="9" fillId="0" borderId="21" xfId="0" applyFont="1" applyBorder="1" applyAlignment="1">
      <alignment horizontal="left" vertical="center" wrapText="1"/>
    </xf>
    <xf numFmtId="0" fontId="9" fillId="0" borderId="24" xfId="3" applyFont="1" applyBorder="1" applyAlignment="1">
      <alignment horizontal="left" vertical="center" wrapText="1"/>
    </xf>
    <xf numFmtId="170" fontId="9" fillId="0" borderId="21" xfId="3" applyNumberFormat="1" applyFont="1" applyBorder="1" applyAlignment="1">
      <alignment horizontal="left" vertical="center" wrapText="1"/>
    </xf>
    <xf numFmtId="49" fontId="9" fillId="0" borderId="21" xfId="2" applyNumberFormat="1" applyFont="1" applyFill="1" applyBorder="1" applyAlignment="1">
      <alignment horizontal="left" vertical="center"/>
    </xf>
    <xf numFmtId="49" fontId="9" fillId="0" borderId="21" xfId="4" applyNumberFormat="1" applyFont="1" applyBorder="1" applyAlignment="1">
      <alignment horizontal="left" vertical="center"/>
    </xf>
    <xf numFmtId="0" fontId="22" fillId="7" borderId="21" xfId="6" applyBorder="1" applyAlignment="1">
      <alignment horizontal="left" vertical="center"/>
    </xf>
    <xf numFmtId="0" fontId="0" fillId="0" borderId="21" xfId="0" applyBorder="1" applyAlignment="1">
      <alignment horizontal="left"/>
    </xf>
    <xf numFmtId="14" fontId="0" fillId="0" borderId="21" xfId="0" applyNumberFormat="1" applyBorder="1" applyAlignment="1">
      <alignment horizontal="left"/>
    </xf>
    <xf numFmtId="41" fontId="0" fillId="0" borderId="21" xfId="7" applyFont="1" applyBorder="1" applyAlignment="1">
      <alignment horizontal="left"/>
    </xf>
    <xf numFmtId="14" fontId="0" fillId="0" borderId="21" xfId="0" applyNumberFormat="1" applyBorder="1" applyAlignment="1">
      <alignment horizontal="left" vertical="center"/>
    </xf>
    <xf numFmtId="0" fontId="0" fillId="0" borderId="21" xfId="0" applyBorder="1" applyAlignment="1" applyProtection="1">
      <alignment horizontal="left" vertical="top"/>
      <protection locked="0"/>
    </xf>
    <xf numFmtId="0" fontId="0" fillId="0" borderId="21" xfId="0" applyBorder="1" applyAlignment="1" applyProtection="1">
      <alignment horizontal="center"/>
      <protection locked="0"/>
    </xf>
    <xf numFmtId="14" fontId="0" fillId="0" borderId="21" xfId="0" applyNumberFormat="1" applyBorder="1" applyAlignment="1" applyProtection="1">
      <alignment horizontal="center"/>
      <protection locked="0"/>
    </xf>
    <xf numFmtId="0" fontId="24" fillId="0" borderId="21" xfId="0" applyFont="1" applyBorder="1" applyAlignment="1">
      <alignment horizontal="center"/>
    </xf>
    <xf numFmtId="14" fontId="0" fillId="0" borderId="21" xfId="0" applyNumberFormat="1" applyBorder="1" applyAlignment="1" applyProtection="1">
      <alignment horizontal="left" vertical="top"/>
      <protection locked="0"/>
    </xf>
    <xf numFmtId="14" fontId="0" fillId="0" borderId="21" xfId="0" applyNumberFormat="1" applyBorder="1" applyAlignment="1" applyProtection="1">
      <alignment horizontal="right" vertical="top"/>
      <protection locked="0"/>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0" fontId="25" fillId="0" borderId="6" xfId="0" applyFont="1" applyBorder="1" applyAlignment="1">
      <alignment horizontal="center"/>
    </xf>
    <xf numFmtId="0" fontId="25" fillId="0" borderId="6" xfId="0" applyFont="1" applyBorder="1" applyAlignment="1">
      <alignment horizontal="center" vertical="center"/>
    </xf>
    <xf numFmtId="166" fontId="25" fillId="0" borderId="6" xfId="2" applyNumberFormat="1" applyFont="1" applyFill="1" applyBorder="1" applyAlignment="1">
      <alignment vertical="center"/>
    </xf>
    <xf numFmtId="0" fontId="25" fillId="0" borderId="6" xfId="0" applyFont="1" applyBorder="1" applyAlignment="1">
      <alignment horizontal="left"/>
    </xf>
    <xf numFmtId="166" fontId="25" fillId="0" borderId="6" xfId="1" applyNumberFormat="1" applyFont="1" applyFill="1" applyBorder="1" applyAlignment="1">
      <alignment vertical="center"/>
    </xf>
    <xf numFmtId="166" fontId="25" fillId="0" borderId="6" xfId="2" applyNumberFormat="1" applyFont="1" applyFill="1" applyBorder="1" applyAlignment="1"/>
    <xf numFmtId="14" fontId="25" fillId="0" borderId="6" xfId="0" applyNumberFormat="1" applyFont="1" applyBorder="1" applyAlignment="1">
      <alignment horizontal="center"/>
    </xf>
    <xf numFmtId="49" fontId="25" fillId="0" borderId="6" xfId="0" applyNumberFormat="1" applyFont="1" applyBorder="1" applyAlignment="1">
      <alignment horizontal="left" vertical="center"/>
    </xf>
    <xf numFmtId="0" fontId="25" fillId="0" borderId="6" xfId="0" applyFont="1" applyBorder="1"/>
    <xf numFmtId="0" fontId="26" fillId="0" borderId="6" xfId="0" applyFont="1" applyBorder="1" applyAlignment="1">
      <alignment vertical="center"/>
    </xf>
    <xf numFmtId="166" fontId="26" fillId="0" borderId="6" xfId="2" applyNumberFormat="1" applyFont="1" applyFill="1" applyBorder="1" applyAlignment="1">
      <alignment horizontal="left" vertical="center" wrapText="1"/>
    </xf>
    <xf numFmtId="166" fontId="26" fillId="0" borderId="6" xfId="2" applyNumberFormat="1" applyFont="1" applyFill="1" applyBorder="1" applyAlignment="1">
      <alignment vertical="center"/>
    </xf>
    <xf numFmtId="0" fontId="26" fillId="0" borderId="6" xfId="8" applyFont="1" applyBorder="1" applyAlignment="1">
      <alignment horizontal="left" vertical="center"/>
    </xf>
    <xf numFmtId="0" fontId="26" fillId="0" borderId="6" xfId="8" applyFont="1" applyBorder="1" applyAlignment="1">
      <alignment horizontal="center" vertical="center" wrapText="1"/>
    </xf>
    <xf numFmtId="0" fontId="27" fillId="0" borderId="6" xfId="0" applyFont="1" applyBorder="1" applyAlignment="1">
      <alignment vertical="center"/>
    </xf>
    <xf numFmtId="0" fontId="26" fillId="0" borderId="6" xfId="8" applyFont="1" applyBorder="1" applyAlignment="1">
      <alignment horizontal="left" vertical="top"/>
    </xf>
    <xf numFmtId="0" fontId="27" fillId="0" borderId="6" xfId="0" applyFont="1" applyBorder="1" applyAlignment="1">
      <alignment vertical="top"/>
    </xf>
    <xf numFmtId="0" fontId="26" fillId="0" borderId="6" xfId="0" applyFont="1" applyBorder="1" applyAlignment="1">
      <alignment vertical="top"/>
    </xf>
    <xf numFmtId="166" fontId="27" fillId="0" borderId="6" xfId="2" applyNumberFormat="1" applyFont="1" applyFill="1" applyBorder="1" applyAlignment="1">
      <alignment vertical="center"/>
    </xf>
    <xf numFmtId="0" fontId="26" fillId="0" borderId="6" xfId="8" applyFont="1" applyBorder="1" applyAlignment="1">
      <alignment horizontal="center" vertical="center"/>
    </xf>
    <xf numFmtId="0" fontId="26" fillId="0" borderId="6" xfId="8" applyFont="1" applyBorder="1" applyAlignment="1">
      <alignment horizontal="left" vertical="center" wrapText="1"/>
    </xf>
    <xf numFmtId="0" fontId="25" fillId="0" borderId="24" xfId="0" applyFont="1" applyBorder="1" applyAlignment="1">
      <alignment horizontal="center"/>
    </xf>
    <xf numFmtId="0" fontId="25" fillId="0" borderId="24" xfId="0" applyFont="1" applyBorder="1" applyAlignment="1">
      <alignment horizontal="center" vertical="center"/>
    </xf>
    <xf numFmtId="166" fontId="25" fillId="0" borderId="24" xfId="2" applyNumberFormat="1" applyFont="1" applyFill="1" applyBorder="1" applyAlignment="1">
      <alignment vertical="center"/>
    </xf>
    <xf numFmtId="0" fontId="25" fillId="0" borderId="24" xfId="0" applyFont="1" applyBorder="1" applyAlignment="1">
      <alignment horizontal="left"/>
    </xf>
    <xf numFmtId="166" fontId="25" fillId="0" borderId="24" xfId="1" applyNumberFormat="1" applyFont="1" applyFill="1" applyBorder="1" applyAlignment="1">
      <alignment vertical="center"/>
    </xf>
    <xf numFmtId="166" fontId="25" fillId="0" borderId="24" xfId="2" applyNumberFormat="1" applyFont="1" applyFill="1" applyBorder="1" applyAlignment="1"/>
    <xf numFmtId="14" fontId="25" fillId="0" borderId="24" xfId="0" applyNumberFormat="1" applyFont="1" applyBorder="1" applyAlignment="1">
      <alignment horizontal="center"/>
    </xf>
    <xf numFmtId="49" fontId="25" fillId="0" borderId="24" xfId="0" applyNumberFormat="1" applyFont="1" applyBorder="1" applyAlignment="1">
      <alignment horizontal="left" vertical="center"/>
    </xf>
    <xf numFmtId="0" fontId="25" fillId="0" borderId="21" xfId="0" applyFont="1" applyBorder="1" applyAlignment="1">
      <alignment horizontal="center" vertical="center"/>
    </xf>
    <xf numFmtId="166" fontId="25" fillId="0" borderId="21" xfId="2" applyNumberFormat="1" applyFont="1" applyFill="1" applyBorder="1" applyAlignment="1">
      <alignment vertical="center"/>
    </xf>
    <xf numFmtId="0" fontId="25" fillId="0" borderId="21" xfId="0" applyFont="1" applyBorder="1" applyAlignment="1">
      <alignment horizontal="left"/>
    </xf>
    <xf numFmtId="166" fontId="25" fillId="0" borderId="21" xfId="1" applyNumberFormat="1" applyFont="1" applyFill="1" applyBorder="1" applyAlignment="1">
      <alignment vertical="center"/>
    </xf>
    <xf numFmtId="166" fontId="25" fillId="0" borderId="21" xfId="2" applyNumberFormat="1" applyFont="1" applyFill="1" applyBorder="1" applyAlignment="1"/>
    <xf numFmtId="0" fontId="25" fillId="0" borderId="21" xfId="0" applyFont="1" applyBorder="1" applyAlignment="1">
      <alignment horizontal="center"/>
    </xf>
    <xf numFmtId="14" fontId="25" fillId="0" borderId="21" xfId="0" applyNumberFormat="1" applyFont="1" applyBorder="1" applyAlignment="1">
      <alignment horizontal="center"/>
    </xf>
    <xf numFmtId="49" fontId="25" fillId="0" borderId="21" xfId="0" applyNumberFormat="1" applyFont="1" applyBorder="1" applyAlignment="1">
      <alignment horizontal="left" vertical="center"/>
    </xf>
    <xf numFmtId="0" fontId="0" fillId="0" borderId="21" xfId="0" applyBorder="1" applyAlignment="1">
      <alignment horizontal="center"/>
    </xf>
    <xf numFmtId="166" fontId="23" fillId="0" borderId="6" xfId="2" applyNumberFormat="1" applyFont="1" applyFill="1" applyBorder="1" applyAlignment="1">
      <alignment horizontal="left" vertical="center" wrapText="1"/>
    </xf>
    <xf numFmtId="0" fontId="23" fillId="0" borderId="6" xfId="8" applyFont="1" applyBorder="1" applyAlignment="1">
      <alignment horizontal="left" vertical="center"/>
    </xf>
    <xf numFmtId="0" fontId="23" fillId="0" borderId="21" xfId="0" applyFont="1" applyBorder="1" applyAlignment="1">
      <alignment horizontal="center"/>
    </xf>
    <xf numFmtId="0" fontId="23" fillId="0" borderId="6" xfId="8" applyFont="1" applyBorder="1" applyAlignment="1">
      <alignment horizontal="left" vertical="center" wrapText="1"/>
    </xf>
    <xf numFmtId="166" fontId="23" fillId="0" borderId="6" xfId="2" applyNumberFormat="1" applyFont="1" applyFill="1" applyBorder="1" applyAlignment="1">
      <alignment horizontal="left" vertical="center"/>
    </xf>
    <xf numFmtId="166" fontId="25" fillId="0" borderId="6" xfId="2" applyNumberFormat="1" applyFont="1" applyFill="1" applyBorder="1" applyAlignment="1">
      <alignment horizontal="left" vertical="center" wrapText="1"/>
    </xf>
    <xf numFmtId="0" fontId="25" fillId="0" borderId="6" xfId="8" applyFont="1" applyBorder="1" applyAlignment="1">
      <alignment horizontal="left" vertical="center"/>
    </xf>
    <xf numFmtId="166" fontId="25" fillId="0" borderId="21" xfId="2" applyNumberFormat="1" applyFont="1" applyFill="1" applyBorder="1" applyAlignment="1">
      <alignment horizontal="left" vertical="center" wrapText="1"/>
    </xf>
    <xf numFmtId="0" fontId="25" fillId="0" borderId="6" xfId="8" applyFont="1" applyBorder="1" applyAlignment="1">
      <alignment horizontal="left" vertical="center" wrapText="1"/>
    </xf>
    <xf numFmtId="0" fontId="25" fillId="0" borderId="21" xfId="8" applyFont="1" applyBorder="1" applyAlignment="1">
      <alignment horizontal="left" vertical="center" wrapText="1"/>
    </xf>
    <xf numFmtId="0" fontId="25" fillId="0" borderId="21" xfId="8" applyFont="1" applyBorder="1" applyAlignment="1">
      <alignment horizontal="center" vertical="center" wrapText="1"/>
    </xf>
    <xf numFmtId="43" fontId="25" fillId="0" borderId="21" xfId="1" applyFont="1" applyFill="1" applyBorder="1" applyAlignment="1">
      <alignment horizontal="center" vertical="center" wrapText="1"/>
    </xf>
    <xf numFmtId="0" fontId="25" fillId="0" borderId="21" xfId="8" applyFont="1" applyBorder="1" applyAlignment="1">
      <alignment horizontal="center" vertical="center"/>
    </xf>
    <xf numFmtId="0" fontId="25" fillId="0" borderId="21" xfId="8" applyFont="1" applyBorder="1" applyAlignment="1">
      <alignment horizontal="left" vertical="center"/>
    </xf>
    <xf numFmtId="0" fontId="25" fillId="0" borderId="24" xfId="0" applyFont="1" applyBorder="1" applyAlignment="1">
      <alignment horizontal="center" wrapText="1"/>
    </xf>
    <xf numFmtId="166" fontId="25" fillId="0" borderId="21" xfId="2" applyNumberFormat="1" applyFont="1" applyFill="1" applyBorder="1" applyAlignment="1">
      <alignment horizontal="left" vertical="top" wrapText="1"/>
    </xf>
    <xf numFmtId="0" fontId="25" fillId="0" borderId="21" xfId="0" applyFont="1" applyBorder="1" applyAlignment="1">
      <alignment wrapText="1"/>
    </xf>
    <xf numFmtId="166" fontId="25" fillId="0" borderId="21" xfId="2" applyNumberFormat="1" applyFont="1" applyFill="1" applyBorder="1" applyAlignment="1">
      <alignment vertical="center" wrapText="1"/>
    </xf>
    <xf numFmtId="166" fontId="25" fillId="0" borderId="21" xfId="2" applyNumberFormat="1" applyFont="1" applyFill="1" applyBorder="1" applyAlignment="1">
      <alignment wrapText="1"/>
    </xf>
    <xf numFmtId="0" fontId="25" fillId="0" borderId="21" xfId="0" applyFont="1" applyBorder="1" applyAlignment="1">
      <alignment horizontal="center" wrapText="1"/>
    </xf>
    <xf numFmtId="14" fontId="25" fillId="0" borderId="21" xfId="0" applyNumberFormat="1" applyFont="1" applyBorder="1" applyAlignment="1">
      <alignment horizontal="center" wrapText="1"/>
    </xf>
    <xf numFmtId="0" fontId="25" fillId="0" borderId="21" xfId="8" applyFont="1" applyBorder="1" applyAlignment="1">
      <alignment horizontal="left" vertical="top"/>
    </xf>
    <xf numFmtId="0" fontId="25" fillId="0" borderId="21" xfId="0" applyFont="1" applyBorder="1"/>
    <xf numFmtId="0" fontId="25" fillId="0" borderId="21" xfId="8" applyFont="1" applyBorder="1" applyAlignment="1">
      <alignment horizontal="left" vertical="top" wrapText="1"/>
    </xf>
    <xf numFmtId="166" fontId="25" fillId="0" borderId="21" xfId="2" applyNumberFormat="1" applyFont="1" applyBorder="1" applyAlignment="1">
      <alignment horizontal="left" vertical="top" wrapText="1"/>
    </xf>
    <xf numFmtId="0" fontId="28" fillId="0" borderId="21" xfId="0" applyFont="1" applyBorder="1" applyAlignment="1">
      <alignment horizontal="center" vertical="center"/>
    </xf>
    <xf numFmtId="44" fontId="25" fillId="0" borderId="21" xfId="2" applyFont="1" applyBorder="1" applyAlignment="1">
      <alignment horizontal="left" vertical="center" wrapText="1"/>
    </xf>
    <xf numFmtId="166" fontId="25" fillId="0" borderId="21" xfId="2" applyNumberFormat="1" applyFont="1" applyBorder="1" applyAlignment="1">
      <alignment horizontal="left" vertical="center" wrapText="1"/>
    </xf>
    <xf numFmtId="0" fontId="28" fillId="0" borderId="21" xfId="0" applyFont="1" applyBorder="1" applyAlignment="1">
      <alignment vertical="top"/>
    </xf>
    <xf numFmtId="0" fontId="25" fillId="0" borderId="21" xfId="0" applyFont="1" applyBorder="1" applyAlignment="1">
      <alignment horizontal="center" vertical="top"/>
    </xf>
    <xf numFmtId="0" fontId="9" fillId="0" borderId="20" xfId="3" applyFont="1" applyBorder="1" applyAlignment="1">
      <alignment horizontal="left" vertical="center"/>
    </xf>
    <xf numFmtId="0" fontId="9" fillId="0" borderId="23" xfId="3" applyFont="1" applyBorder="1" applyAlignment="1">
      <alignment horizontal="left" vertical="center"/>
    </xf>
    <xf numFmtId="170" fontId="9" fillId="0" borderId="21" xfId="3" applyNumberFormat="1" applyFont="1" applyBorder="1" applyAlignment="1">
      <alignment horizontal="left" vertical="center"/>
    </xf>
    <xf numFmtId="166" fontId="9" fillId="0" borderId="21" xfId="2" applyNumberFormat="1" applyFont="1" applyFill="1" applyBorder="1" applyAlignment="1">
      <alignment horizontal="left" vertical="center"/>
    </xf>
    <xf numFmtId="166" fontId="9" fillId="0" borderId="21" xfId="2" applyNumberFormat="1" applyFont="1" applyFill="1" applyBorder="1" applyAlignment="1">
      <alignment horizontal="right" vertical="center"/>
    </xf>
    <xf numFmtId="0" fontId="9" fillId="0" borderId="24" xfId="3" applyFont="1" applyBorder="1" applyAlignment="1">
      <alignment horizontal="left" vertical="center"/>
    </xf>
    <xf numFmtId="0" fontId="3" fillId="0" borderId="5" xfId="3" applyFont="1" applyBorder="1" applyAlignment="1">
      <alignment horizontal="center" vertical="center" wrapText="1"/>
    </xf>
    <xf numFmtId="0" fontId="0" fillId="0" borderId="2" xfId="0" applyBorder="1"/>
    <xf numFmtId="0" fontId="0" fillId="0" borderId="4" xfId="0" applyBorder="1"/>
    <xf numFmtId="0" fontId="2" fillId="0" borderId="0" xfId="3" applyFont="1" applyAlignment="1">
      <alignment vertical="center"/>
    </xf>
    <xf numFmtId="0" fontId="0" fillId="0" borderId="14" xfId="0" applyBorder="1"/>
    <xf numFmtId="0" fontId="0" fillId="0" borderId="15" xfId="0" applyBorder="1"/>
    <xf numFmtId="0" fontId="4" fillId="2" borderId="6" xfId="3" applyFont="1" applyFill="1" applyBorder="1" applyAlignment="1">
      <alignment horizontal="center" vertical="center" wrapText="1"/>
    </xf>
    <xf numFmtId="0" fontId="4" fillId="2" borderId="7" xfId="3" applyFont="1" applyFill="1" applyBorder="1" applyAlignment="1">
      <alignment horizontal="center" vertical="center" wrapText="1"/>
    </xf>
    <xf numFmtId="0" fontId="4" fillId="2" borderId="8" xfId="3" applyFont="1" applyFill="1" applyBorder="1" applyAlignment="1">
      <alignment horizontal="center" vertical="center" wrapText="1"/>
    </xf>
    <xf numFmtId="0" fontId="4" fillId="2" borderId="12" xfId="3" applyFont="1" applyFill="1" applyBorder="1" applyAlignment="1">
      <alignment horizontal="center" vertical="center" wrapText="1"/>
    </xf>
    <xf numFmtId="0" fontId="4" fillId="2" borderId="0" xfId="3" applyFont="1" applyFill="1" applyAlignment="1">
      <alignment horizontal="center" vertical="center" wrapText="1"/>
    </xf>
    <xf numFmtId="0" fontId="4" fillId="2" borderId="13" xfId="3" applyFont="1" applyFill="1" applyBorder="1" applyAlignment="1">
      <alignment horizontal="center" vertical="center" wrapText="1"/>
    </xf>
    <xf numFmtId="0" fontId="4" fillId="2" borderId="16" xfId="3" applyFont="1" applyFill="1" applyBorder="1" applyAlignment="1">
      <alignment horizontal="center" vertical="center" wrapText="1"/>
    </xf>
    <xf numFmtId="0" fontId="4" fillId="2" borderId="15" xfId="3" applyFont="1" applyFill="1" applyBorder="1" applyAlignment="1">
      <alignment horizontal="center" vertical="center" wrapText="1"/>
    </xf>
    <xf numFmtId="0" fontId="4" fillId="2" borderId="17" xfId="3" applyFont="1" applyFill="1" applyBorder="1" applyAlignment="1">
      <alignment horizontal="center" vertical="center" wrapText="1"/>
    </xf>
    <xf numFmtId="0" fontId="2" fillId="0" borderId="9" xfId="4" applyNumberFormat="1" applyFont="1" applyBorder="1" applyAlignment="1">
      <alignment horizontal="center" vertical="center"/>
    </xf>
    <xf numFmtId="0" fontId="0" fillId="0" borderId="10" xfId="0" applyBorder="1"/>
    <xf numFmtId="0" fontId="0" fillId="0" borderId="12" xfId="0" applyBorder="1"/>
    <xf numFmtId="0" fontId="0" fillId="0" borderId="13" xfId="0" applyBorder="1"/>
    <xf numFmtId="0" fontId="0" fillId="0" borderId="16" xfId="0" applyBorder="1"/>
    <xf numFmtId="0" fontId="0" fillId="0" borderId="17" xfId="0" applyBorder="1"/>
    <xf numFmtId="0" fontId="3" fillId="0" borderId="18" xfId="3" applyFont="1" applyBorder="1" applyAlignment="1">
      <alignment horizontal="center" vertical="center" wrapText="1"/>
    </xf>
    <xf numFmtId="0" fontId="0" fillId="0" borderId="19" xfId="0" applyBorder="1"/>
    <xf numFmtId="0" fontId="6" fillId="0" borderId="21" xfId="3" applyFont="1" applyBorder="1" applyAlignment="1">
      <alignment horizontal="center" vertical="center"/>
    </xf>
    <xf numFmtId="0" fontId="0" fillId="0" borderId="22" xfId="0" applyBorder="1"/>
    <xf numFmtId="0" fontId="0" fillId="0" borderId="23" xfId="0" applyBorder="1"/>
    <xf numFmtId="0" fontId="5" fillId="2" borderId="21" xfId="3" applyFont="1" applyFill="1" applyBorder="1" applyAlignment="1">
      <alignment horizontal="center" vertical="center"/>
    </xf>
    <xf numFmtId="164" fontId="6" fillId="0" borderId="24" xfId="3" applyNumberFormat="1" applyFont="1" applyBorder="1" applyAlignment="1">
      <alignment horizontal="center" vertical="center"/>
    </xf>
    <xf numFmtId="164" fontId="6" fillId="0" borderId="22" xfId="3" applyNumberFormat="1" applyFont="1" applyBorder="1" applyAlignment="1">
      <alignment horizontal="center" vertical="center"/>
    </xf>
    <xf numFmtId="164" fontId="6" fillId="0" borderId="23" xfId="3" applyNumberFormat="1" applyFont="1" applyBorder="1" applyAlignment="1">
      <alignment horizontal="center" vertical="center"/>
    </xf>
    <xf numFmtId="49" fontId="7" fillId="0" borderId="25" xfId="4" applyNumberFormat="1" applyFont="1" applyBorder="1" applyAlignment="1">
      <alignment horizontal="center" vertical="center" wrapText="1"/>
    </xf>
    <xf numFmtId="0" fontId="0" fillId="0" borderId="26" xfId="0" applyBorder="1"/>
    <xf numFmtId="0" fontId="6" fillId="3" borderId="27" xfId="3" applyFont="1" applyFill="1" applyBorder="1" applyAlignment="1">
      <alignment horizontal="center" vertical="center"/>
    </xf>
    <xf numFmtId="0" fontId="5" fillId="2" borderId="20" xfId="3" applyFont="1" applyFill="1" applyBorder="1" applyAlignment="1">
      <alignment horizontal="center" vertical="center" wrapText="1"/>
    </xf>
    <xf numFmtId="164" fontId="3" fillId="3" borderId="24" xfId="3" applyNumberFormat="1" applyFont="1" applyFill="1" applyBorder="1" applyAlignment="1">
      <alignment horizontal="center" vertical="center" wrapText="1"/>
    </xf>
    <xf numFmtId="164" fontId="3" fillId="3" borderId="22" xfId="3" applyNumberFormat="1" applyFont="1" applyFill="1" applyBorder="1" applyAlignment="1">
      <alignment horizontal="center" vertical="center" wrapText="1"/>
    </xf>
    <xf numFmtId="164" fontId="3" fillId="3" borderId="23" xfId="3" applyNumberFormat="1" applyFont="1" applyFill="1" applyBorder="1" applyAlignment="1">
      <alignment horizontal="center" vertical="center" wrapText="1"/>
    </xf>
    <xf numFmtId="0" fontId="5" fillId="2" borderId="21" xfId="3" applyFont="1" applyFill="1" applyBorder="1" applyAlignment="1">
      <alignment horizontal="center" vertical="center" wrapText="1"/>
    </xf>
    <xf numFmtId="166" fontId="5" fillId="2" borderId="21" xfId="2" applyNumberFormat="1" applyFont="1" applyFill="1" applyBorder="1" applyAlignment="1">
      <alignment horizontal="center" vertical="center" wrapText="1"/>
    </xf>
    <xf numFmtId="166" fontId="0" fillId="0" borderId="23" xfId="2" applyNumberFormat="1" applyFont="1" applyBorder="1"/>
    <xf numFmtId="49" fontId="5" fillId="2" borderId="21" xfId="4" applyNumberFormat="1" applyFont="1" applyFill="1" applyBorder="1" applyAlignment="1">
      <alignment horizontal="center" vertical="center" wrapText="1"/>
    </xf>
    <xf numFmtId="0" fontId="6" fillId="0" borderId="4" xfId="3" applyFont="1" applyBorder="1" applyAlignment="1">
      <alignment horizontal="center" vertical="center"/>
    </xf>
    <xf numFmtId="0" fontId="8" fillId="2" borderId="24" xfId="3" applyFont="1" applyFill="1" applyBorder="1" applyAlignment="1">
      <alignment horizontal="center" vertical="center"/>
    </xf>
    <xf numFmtId="0" fontId="11" fillId="0" borderId="27" xfId="3" applyFont="1" applyBorder="1" applyAlignment="1">
      <alignment horizontal="left" vertical="center" wrapText="1"/>
    </xf>
    <xf numFmtId="0" fontId="12" fillId="0" borderId="7" xfId="0" applyFont="1" applyBorder="1"/>
    <xf numFmtId="0" fontId="12" fillId="0" borderId="29" xfId="0" applyFont="1" applyBorder="1"/>
    <xf numFmtId="0" fontId="12" fillId="0" borderId="4" xfId="0" applyFont="1" applyBorder="1"/>
    <xf numFmtId="0" fontId="13" fillId="0" borderId="0" xfId="3" applyFont="1"/>
    <xf numFmtId="0" fontId="13" fillId="0" borderId="0" xfId="3" applyFont="1" applyAlignment="1">
      <alignment wrapText="1"/>
    </xf>
    <xf numFmtId="42" fontId="13" fillId="0" borderId="0" xfId="4" applyFont="1" applyAlignment="1">
      <alignment horizontal="left"/>
    </xf>
    <xf numFmtId="42" fontId="13" fillId="0" borderId="0" xfId="4" applyFont="1" applyAlignment="1">
      <alignment horizontal="center"/>
    </xf>
    <xf numFmtId="0" fontId="12" fillId="0" borderId="11" xfId="0" applyFont="1" applyBorder="1"/>
    <xf numFmtId="0" fontId="12" fillId="0" borderId="14" xfId="0" applyFont="1" applyBorder="1"/>
    <xf numFmtId="0" fontId="12" fillId="0" borderId="15" xfId="0" applyFont="1" applyBorder="1"/>
    <xf numFmtId="0" fontId="12" fillId="0" borderId="19" xfId="0" applyFont="1" applyBorder="1"/>
  </cellXfs>
  <cellStyles count="9">
    <cellStyle name="Bueno" xfId="6" builtinId="26"/>
    <cellStyle name="Millares" xfId="1" builtinId="3"/>
    <cellStyle name="Millares [0]" xfId="7" builtinId="6"/>
    <cellStyle name="Moneda" xfId="2" builtinId="4"/>
    <cellStyle name="Moneda [0] 2" xfId="4" xr:uid="{C4909BA8-40E9-4FF8-806B-80A871399AAF}"/>
    <cellStyle name="Normal" xfId="0" builtinId="0"/>
    <cellStyle name="Normal 3" xfId="3" xr:uid="{F33C58DC-4F99-44A2-B1C1-270C1A8428DD}"/>
    <cellStyle name="Normal 3 2" xfId="8" xr:uid="{B6CB9A97-3150-450B-971E-4777AB3431C2}"/>
    <cellStyle name="Normal 3 3" xfId="5" xr:uid="{0F7FF88A-3D41-428F-8C2E-11E5F795C47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337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19</xdr:col>
      <xdr:colOff>2071688</xdr:colOff>
      <xdr:row>2</xdr:row>
      <xdr:rowOff>123818</xdr:rowOff>
    </xdr:from>
    <xdr:to>
      <xdr:col>22</xdr:col>
      <xdr:colOff>666750</xdr:colOff>
      <xdr:row>4</xdr:row>
      <xdr:rowOff>357187</xdr:rowOff>
    </xdr:to>
    <xdr:pic>
      <xdr:nvPicPr>
        <xdr:cNvPr id="2" name="Picture 5" descr="Hospital Universitario de Santander">
          <a:extLst>
            <a:ext uri="{FF2B5EF4-FFF2-40B4-BE49-F238E27FC236}">
              <a16:creationId xmlns:a16="http://schemas.microsoft.com/office/drawing/2014/main" id="{00000000-0008-0000-0000-000002000000}"/>
            </a:ext>
          </a:extLst>
        </xdr:cNvPr>
        <xdr:cNvPicPr>
          <a:picLocks noChangeArrowheads="1"/>
        </xdr:cNvPicPr>
      </xdr:nvPicPr>
      <xdr:blipFill>
        <a:blip xmlns:r="http://schemas.openxmlformats.org/officeDocument/2006/relationships" r:embed="rId1"/>
        <a:srcRect/>
        <a:stretch>
          <a:fillRect/>
        </a:stretch>
      </xdr:blipFill>
      <xdr:spPr bwMode="auto">
        <a:xfrm>
          <a:off x="38457188" y="742943"/>
          <a:ext cx="4476750" cy="1733557"/>
        </a:xfrm>
        <a:prstGeom prst="rect">
          <a:avLst/>
        </a:prstGeom>
        <a:noFill/>
        <a:ln>
          <a:noFill/>
          <a:prstDash val="solid"/>
        </a:ln>
      </xdr:spPr>
    </xdr:pic>
    <xdr:clientData/>
  </xdr:twoCellAnchor>
  <xdr:twoCellAnchor editAs="oneCell">
    <xdr:from>
      <xdr:col>3</xdr:col>
      <xdr:colOff>567162</xdr:colOff>
      <xdr:row>2</xdr:row>
      <xdr:rowOff>104592</xdr:rowOff>
    </xdr:from>
    <xdr:to>
      <xdr:col>5</xdr:col>
      <xdr:colOff>1238243</xdr:colOff>
      <xdr:row>4</xdr:row>
      <xdr:rowOff>47624</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067350" y="723717"/>
          <a:ext cx="4028643" cy="1443220"/>
        </a:xfrm>
        <a:prstGeom prst="rect">
          <a:avLst/>
        </a:prstGeom>
        <a:ln>
          <a:prstDash val="solid"/>
        </a:ln>
      </xdr:spPr>
    </xdr:pic>
    <xdr:clientData/>
  </xdr:twoCellAnchor>
  <xdr:twoCellAnchor>
    <xdr:from>
      <xdr:col>55</xdr:col>
      <xdr:colOff>0</xdr:colOff>
      <xdr:row>0</xdr:row>
      <xdr:rowOff>0</xdr:rowOff>
    </xdr:from>
    <xdr:to>
      <xdr:col>55</xdr:col>
      <xdr:colOff>190500</xdr:colOff>
      <xdr:row>0</xdr:row>
      <xdr:rowOff>228600</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68522850" y="0"/>
          <a:ext cx="190500" cy="22860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s-CO" sz="1100" b="0" i="0" u="none" strike="noStrike" baseline="0">
              <a:solidFill>
                <a:srgbClr val="000000"/>
              </a:solidFill>
              <a:latin typeface="Calibri"/>
              <a:ea typeface="Calibri"/>
              <a:cs typeface="Calibri"/>
            </a:rPr>
            <a:t>glosashus12@sinacsc.com </a:t>
          </a:r>
        </a:p>
      </xdr:txBody>
    </xdr:sp>
    <xdr:clientData/>
  </xdr:twoCellAnchor>
  <mc:AlternateContent xmlns:mc="http://schemas.openxmlformats.org/markup-compatibility/2006">
    <mc:Choice xmlns:a14="http://schemas.microsoft.com/office/drawing/2010/main" Requires="a14">
      <xdr:twoCellAnchor>
        <xdr:from>
          <xdr:col>25</xdr:col>
          <xdr:colOff>647700</xdr:colOff>
          <xdr:row>2</xdr:row>
          <xdr:rowOff>47625</xdr:rowOff>
        </xdr:from>
        <xdr:to>
          <xdr:col>27</xdr:col>
          <xdr:colOff>1266825</xdr:colOff>
          <xdr:row>6</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CO" sz="3600" b="1" i="0" u="none" strike="noStrike" baseline="0">
                  <a:solidFill>
                    <a:srgbClr val="000000"/>
                  </a:solidFill>
                  <a:latin typeface="Calibri"/>
                  <a:ea typeface="Calibri"/>
                  <a:cs typeface="Calibri"/>
                </a:rPr>
                <a:t>IMPRIMIR ACTA EN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USUARIO%20CARTERA\Downloads\Copia%20de%20CONCILIACION%20HUS%2026%2027%20Y%2028%20ENERO.xlsx" TargetMode="External"/><Relationship Id="rId1" Type="http://schemas.openxmlformats.org/officeDocument/2006/relationships/externalLinkPath" Target="/USUARIO%20CARTERA/Downloads/Copia%20de%20CONCILIACION%20HUS%2026%2027%20Y%2028%20ENE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2"/>
      <sheetName val="Hoja1"/>
      <sheetName val="Hoja4"/>
      <sheetName val="Hoja3"/>
    </sheetNames>
    <sheetDataSet>
      <sheetData sheetId="0"/>
      <sheetData sheetId="1">
        <row r="1">
          <cell r="A1" t="str">
            <v>FACTURA</v>
          </cell>
          <cell r="C1" t="str">
            <v>VALOR FACTURA</v>
          </cell>
        </row>
        <row r="2">
          <cell r="A2" t="str">
            <v>HUS0000419699</v>
          </cell>
          <cell r="C2">
            <v>106697</v>
          </cell>
        </row>
        <row r="3">
          <cell r="A3" t="str">
            <v>HUS0000419545</v>
          </cell>
          <cell r="C3">
            <v>8154685</v>
          </cell>
        </row>
        <row r="4">
          <cell r="A4" t="str">
            <v>HUS0000420024</v>
          </cell>
          <cell r="C4">
            <v>20232778</v>
          </cell>
        </row>
        <row r="5">
          <cell r="A5" t="str">
            <v>HUS0000421295</v>
          </cell>
          <cell r="C5">
            <v>3190379</v>
          </cell>
        </row>
        <row r="6">
          <cell r="A6" t="str">
            <v>HUS0000421733</v>
          </cell>
          <cell r="C6">
            <v>20627343</v>
          </cell>
        </row>
        <row r="7">
          <cell r="A7" t="str">
            <v>HUS0000421956</v>
          </cell>
          <cell r="C7">
            <v>55315347</v>
          </cell>
        </row>
        <row r="8">
          <cell r="A8" t="str">
            <v>HUS0000421956</v>
          </cell>
          <cell r="C8">
            <v>55315347</v>
          </cell>
        </row>
        <row r="9">
          <cell r="A9" t="str">
            <v>HUS0000421956</v>
          </cell>
          <cell r="C9">
            <v>55315347</v>
          </cell>
        </row>
        <row r="10">
          <cell r="A10" t="str">
            <v>HUS0000420107</v>
          </cell>
          <cell r="C10">
            <v>33560952</v>
          </cell>
        </row>
        <row r="11">
          <cell r="A11" t="str">
            <v>HUS0000421741</v>
          </cell>
          <cell r="C11">
            <v>62123956</v>
          </cell>
        </row>
        <row r="12">
          <cell r="A12" t="str">
            <v>HUS0000422238</v>
          </cell>
          <cell r="C12">
            <v>22099428</v>
          </cell>
        </row>
        <row r="13">
          <cell r="A13" t="str">
            <v>HUS0000422238</v>
          </cell>
          <cell r="C13">
            <v>22099428</v>
          </cell>
        </row>
        <row r="14">
          <cell r="A14" t="str">
            <v>HUS0000422238</v>
          </cell>
          <cell r="C14">
            <v>22099428</v>
          </cell>
        </row>
        <row r="15">
          <cell r="A15" t="str">
            <v>HUS0000422238</v>
          </cell>
          <cell r="C15">
            <v>22099428</v>
          </cell>
        </row>
        <row r="16">
          <cell r="A16" t="str">
            <v>HUS0000422238</v>
          </cell>
          <cell r="C16">
            <v>22099428</v>
          </cell>
        </row>
        <row r="17">
          <cell r="A17" t="str">
            <v>HUS0000422238</v>
          </cell>
          <cell r="C17">
            <v>22099428</v>
          </cell>
        </row>
        <row r="18">
          <cell r="A18" t="str">
            <v>HUS0000422238</v>
          </cell>
          <cell r="C18">
            <v>22099428</v>
          </cell>
        </row>
        <row r="19">
          <cell r="A19" t="str">
            <v>HUS0000422238</v>
          </cell>
          <cell r="C19">
            <v>22099428</v>
          </cell>
        </row>
        <row r="20">
          <cell r="A20" t="str">
            <v>HUS0000426076</v>
          </cell>
          <cell r="C20">
            <v>62634156</v>
          </cell>
        </row>
        <row r="21">
          <cell r="A21" t="str">
            <v>HUS0000426076</v>
          </cell>
          <cell r="C21">
            <v>62634156</v>
          </cell>
        </row>
        <row r="22">
          <cell r="A22" t="str">
            <v>HUS0000426076</v>
          </cell>
          <cell r="C22">
            <v>62634156</v>
          </cell>
        </row>
        <row r="23">
          <cell r="A23" t="str">
            <v>HUS0000426076</v>
          </cell>
          <cell r="C23">
            <v>62634156</v>
          </cell>
        </row>
        <row r="24">
          <cell r="A24" t="str">
            <v>HUS0000426037</v>
          </cell>
          <cell r="C24">
            <v>45083083</v>
          </cell>
        </row>
        <row r="25">
          <cell r="A25" t="str">
            <v>HUS0000426037</v>
          </cell>
          <cell r="C25">
            <v>45083083</v>
          </cell>
        </row>
        <row r="26">
          <cell r="A26" t="str">
            <v>HUS0000426037</v>
          </cell>
          <cell r="C26">
            <v>45083083</v>
          </cell>
        </row>
        <row r="27">
          <cell r="A27" t="str">
            <v>HUS0000426037</v>
          </cell>
          <cell r="C27">
            <v>45083083</v>
          </cell>
        </row>
        <row r="28">
          <cell r="A28" t="str">
            <v>HUS0000426037</v>
          </cell>
          <cell r="C28">
            <v>45083083</v>
          </cell>
        </row>
        <row r="29">
          <cell r="A29" t="str">
            <v>HUS0000426037</v>
          </cell>
          <cell r="C29">
            <v>45083083</v>
          </cell>
        </row>
        <row r="30">
          <cell r="A30" t="str">
            <v>HUS0000425903</v>
          </cell>
          <cell r="C30">
            <v>13888066</v>
          </cell>
        </row>
        <row r="31">
          <cell r="A31" t="str">
            <v>HUS0000425903</v>
          </cell>
          <cell r="C31">
            <v>13888066</v>
          </cell>
        </row>
        <row r="32">
          <cell r="A32" t="str">
            <v>HUS0000425903</v>
          </cell>
          <cell r="C32">
            <v>13888066</v>
          </cell>
        </row>
        <row r="33">
          <cell r="A33" t="str">
            <v>HUS0000426045</v>
          </cell>
          <cell r="C33">
            <v>34668018</v>
          </cell>
        </row>
        <row r="34">
          <cell r="A34" t="str">
            <v>HUS0000426045</v>
          </cell>
          <cell r="C34">
            <v>34668018</v>
          </cell>
        </row>
        <row r="35">
          <cell r="A35" t="str">
            <v>HUS0000426045</v>
          </cell>
          <cell r="C35">
            <v>34668018</v>
          </cell>
        </row>
        <row r="36">
          <cell r="A36" t="str">
            <v>HUS0000423680</v>
          </cell>
          <cell r="C36">
            <v>26179912</v>
          </cell>
        </row>
        <row r="37">
          <cell r="A37" t="str">
            <v>HUS0000423680</v>
          </cell>
          <cell r="C37">
            <v>26179912</v>
          </cell>
        </row>
        <row r="38">
          <cell r="A38" t="str">
            <v>HUS0000421920</v>
          </cell>
          <cell r="C38">
            <v>24829939</v>
          </cell>
        </row>
        <row r="39">
          <cell r="A39" t="str">
            <v>HUS0000421920</v>
          </cell>
          <cell r="C39">
            <v>24829939</v>
          </cell>
        </row>
        <row r="40">
          <cell r="A40" t="str">
            <v>HUS0000423686</v>
          </cell>
          <cell r="C40">
            <v>101352213</v>
          </cell>
        </row>
        <row r="41">
          <cell r="A41" t="str">
            <v>HUS0000423686</v>
          </cell>
          <cell r="C41">
            <v>101352213</v>
          </cell>
        </row>
        <row r="42">
          <cell r="A42" t="str">
            <v>HUS0000423686</v>
          </cell>
          <cell r="C42">
            <v>101352213</v>
          </cell>
        </row>
        <row r="43">
          <cell r="A43" t="str">
            <v>HUS0000423686</v>
          </cell>
          <cell r="C43">
            <v>101352213</v>
          </cell>
        </row>
        <row r="44">
          <cell r="A44" t="str">
            <v>HUS0000423686</v>
          </cell>
          <cell r="C44">
            <v>101352213</v>
          </cell>
        </row>
        <row r="45">
          <cell r="A45" t="str">
            <v>HUS0000423686</v>
          </cell>
          <cell r="C45">
            <v>101352213</v>
          </cell>
        </row>
        <row r="46">
          <cell r="A46" t="str">
            <v>HUS0000423686</v>
          </cell>
          <cell r="C46">
            <v>101352213</v>
          </cell>
        </row>
        <row r="47">
          <cell r="A47" t="str">
            <v>HUS0000423686</v>
          </cell>
          <cell r="C47">
            <v>101352213</v>
          </cell>
        </row>
        <row r="48">
          <cell r="A48" t="str">
            <v>HUS0000423686</v>
          </cell>
          <cell r="C48">
            <v>101352213</v>
          </cell>
        </row>
        <row r="49">
          <cell r="A49" t="str">
            <v>HUS0000426969</v>
          </cell>
          <cell r="C49">
            <v>2083997</v>
          </cell>
        </row>
        <row r="50">
          <cell r="A50" t="str">
            <v>HUS0000429174</v>
          </cell>
          <cell r="C50">
            <v>82085</v>
          </cell>
        </row>
        <row r="51">
          <cell r="A51" t="str">
            <v>HUS0000429257</v>
          </cell>
          <cell r="C51">
            <v>106697</v>
          </cell>
        </row>
        <row r="52">
          <cell r="A52" t="str">
            <v>HUS0000431849</v>
          </cell>
          <cell r="C52">
            <v>82085</v>
          </cell>
        </row>
        <row r="53">
          <cell r="A53" t="str">
            <v>HUS0000432182</v>
          </cell>
          <cell r="C53">
            <v>106697</v>
          </cell>
        </row>
        <row r="54">
          <cell r="A54" t="str">
            <v>HUS0000432192</v>
          </cell>
          <cell r="C54">
            <v>231405</v>
          </cell>
        </row>
        <row r="55">
          <cell r="A55" t="str">
            <v>HUS0000428425</v>
          </cell>
          <cell r="C55">
            <v>17268985</v>
          </cell>
        </row>
        <row r="56">
          <cell r="A56" t="str">
            <v>HUS0000428425</v>
          </cell>
          <cell r="C56">
            <v>17268985</v>
          </cell>
        </row>
        <row r="57">
          <cell r="A57" t="str">
            <v>HUS0000428425</v>
          </cell>
          <cell r="C57">
            <v>17268985</v>
          </cell>
        </row>
        <row r="58">
          <cell r="A58" t="str">
            <v>HUS0000428523</v>
          </cell>
          <cell r="C58">
            <v>105004293</v>
          </cell>
        </row>
        <row r="59">
          <cell r="A59" t="str">
            <v>HUS0000428523</v>
          </cell>
          <cell r="C59">
            <v>105004293</v>
          </cell>
        </row>
        <row r="60">
          <cell r="A60" t="str">
            <v>HUS0000429158</v>
          </cell>
          <cell r="C60">
            <v>21659339</v>
          </cell>
        </row>
        <row r="61">
          <cell r="A61" t="str">
            <v>HUS0000429158</v>
          </cell>
          <cell r="C61">
            <v>21659339</v>
          </cell>
        </row>
        <row r="62">
          <cell r="A62" t="str">
            <v>HUS0000429158</v>
          </cell>
          <cell r="C62">
            <v>21659339</v>
          </cell>
        </row>
        <row r="63">
          <cell r="A63" t="str">
            <v>HUS0000429158</v>
          </cell>
          <cell r="C63">
            <v>21659339</v>
          </cell>
        </row>
        <row r="64">
          <cell r="A64" t="str">
            <v>HUS0000432724</v>
          </cell>
          <cell r="C64">
            <v>10128740</v>
          </cell>
        </row>
        <row r="65">
          <cell r="A65" t="str">
            <v>HUS0000432444</v>
          </cell>
          <cell r="C65">
            <v>38909145</v>
          </cell>
        </row>
        <row r="66">
          <cell r="A66" t="str">
            <v>HUS0000432332</v>
          </cell>
          <cell r="C66">
            <v>134660649</v>
          </cell>
        </row>
        <row r="67">
          <cell r="A67" t="str">
            <v>HUS0000432332</v>
          </cell>
          <cell r="C67">
            <v>134660649</v>
          </cell>
        </row>
        <row r="68">
          <cell r="A68" t="str">
            <v>HUS0000432332</v>
          </cell>
          <cell r="C68">
            <v>134660649</v>
          </cell>
        </row>
        <row r="69">
          <cell r="A69" t="str">
            <v>HUS0000432332</v>
          </cell>
          <cell r="C69">
            <v>134660649</v>
          </cell>
        </row>
        <row r="70">
          <cell r="A70" t="str">
            <v>HUS0000432332</v>
          </cell>
          <cell r="C70">
            <v>134660649</v>
          </cell>
        </row>
        <row r="71">
          <cell r="A71" t="str">
            <v>HUS0000432332</v>
          </cell>
          <cell r="C71">
            <v>134660649</v>
          </cell>
        </row>
        <row r="72">
          <cell r="A72" t="str">
            <v>HUS0000432332</v>
          </cell>
          <cell r="C72">
            <v>134660649</v>
          </cell>
        </row>
        <row r="73">
          <cell r="A73" t="str">
            <v>HUS0000428860</v>
          </cell>
          <cell r="C73">
            <v>87702</v>
          </cell>
        </row>
        <row r="74">
          <cell r="A74" t="str">
            <v>HUS0000429474</v>
          </cell>
          <cell r="C74">
            <v>401149</v>
          </cell>
        </row>
        <row r="75">
          <cell r="A75" t="str">
            <v xml:space="preserve"> </v>
          </cell>
          <cell r="C75">
            <v>9298784</v>
          </cell>
        </row>
        <row r="76">
          <cell r="A76" t="str">
            <v>HUS0000432263</v>
          </cell>
          <cell r="C76">
            <v>9298784</v>
          </cell>
        </row>
        <row r="77">
          <cell r="A77" t="str">
            <v>HUS0000431771</v>
          </cell>
          <cell r="C77">
            <v>110200305</v>
          </cell>
        </row>
        <row r="78">
          <cell r="A78" t="str">
            <v>HUS0000431771</v>
          </cell>
          <cell r="C78">
            <v>110200305</v>
          </cell>
        </row>
        <row r="79">
          <cell r="A79" t="str">
            <v>HUS0000431771</v>
          </cell>
          <cell r="C79">
            <v>110200305</v>
          </cell>
        </row>
        <row r="80">
          <cell r="A80" t="str">
            <v>HUS0000431771</v>
          </cell>
          <cell r="C80">
            <v>110200305</v>
          </cell>
        </row>
        <row r="81">
          <cell r="A81" t="str">
            <v>HUS0000431771</v>
          </cell>
          <cell r="C81">
            <v>110200305</v>
          </cell>
        </row>
        <row r="82">
          <cell r="A82" t="str">
            <v>HUS0000431771</v>
          </cell>
          <cell r="C82">
            <v>110200305</v>
          </cell>
        </row>
        <row r="83">
          <cell r="A83" t="str">
            <v>HUS0000431771</v>
          </cell>
          <cell r="C83">
            <v>110200305</v>
          </cell>
        </row>
        <row r="84">
          <cell r="A84" t="str">
            <v>HUS0000431771</v>
          </cell>
          <cell r="C84">
            <v>110200305</v>
          </cell>
        </row>
        <row r="85">
          <cell r="A85" t="str">
            <v>HUS0000431771</v>
          </cell>
          <cell r="C85">
            <v>110200305</v>
          </cell>
        </row>
        <row r="86">
          <cell r="A86" t="str">
            <v>HUS0000431771</v>
          </cell>
          <cell r="C86">
            <v>110200305</v>
          </cell>
        </row>
        <row r="87">
          <cell r="A87" t="str">
            <v>HUS0000431771</v>
          </cell>
          <cell r="C87">
            <v>110200305</v>
          </cell>
        </row>
        <row r="88">
          <cell r="A88" t="str">
            <v>HUS0000431771</v>
          </cell>
          <cell r="C88">
            <v>110200305</v>
          </cell>
        </row>
        <row r="89">
          <cell r="A89" t="str">
            <v>HUS0000433664</v>
          </cell>
          <cell r="C89">
            <v>68409212</v>
          </cell>
        </row>
        <row r="90">
          <cell r="A90" t="str">
            <v>HUS0000433664</v>
          </cell>
          <cell r="C90">
            <v>68409212</v>
          </cell>
        </row>
        <row r="91">
          <cell r="A91" t="str">
            <v>HUS0000433664</v>
          </cell>
          <cell r="C91">
            <v>68409212</v>
          </cell>
        </row>
        <row r="92">
          <cell r="A92" t="str">
            <v>HUS0000433664</v>
          </cell>
          <cell r="C92">
            <v>68409212</v>
          </cell>
        </row>
        <row r="93">
          <cell r="A93" t="str">
            <v>HUS0000433664</v>
          </cell>
          <cell r="C93">
            <v>68409212</v>
          </cell>
        </row>
        <row r="94">
          <cell r="A94" t="str">
            <v>HUS0000433664</v>
          </cell>
          <cell r="C94">
            <v>68409212</v>
          </cell>
        </row>
        <row r="95">
          <cell r="A95" t="str">
            <v>HUS0000433664</v>
          </cell>
          <cell r="C95">
            <v>68409212</v>
          </cell>
        </row>
        <row r="96">
          <cell r="A96" t="str">
            <v>HUS0000433664</v>
          </cell>
          <cell r="C96">
            <v>68409212</v>
          </cell>
        </row>
        <row r="97">
          <cell r="A97" t="str">
            <v>HUS0000433664</v>
          </cell>
          <cell r="C97">
            <v>68409212</v>
          </cell>
        </row>
        <row r="98">
          <cell r="A98" t="str">
            <v>HUS0000433664</v>
          </cell>
          <cell r="C98">
            <v>68409212</v>
          </cell>
        </row>
        <row r="99">
          <cell r="A99" t="str">
            <v>HUS0000434167</v>
          </cell>
          <cell r="C99">
            <v>106697</v>
          </cell>
        </row>
        <row r="100">
          <cell r="A100" t="str">
            <v>HUS0000435634</v>
          </cell>
          <cell r="C100">
            <v>82085</v>
          </cell>
        </row>
        <row r="101">
          <cell r="A101" t="str">
            <v>HUS0000433161</v>
          </cell>
          <cell r="C101">
            <v>1112776</v>
          </cell>
        </row>
        <row r="102">
          <cell r="A102" t="str">
            <v>HUS0000434018</v>
          </cell>
          <cell r="C102">
            <v>1701716</v>
          </cell>
        </row>
        <row r="103">
          <cell r="A103" t="str">
            <v>HUS0000434180</v>
          </cell>
          <cell r="C103">
            <v>556388</v>
          </cell>
        </row>
        <row r="104">
          <cell r="A104" t="str">
            <v>HUS0000434698</v>
          </cell>
          <cell r="C104">
            <v>1894348</v>
          </cell>
        </row>
        <row r="105">
          <cell r="A105" t="str">
            <v>HUS0000429731</v>
          </cell>
          <cell r="C105">
            <v>65992644</v>
          </cell>
        </row>
        <row r="106">
          <cell r="A106" t="str">
            <v>HUS0000429731</v>
          </cell>
          <cell r="C106">
            <v>65992644</v>
          </cell>
        </row>
        <row r="107">
          <cell r="A107" t="str">
            <v>HUS0000429731</v>
          </cell>
          <cell r="C107">
            <v>65992644</v>
          </cell>
        </row>
        <row r="108">
          <cell r="A108" t="str">
            <v>HUS0000429731</v>
          </cell>
          <cell r="C108">
            <v>65992644</v>
          </cell>
        </row>
        <row r="109">
          <cell r="A109" t="str">
            <v>HUS0000432884</v>
          </cell>
          <cell r="C109">
            <v>88888445</v>
          </cell>
        </row>
        <row r="110">
          <cell r="A110" t="str">
            <v>HUS0000432884</v>
          </cell>
          <cell r="C110">
            <v>88888445</v>
          </cell>
        </row>
        <row r="111">
          <cell r="A111" t="str">
            <v>HUS0000432884</v>
          </cell>
          <cell r="C111">
            <v>88888445</v>
          </cell>
        </row>
        <row r="112">
          <cell r="A112" t="str">
            <v>HUS0000432884</v>
          </cell>
          <cell r="C112">
            <v>88888445</v>
          </cell>
        </row>
        <row r="113">
          <cell r="A113" t="str">
            <v>HUS0000432884</v>
          </cell>
          <cell r="C113">
            <v>88888445</v>
          </cell>
        </row>
        <row r="114">
          <cell r="A114" t="str">
            <v>HUS0000435139</v>
          </cell>
          <cell r="C114">
            <v>3267725</v>
          </cell>
        </row>
        <row r="115">
          <cell r="A115" t="str">
            <v>HUS0000435139</v>
          </cell>
          <cell r="C115">
            <v>3267725</v>
          </cell>
        </row>
        <row r="116">
          <cell r="A116" t="str">
            <v>HUS0000435485</v>
          </cell>
          <cell r="C116">
            <v>27102523</v>
          </cell>
        </row>
        <row r="117">
          <cell r="A117" t="str">
            <v>HUS0000432005</v>
          </cell>
          <cell r="C117">
            <v>82085</v>
          </cell>
        </row>
        <row r="118">
          <cell r="A118" t="str">
            <v>HUS0000432159</v>
          </cell>
          <cell r="C118">
            <v>106697</v>
          </cell>
        </row>
        <row r="119">
          <cell r="A119" t="str">
            <v>HUS0000432871</v>
          </cell>
          <cell r="C119">
            <v>82085</v>
          </cell>
        </row>
        <row r="120">
          <cell r="A120" t="str">
            <v>HUS0000439341</v>
          </cell>
          <cell r="C120">
            <v>106697</v>
          </cell>
        </row>
        <row r="121">
          <cell r="A121" t="str">
            <v>HUS0000439349</v>
          </cell>
          <cell r="C121">
            <v>82085</v>
          </cell>
        </row>
        <row r="122">
          <cell r="A122" t="str">
            <v>HUS0000439384</v>
          </cell>
          <cell r="C122">
            <v>106697</v>
          </cell>
        </row>
        <row r="123">
          <cell r="A123" t="str">
            <v>HUS0000439423</v>
          </cell>
          <cell r="C123">
            <v>106697</v>
          </cell>
        </row>
        <row r="124">
          <cell r="A124" t="str">
            <v>HUS0000437218</v>
          </cell>
          <cell r="C124">
            <v>24970048</v>
          </cell>
        </row>
        <row r="125">
          <cell r="A125" t="str">
            <v>HUS0000437559</v>
          </cell>
          <cell r="C125">
            <v>43568239</v>
          </cell>
        </row>
        <row r="126">
          <cell r="A126" t="str">
            <v>HUS0000437559</v>
          </cell>
          <cell r="C126">
            <v>43568239</v>
          </cell>
        </row>
        <row r="127">
          <cell r="A127" t="str">
            <v>HUS0000439787</v>
          </cell>
          <cell r="C127">
            <v>1255305</v>
          </cell>
        </row>
        <row r="128">
          <cell r="A128" t="str">
            <v>HUS0000439787</v>
          </cell>
          <cell r="C128">
            <v>1255305</v>
          </cell>
        </row>
        <row r="129">
          <cell r="A129" t="str">
            <v>HUS0000441292</v>
          </cell>
          <cell r="C129">
            <v>82085</v>
          </cell>
        </row>
        <row r="130">
          <cell r="A130" t="str">
            <v>HUS0000417459</v>
          </cell>
          <cell r="C130">
            <v>16632959</v>
          </cell>
        </row>
        <row r="131">
          <cell r="A131" t="str">
            <v>HUS0000417459</v>
          </cell>
          <cell r="C131">
            <v>16632959</v>
          </cell>
        </row>
        <row r="132">
          <cell r="A132" t="str">
            <v>HUS0000412903</v>
          </cell>
          <cell r="C132">
            <v>11817412</v>
          </cell>
        </row>
        <row r="133">
          <cell r="A133" t="str">
            <v>HUS0000412682</v>
          </cell>
          <cell r="C133">
            <v>25481600</v>
          </cell>
        </row>
        <row r="134">
          <cell r="A134" t="str">
            <v>HUS0000380363</v>
          </cell>
          <cell r="C134">
            <v>63687</v>
          </cell>
        </row>
        <row r="135">
          <cell r="A135" t="str">
            <v>HUS0000402399</v>
          </cell>
          <cell r="C135">
            <v>665028</v>
          </cell>
        </row>
        <row r="136">
          <cell r="A136" t="str">
            <v>HUS0000402399</v>
          </cell>
          <cell r="C136">
            <v>665028</v>
          </cell>
        </row>
        <row r="137">
          <cell r="A137" t="str">
            <v>HUS0000415683</v>
          </cell>
          <cell r="C137">
            <v>6404609</v>
          </cell>
        </row>
        <row r="138">
          <cell r="A138" t="str">
            <v>HUS0000415897</v>
          </cell>
          <cell r="C138">
            <v>6913001</v>
          </cell>
        </row>
        <row r="139">
          <cell r="A139" t="str">
            <v>HUS0000416671</v>
          </cell>
          <cell r="C139">
            <v>20880710</v>
          </cell>
        </row>
        <row r="140">
          <cell r="A140" t="str">
            <v>HUS0000416671</v>
          </cell>
          <cell r="C140">
            <v>20880710</v>
          </cell>
        </row>
        <row r="141">
          <cell r="A141" t="str">
            <v>HUS0000416671</v>
          </cell>
          <cell r="C141">
            <v>20880710</v>
          </cell>
        </row>
        <row r="142">
          <cell r="A142" t="str">
            <v>HUS0000417269</v>
          </cell>
          <cell r="C142">
            <v>20079205</v>
          </cell>
        </row>
        <row r="143">
          <cell r="A143" t="str">
            <v>HUS0000420099</v>
          </cell>
          <cell r="C143">
            <v>3757260</v>
          </cell>
        </row>
        <row r="144">
          <cell r="A144" t="str">
            <v>HUS0000421733</v>
          </cell>
          <cell r="C144">
            <v>20627343</v>
          </cell>
        </row>
        <row r="145">
          <cell r="A145" t="str">
            <v>HUS0000418576</v>
          </cell>
          <cell r="C145">
            <v>2518999</v>
          </cell>
        </row>
        <row r="146">
          <cell r="A146" t="str">
            <v>HUS0000418576</v>
          </cell>
          <cell r="C146">
            <v>2518999</v>
          </cell>
        </row>
        <row r="147">
          <cell r="A147" t="str">
            <v>HUS0000420160</v>
          </cell>
          <cell r="C147">
            <v>4170179</v>
          </cell>
        </row>
        <row r="148">
          <cell r="A148" t="str">
            <v>HUS0000423050</v>
          </cell>
          <cell r="C148">
            <v>13449931</v>
          </cell>
        </row>
        <row r="149">
          <cell r="A149" t="str">
            <v>HUS0000428523</v>
          </cell>
          <cell r="C149">
            <v>105004293</v>
          </cell>
        </row>
        <row r="150">
          <cell r="A150" t="str">
            <v>HUS0000428523</v>
          </cell>
          <cell r="C150">
            <v>105004293</v>
          </cell>
        </row>
        <row r="151">
          <cell r="A151" t="str">
            <v>HUS0000428523</v>
          </cell>
          <cell r="C151">
            <v>105004293</v>
          </cell>
        </row>
        <row r="152">
          <cell r="A152" t="str">
            <v>HUS0000428523</v>
          </cell>
          <cell r="C152">
            <v>105004293</v>
          </cell>
        </row>
        <row r="153">
          <cell r="A153" t="str">
            <v>HUS0000428523</v>
          </cell>
          <cell r="C153">
            <v>105004293</v>
          </cell>
        </row>
        <row r="154">
          <cell r="A154" t="str">
            <v>HUS0000431722</v>
          </cell>
          <cell r="C154">
            <v>1263205</v>
          </cell>
        </row>
        <row r="155">
          <cell r="A155" t="str">
            <v>HUS0000432292</v>
          </cell>
          <cell r="C155">
            <v>11941644</v>
          </cell>
        </row>
        <row r="156">
          <cell r="A156" t="str">
            <v>HUS0000432884</v>
          </cell>
          <cell r="C156">
            <v>88888445</v>
          </cell>
        </row>
        <row r="157">
          <cell r="A157" t="str">
            <v>HUS0000433763</v>
          </cell>
          <cell r="C157">
            <v>29422665</v>
          </cell>
        </row>
        <row r="158">
          <cell r="A158" t="str">
            <v>HUS0000434322</v>
          </cell>
          <cell r="C158">
            <v>27622810</v>
          </cell>
        </row>
        <row r="159">
          <cell r="A159" t="str">
            <v>HUS0000435046</v>
          </cell>
          <cell r="C159">
            <v>11859085</v>
          </cell>
        </row>
        <row r="160">
          <cell r="A160" t="str">
            <v>HUS0000435485</v>
          </cell>
          <cell r="C160">
            <v>27102523</v>
          </cell>
        </row>
        <row r="161">
          <cell r="A161" t="str">
            <v>HUS0000435492</v>
          </cell>
          <cell r="C161">
            <v>25704353</v>
          </cell>
        </row>
        <row r="162">
          <cell r="A162" t="str">
            <v>HUS0000435633</v>
          </cell>
          <cell r="C162">
            <v>5935091</v>
          </cell>
        </row>
        <row r="163">
          <cell r="A163" t="str">
            <v>HUS0000439635</v>
          </cell>
          <cell r="C163">
            <v>8895762</v>
          </cell>
        </row>
        <row r="164">
          <cell r="A164" t="str">
            <v>HUS0000439635</v>
          </cell>
          <cell r="C164">
            <v>8895762</v>
          </cell>
        </row>
        <row r="165">
          <cell r="A165" t="str">
            <v>HUS0000435811</v>
          </cell>
          <cell r="C165">
            <v>3677286</v>
          </cell>
        </row>
        <row r="166">
          <cell r="A166" t="str">
            <v>HUS0000435811</v>
          </cell>
          <cell r="C166">
            <v>3677286</v>
          </cell>
        </row>
        <row r="167">
          <cell r="A167" t="str">
            <v>HUS0000437357</v>
          </cell>
          <cell r="C167">
            <v>3795799</v>
          </cell>
        </row>
        <row r="168">
          <cell r="A168" t="str">
            <v>HUS0000437582</v>
          </cell>
          <cell r="C168">
            <v>110245982</v>
          </cell>
        </row>
        <row r="169">
          <cell r="A169" t="str">
            <v>HUS0000437582</v>
          </cell>
          <cell r="C169">
            <v>110245982</v>
          </cell>
        </row>
        <row r="170">
          <cell r="A170" t="str">
            <v>HUS0000414642</v>
          </cell>
          <cell r="C170">
            <v>11426409</v>
          </cell>
        </row>
        <row r="171">
          <cell r="A171" t="str">
            <v>HUS0000418147</v>
          </cell>
          <cell r="C171">
            <v>6637772</v>
          </cell>
        </row>
        <row r="172">
          <cell r="A172" t="str">
            <v>HUS0000418147</v>
          </cell>
          <cell r="C172">
            <v>6637772</v>
          </cell>
        </row>
        <row r="173">
          <cell r="A173" t="str">
            <v>HUS0000433131</v>
          </cell>
          <cell r="C173">
            <v>12120600</v>
          </cell>
        </row>
        <row r="174">
          <cell r="A174" t="str">
            <v>HUS0000440319</v>
          </cell>
          <cell r="C174">
            <v>35898903</v>
          </cell>
        </row>
        <row r="175">
          <cell r="A175" t="str">
            <v>HUS0000440319</v>
          </cell>
          <cell r="C175">
            <v>35898903</v>
          </cell>
        </row>
        <row r="176">
          <cell r="A176" t="str">
            <v>HUS0000440319</v>
          </cell>
          <cell r="C176">
            <v>35898903</v>
          </cell>
        </row>
        <row r="177">
          <cell r="A177" t="str">
            <v>HUS0000440319</v>
          </cell>
          <cell r="C177">
            <v>35898903</v>
          </cell>
        </row>
        <row r="178">
          <cell r="A178" t="str">
            <v>HUS0000440319</v>
          </cell>
          <cell r="C178">
            <v>35898903</v>
          </cell>
        </row>
        <row r="179">
          <cell r="A179" t="str">
            <v>HUS0000440319</v>
          </cell>
          <cell r="C179">
            <v>35898903</v>
          </cell>
        </row>
        <row r="180">
          <cell r="A180" t="str">
            <v>HUS0000440319</v>
          </cell>
          <cell r="C180">
            <v>35898903</v>
          </cell>
        </row>
        <row r="181">
          <cell r="A181" t="str">
            <v>HUS0000440319</v>
          </cell>
          <cell r="C181">
            <v>35898903</v>
          </cell>
        </row>
        <row r="182">
          <cell r="A182" t="str">
            <v>HUS0000440328</v>
          </cell>
          <cell r="C182">
            <v>19152692</v>
          </cell>
        </row>
        <row r="183">
          <cell r="A183" t="str">
            <v>HUS0000440328</v>
          </cell>
          <cell r="C183">
            <v>19152692</v>
          </cell>
        </row>
        <row r="184">
          <cell r="A184" t="str">
            <v>HUS0000440328</v>
          </cell>
          <cell r="C184">
            <v>19152692</v>
          </cell>
        </row>
        <row r="185">
          <cell r="A185" t="str">
            <v>HUS0000446260</v>
          </cell>
          <cell r="C185">
            <v>34214349</v>
          </cell>
        </row>
        <row r="186">
          <cell r="A186" t="str">
            <v>HUS0000446260</v>
          </cell>
          <cell r="C186">
            <v>34214349</v>
          </cell>
        </row>
        <row r="187">
          <cell r="A187" t="str">
            <v>HUS0000446260</v>
          </cell>
          <cell r="C187">
            <v>34214349</v>
          </cell>
        </row>
        <row r="188">
          <cell r="A188" t="str">
            <v>HUS0000446260</v>
          </cell>
          <cell r="C188">
            <v>34214349</v>
          </cell>
        </row>
        <row r="189">
          <cell r="A189" t="str">
            <v>HUS0000446260</v>
          </cell>
          <cell r="C189">
            <v>34214349</v>
          </cell>
        </row>
        <row r="190">
          <cell r="A190" t="str">
            <v>HUS0000446260</v>
          </cell>
          <cell r="C190">
            <v>34214349</v>
          </cell>
        </row>
        <row r="191">
          <cell r="A191" t="str">
            <v>HUS0000437582</v>
          </cell>
          <cell r="C191">
            <v>110245982</v>
          </cell>
        </row>
        <row r="192">
          <cell r="A192" t="str">
            <v>HUS0000437582</v>
          </cell>
          <cell r="C192">
            <v>110245982</v>
          </cell>
        </row>
        <row r="193">
          <cell r="A193" t="str">
            <v>HUS0000437582</v>
          </cell>
          <cell r="C193">
            <v>110245982</v>
          </cell>
        </row>
        <row r="194">
          <cell r="A194" t="str">
            <v>HUS0000420690</v>
          </cell>
          <cell r="C194">
            <v>16131730</v>
          </cell>
        </row>
        <row r="195">
          <cell r="A195" t="str">
            <v>HUS0000420690</v>
          </cell>
          <cell r="C195">
            <v>16131730</v>
          </cell>
        </row>
        <row r="196">
          <cell r="A196" t="str">
            <v>HUS0000420690</v>
          </cell>
          <cell r="C196">
            <v>16131730</v>
          </cell>
        </row>
        <row r="197">
          <cell r="A197" t="str">
            <v>HUS0000420690</v>
          </cell>
          <cell r="C197">
            <v>16131730</v>
          </cell>
        </row>
        <row r="198">
          <cell r="A198" t="str">
            <v>HUS0000420690</v>
          </cell>
          <cell r="C198">
            <v>16131730</v>
          </cell>
        </row>
        <row r="199">
          <cell r="A199" t="str">
            <v>HUS0000420690</v>
          </cell>
          <cell r="C199">
            <v>16131730</v>
          </cell>
        </row>
        <row r="200">
          <cell r="A200" t="str">
            <v>HUS0000420690</v>
          </cell>
          <cell r="C200">
            <v>16131730</v>
          </cell>
        </row>
        <row r="201">
          <cell r="A201" t="str">
            <v>HUS0000420690</v>
          </cell>
          <cell r="C201">
            <v>16131730</v>
          </cell>
        </row>
        <row r="202">
          <cell r="A202" t="str">
            <v>HUS0000420690</v>
          </cell>
          <cell r="C202">
            <v>16131730</v>
          </cell>
        </row>
        <row r="203">
          <cell r="A203" t="str">
            <v>HUS0000420690</v>
          </cell>
          <cell r="C203">
            <v>16131730</v>
          </cell>
        </row>
        <row r="204">
          <cell r="A204" t="str">
            <v>HUS0000420690</v>
          </cell>
          <cell r="C204">
            <v>16131730</v>
          </cell>
        </row>
        <row r="205">
          <cell r="A205" t="str">
            <v>HUS0000420690</v>
          </cell>
          <cell r="C205">
            <v>16131730</v>
          </cell>
        </row>
        <row r="206">
          <cell r="A206" t="str">
            <v>HUS0000420690</v>
          </cell>
          <cell r="C206">
            <v>16131730</v>
          </cell>
        </row>
        <row r="207">
          <cell r="A207" t="str">
            <v>HUS0000420690</v>
          </cell>
          <cell r="C207">
            <v>16131730</v>
          </cell>
        </row>
        <row r="208">
          <cell r="A208" t="str">
            <v>HUS0000420690</v>
          </cell>
          <cell r="C208">
            <v>16131730</v>
          </cell>
        </row>
        <row r="209">
          <cell r="A209" t="str">
            <v>HUS0000420690</v>
          </cell>
          <cell r="C209">
            <v>16131730</v>
          </cell>
        </row>
        <row r="210">
          <cell r="A210" t="str">
            <v>HUS0000420690</v>
          </cell>
          <cell r="C210">
            <v>16131730</v>
          </cell>
        </row>
        <row r="211">
          <cell r="A211" t="str">
            <v>HUS0000420690</v>
          </cell>
          <cell r="C211">
            <v>16131730</v>
          </cell>
        </row>
        <row r="212">
          <cell r="A212" t="str">
            <v>HUS0000420690</v>
          </cell>
          <cell r="C212">
            <v>16131730</v>
          </cell>
        </row>
        <row r="213">
          <cell r="A213" t="str">
            <v>HUS0000426013</v>
          </cell>
          <cell r="C213">
            <v>32563634</v>
          </cell>
        </row>
        <row r="214">
          <cell r="A214" t="str">
            <v>HUS0000417459</v>
          </cell>
          <cell r="C214">
            <v>16632959</v>
          </cell>
        </row>
        <row r="215">
          <cell r="A215" t="str">
            <v>HUS0000414638</v>
          </cell>
          <cell r="C215">
            <v>82085</v>
          </cell>
        </row>
        <row r="216">
          <cell r="A216" t="str">
            <v>HUS0000415591</v>
          </cell>
          <cell r="C216">
            <v>4994737</v>
          </cell>
        </row>
        <row r="217">
          <cell r="A217" t="str">
            <v>HUS0000415435</v>
          </cell>
          <cell r="C217">
            <v>1514481</v>
          </cell>
        </row>
        <row r="218">
          <cell r="A218" t="str">
            <v>HUS0000415322</v>
          </cell>
          <cell r="C218">
            <v>5773764</v>
          </cell>
        </row>
        <row r="219">
          <cell r="A219" t="str">
            <v>HUS0000416671</v>
          </cell>
          <cell r="C219">
            <v>20880710</v>
          </cell>
        </row>
        <row r="220">
          <cell r="A220" t="str">
            <v>HUS0000416671</v>
          </cell>
          <cell r="C220">
            <v>20880710</v>
          </cell>
        </row>
        <row r="221">
          <cell r="A221" t="str">
            <v>HUS0000416671</v>
          </cell>
          <cell r="C221">
            <v>20880710</v>
          </cell>
        </row>
        <row r="222">
          <cell r="A222" t="str">
            <v>HUS0000416671</v>
          </cell>
          <cell r="C222">
            <v>20880710</v>
          </cell>
        </row>
        <row r="223">
          <cell r="A223" t="str">
            <v>HUS0000416671</v>
          </cell>
          <cell r="C223">
            <v>20880710</v>
          </cell>
        </row>
        <row r="224">
          <cell r="A224" t="str">
            <v>HUS0000416671</v>
          </cell>
          <cell r="C224">
            <v>20880710</v>
          </cell>
        </row>
        <row r="225">
          <cell r="A225" t="str">
            <v>HUS0000416671</v>
          </cell>
          <cell r="C225">
            <v>20880710</v>
          </cell>
        </row>
        <row r="226">
          <cell r="A226" t="str">
            <v>HUS0000416671</v>
          </cell>
          <cell r="C226">
            <v>20880710</v>
          </cell>
        </row>
        <row r="227">
          <cell r="A227" t="str">
            <v>HUS0000416671</v>
          </cell>
          <cell r="C227">
            <v>20880710</v>
          </cell>
        </row>
        <row r="228">
          <cell r="A228" t="str">
            <v>HUS0000416671</v>
          </cell>
          <cell r="C228">
            <v>20880710</v>
          </cell>
        </row>
        <row r="229">
          <cell r="A229" t="str">
            <v>HUS0000416671</v>
          </cell>
          <cell r="C229">
            <v>20880710</v>
          </cell>
        </row>
        <row r="230">
          <cell r="A230" t="str">
            <v>HUS0000416746</v>
          </cell>
          <cell r="C230">
            <v>11020458</v>
          </cell>
        </row>
        <row r="231">
          <cell r="A231" t="str">
            <v>HUS0000416746</v>
          </cell>
          <cell r="C231">
            <v>11020458</v>
          </cell>
        </row>
        <row r="232">
          <cell r="A232" t="str">
            <v>HUS0000412682</v>
          </cell>
          <cell r="C232">
            <v>25481600</v>
          </cell>
        </row>
        <row r="233">
          <cell r="A233" t="str">
            <v>HUS0000412682</v>
          </cell>
          <cell r="C233">
            <v>25481600</v>
          </cell>
        </row>
        <row r="234">
          <cell r="A234" t="str">
            <v>HUS0000417807</v>
          </cell>
          <cell r="C234">
            <v>32396282</v>
          </cell>
        </row>
        <row r="235">
          <cell r="A235" t="str">
            <v>HUS0000417807</v>
          </cell>
          <cell r="C235">
            <v>32396282</v>
          </cell>
        </row>
        <row r="236">
          <cell r="A236" t="str">
            <v>HUS0000446260</v>
          </cell>
          <cell r="C236">
            <v>34214349</v>
          </cell>
        </row>
        <row r="237">
          <cell r="A237" t="str">
            <v>HUS0000446260</v>
          </cell>
          <cell r="C237">
            <v>34214349</v>
          </cell>
        </row>
        <row r="238">
          <cell r="A238" t="str">
            <v>HUS0000446260</v>
          </cell>
          <cell r="C238">
            <v>34214349</v>
          </cell>
        </row>
        <row r="239">
          <cell r="A239" t="str">
            <v>HUS0000446260</v>
          </cell>
          <cell r="C239">
            <v>34214349</v>
          </cell>
        </row>
        <row r="240">
          <cell r="A240" t="str">
            <v>HUS0000443840</v>
          </cell>
          <cell r="C240">
            <v>2065650</v>
          </cell>
        </row>
        <row r="241">
          <cell r="A241" t="str">
            <v>HUS0000444618</v>
          </cell>
          <cell r="C241">
            <v>33107207</v>
          </cell>
        </row>
        <row r="242">
          <cell r="A242" t="str">
            <v>HUS0000444618</v>
          </cell>
          <cell r="C242">
            <v>33107207</v>
          </cell>
        </row>
        <row r="243">
          <cell r="A243" t="str">
            <v>HUS0000444618</v>
          </cell>
          <cell r="C243">
            <v>33107207</v>
          </cell>
        </row>
        <row r="244">
          <cell r="A244" t="str">
            <v>HUS0000444741</v>
          </cell>
          <cell r="C244">
            <v>106697</v>
          </cell>
        </row>
        <row r="245">
          <cell r="A245" t="str">
            <v>HUS0000442730</v>
          </cell>
          <cell r="C245">
            <v>5505766</v>
          </cell>
        </row>
        <row r="246">
          <cell r="A246" t="str">
            <v>HUS0000442197</v>
          </cell>
          <cell r="C246">
            <v>106697</v>
          </cell>
        </row>
        <row r="247">
          <cell r="A247" t="str">
            <v>HUS0000445477</v>
          </cell>
          <cell r="C247">
            <v>4381023</v>
          </cell>
        </row>
        <row r="248">
          <cell r="A248" t="str">
            <v>HUS0000417459</v>
          </cell>
          <cell r="C248">
            <v>16632959</v>
          </cell>
        </row>
        <row r="249">
          <cell r="A249" t="str">
            <v>HUS0000417459</v>
          </cell>
          <cell r="C249">
            <v>16632959</v>
          </cell>
        </row>
        <row r="250">
          <cell r="A250" t="str">
            <v>HUS0000417459</v>
          </cell>
          <cell r="C250">
            <v>16632959</v>
          </cell>
        </row>
        <row r="251">
          <cell r="A251" t="str">
            <v>HUS0000417459</v>
          </cell>
          <cell r="C251">
            <v>16632959</v>
          </cell>
        </row>
        <row r="252">
          <cell r="A252" t="str">
            <v>HUS0000412682</v>
          </cell>
          <cell r="C252">
            <v>25481600</v>
          </cell>
        </row>
        <row r="253">
          <cell r="A253" t="str">
            <v>HUS0000420727</v>
          </cell>
          <cell r="C253">
            <v>22175283</v>
          </cell>
        </row>
        <row r="254">
          <cell r="A254" t="str">
            <v>HUS0000420727</v>
          </cell>
          <cell r="C254">
            <v>22175283</v>
          </cell>
        </row>
        <row r="255">
          <cell r="A255" t="str">
            <v>HUS0000420727</v>
          </cell>
          <cell r="C255">
            <v>22175283</v>
          </cell>
        </row>
        <row r="256">
          <cell r="A256" t="str">
            <v>HUS0000420727</v>
          </cell>
          <cell r="C256">
            <v>22175283</v>
          </cell>
        </row>
        <row r="257">
          <cell r="A257" t="str">
            <v>HUS0000420727</v>
          </cell>
          <cell r="C257">
            <v>22175283</v>
          </cell>
        </row>
        <row r="258">
          <cell r="A258" t="str">
            <v>HUS0000420752</v>
          </cell>
          <cell r="C258">
            <v>85111531</v>
          </cell>
        </row>
        <row r="259">
          <cell r="A259" t="str">
            <v>HUS0000420752</v>
          </cell>
          <cell r="C259">
            <v>85111531</v>
          </cell>
        </row>
        <row r="260">
          <cell r="A260" t="str">
            <v>HUS0000415591</v>
          </cell>
          <cell r="C260">
            <v>4994737</v>
          </cell>
        </row>
        <row r="261">
          <cell r="A261" t="str">
            <v>HUS0000416746</v>
          </cell>
          <cell r="C261">
            <v>11020458</v>
          </cell>
        </row>
        <row r="262">
          <cell r="A262" t="str">
            <v>HUS0000412697</v>
          </cell>
          <cell r="C262">
            <v>49186014</v>
          </cell>
        </row>
        <row r="263">
          <cell r="A263" t="str">
            <v>HUS0000412324</v>
          </cell>
          <cell r="C263">
            <v>8450501</v>
          </cell>
        </row>
      </sheetData>
      <sheetData sheetId="2"/>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6623-A83D-4957-8B97-7216F3130FCA}">
  <sheetPr codeName="Hoja1">
    <pageSetUpPr fitToPage="1"/>
  </sheetPr>
  <dimension ref="B1:BP279"/>
  <sheetViews>
    <sheetView tabSelected="1" zoomScale="70" zoomScaleNormal="70" zoomScaleSheetLayoutView="25" workbookViewId="0">
      <pane ySplit="1" topLeftCell="A268" activePane="bottomLeft" state="frozen"/>
      <selection pane="bottomLeft" activeCell="H286" sqref="H286"/>
    </sheetView>
  </sheetViews>
  <sheetFormatPr baseColWidth="10" defaultColWidth="11.42578125" defaultRowHeight="20.25" x14ac:dyDescent="0.3"/>
  <cols>
    <col min="1" max="1" width="5.28515625" style="1" customWidth="1"/>
    <col min="2" max="2" width="3.85546875" style="1" customWidth="1"/>
    <col min="3" max="3" width="13.140625" style="1" customWidth="1"/>
    <col min="4" max="4" width="19.85546875" style="1" customWidth="1"/>
    <col min="5" max="5" width="30.28515625" style="1" customWidth="1"/>
    <col min="6" max="6" width="25.85546875" style="1" customWidth="1"/>
    <col min="7" max="7" width="36.42578125" style="1" customWidth="1"/>
    <col min="8" max="8" width="30" style="1" customWidth="1"/>
    <col min="9" max="9" width="19.7109375" style="1" customWidth="1"/>
    <col min="10" max="10" width="52.85546875" style="1" customWidth="1"/>
    <col min="11" max="11" width="39" style="47" customWidth="1"/>
    <col min="12" max="12" width="35" style="48" customWidth="1"/>
    <col min="13" max="13" width="35.85546875" style="48" customWidth="1"/>
    <col min="14" max="14" width="28" style="49" customWidth="1"/>
    <col min="15" max="15" width="34.85546875" style="49" customWidth="1"/>
    <col min="16" max="16" width="31.42578125" style="50" customWidth="1"/>
    <col min="17" max="17" width="96.140625" style="3" customWidth="1"/>
    <col min="18" max="18" width="34.42578125" style="3" customWidth="1"/>
    <col min="19" max="19" width="43" style="3" customWidth="1"/>
    <col min="20" max="20" width="32.7109375" style="3" bestFit="1" customWidth="1"/>
    <col min="21" max="21" width="27.7109375" style="3" customWidth="1"/>
    <col min="22" max="22" width="27.5703125" style="2" customWidth="1"/>
    <col min="23" max="23" width="35.42578125" style="1" customWidth="1"/>
    <col min="24" max="25" width="4" style="2" customWidth="1"/>
    <col min="26" max="26" width="37.140625" style="2" customWidth="1"/>
    <col min="27" max="27" width="30" style="2" customWidth="1"/>
    <col min="28" max="51" width="33.28515625" style="45" customWidth="1"/>
    <col min="52" max="66" width="11.42578125" style="45"/>
    <col min="67" max="68" width="11.42578125" style="2"/>
    <col min="69" max="16384" width="11.42578125" style="1"/>
  </cols>
  <sheetData>
    <row r="1" spans="2:68" ht="30" customHeight="1" thickBot="1" x14ac:dyDescent="0.35">
      <c r="R1" s="3" t="s">
        <v>835</v>
      </c>
    </row>
    <row r="2" spans="2:68" ht="18" customHeight="1" thickBot="1" x14ac:dyDescent="0.35">
      <c r="B2" s="4"/>
      <c r="C2" s="5"/>
      <c r="D2" s="5"/>
      <c r="E2" s="5"/>
      <c r="F2" s="5"/>
      <c r="G2" s="5"/>
      <c r="H2" s="5"/>
      <c r="I2" s="5"/>
      <c r="J2" s="5"/>
      <c r="K2" s="51"/>
      <c r="L2" s="52"/>
      <c r="M2" s="52"/>
      <c r="N2" s="53"/>
      <c r="O2" s="53"/>
      <c r="P2" s="54"/>
      <c r="Q2" s="7"/>
      <c r="R2" s="7"/>
      <c r="S2" s="7"/>
      <c r="T2" s="7"/>
      <c r="U2" s="7"/>
      <c r="V2" s="6"/>
      <c r="W2" s="5"/>
      <c r="X2" s="8"/>
    </row>
    <row r="3" spans="2:68" s="11" customFormat="1" ht="114.75" customHeight="1" x14ac:dyDescent="0.3">
      <c r="B3" s="9"/>
      <c r="C3" s="207"/>
      <c r="D3" s="208"/>
      <c r="E3" s="208"/>
      <c r="F3" s="208"/>
      <c r="G3" s="208"/>
      <c r="H3" s="213" t="s">
        <v>0</v>
      </c>
      <c r="I3" s="214"/>
      <c r="J3" s="214"/>
      <c r="K3" s="214"/>
      <c r="L3" s="214"/>
      <c r="M3" s="214"/>
      <c r="N3" s="214"/>
      <c r="O3" s="214"/>
      <c r="P3" s="214"/>
      <c r="Q3" s="214"/>
      <c r="R3" s="214"/>
      <c r="S3" s="215"/>
      <c r="T3" s="222"/>
      <c r="U3" s="208"/>
      <c r="V3" s="208"/>
      <c r="W3" s="223"/>
      <c r="X3" s="10"/>
      <c r="Y3" s="2"/>
      <c r="Z3" s="2"/>
      <c r="AA3" s="2"/>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5"/>
      <c r="BO3" s="2"/>
      <c r="BP3" s="2"/>
    </row>
    <row r="4" spans="2:68" s="11" customFormat="1" ht="3.75" customHeight="1" x14ac:dyDescent="0.3">
      <c r="B4" s="9"/>
      <c r="C4" s="209"/>
      <c r="D4" s="210"/>
      <c r="E4" s="210"/>
      <c r="F4" s="210"/>
      <c r="G4" s="210"/>
      <c r="H4" s="216"/>
      <c r="I4" s="217"/>
      <c r="J4" s="217"/>
      <c r="K4" s="217"/>
      <c r="L4" s="217"/>
      <c r="M4" s="217"/>
      <c r="N4" s="217"/>
      <c r="O4" s="217"/>
      <c r="P4" s="217"/>
      <c r="Q4" s="217"/>
      <c r="R4" s="217"/>
      <c r="S4" s="218"/>
      <c r="T4" s="224"/>
      <c r="U4" s="210"/>
      <c r="V4" s="210"/>
      <c r="W4" s="225"/>
      <c r="X4" s="10"/>
      <c r="Y4" s="2"/>
      <c r="Z4" s="2"/>
      <c r="AA4" s="2"/>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c r="BB4" s="45"/>
      <c r="BC4" s="45"/>
      <c r="BD4" s="45"/>
      <c r="BE4" s="45"/>
      <c r="BF4" s="45"/>
      <c r="BG4" s="45"/>
      <c r="BH4" s="45"/>
      <c r="BI4" s="45"/>
      <c r="BJ4" s="45"/>
      <c r="BK4" s="45"/>
      <c r="BL4" s="45"/>
      <c r="BM4" s="45"/>
      <c r="BN4" s="45"/>
      <c r="BO4" s="2"/>
      <c r="BP4" s="2"/>
    </row>
    <row r="5" spans="2:68" s="11" customFormat="1" ht="31.5" customHeight="1" x14ac:dyDescent="0.3">
      <c r="B5" s="9"/>
      <c r="C5" s="211"/>
      <c r="D5" s="212"/>
      <c r="E5" s="212"/>
      <c r="F5" s="212"/>
      <c r="G5" s="212"/>
      <c r="H5" s="219"/>
      <c r="I5" s="220"/>
      <c r="J5" s="220"/>
      <c r="K5" s="220"/>
      <c r="L5" s="220"/>
      <c r="M5" s="220"/>
      <c r="N5" s="220"/>
      <c r="O5" s="220"/>
      <c r="P5" s="220"/>
      <c r="Q5" s="220"/>
      <c r="R5" s="220"/>
      <c r="S5" s="221"/>
      <c r="T5" s="226"/>
      <c r="U5" s="212"/>
      <c r="V5" s="212"/>
      <c r="W5" s="227"/>
      <c r="X5" s="10"/>
      <c r="Y5" s="2"/>
      <c r="Z5" s="2"/>
      <c r="AA5" s="2"/>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2"/>
      <c r="BP5" s="2"/>
    </row>
    <row r="6" spans="2:68" s="11" customFormat="1" ht="8.25" customHeight="1" x14ac:dyDescent="0.3">
      <c r="B6" s="9"/>
      <c r="C6" s="228"/>
      <c r="D6" s="212"/>
      <c r="E6" s="212"/>
      <c r="F6" s="212"/>
      <c r="G6" s="212"/>
      <c r="H6" s="212"/>
      <c r="I6" s="212"/>
      <c r="J6" s="212"/>
      <c r="K6" s="212"/>
      <c r="L6" s="212"/>
      <c r="M6" s="212"/>
      <c r="N6" s="212"/>
      <c r="O6" s="212"/>
      <c r="P6" s="212"/>
      <c r="Q6" s="212"/>
      <c r="R6" s="212"/>
      <c r="S6" s="212"/>
      <c r="T6" s="212"/>
      <c r="U6" s="212"/>
      <c r="V6" s="212"/>
      <c r="W6" s="229"/>
      <c r="X6" s="10"/>
      <c r="Y6" s="2"/>
      <c r="Z6" s="2"/>
      <c r="AA6" s="2"/>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2"/>
      <c r="BP6" s="2"/>
    </row>
    <row r="7" spans="2:68" s="11" customFormat="1" ht="48.75" customHeight="1" x14ac:dyDescent="0.3">
      <c r="B7" s="9"/>
      <c r="C7" s="12" t="s">
        <v>1</v>
      </c>
      <c r="D7" s="230"/>
      <c r="E7" s="231"/>
      <c r="F7" s="232"/>
      <c r="G7" s="13" t="s">
        <v>2</v>
      </c>
      <c r="H7" s="230"/>
      <c r="I7" s="231"/>
      <c r="J7" s="231"/>
      <c r="K7" s="231"/>
      <c r="L7" s="231"/>
      <c r="M7" s="231"/>
      <c r="N7" s="231"/>
      <c r="O7" s="232"/>
      <c r="P7" s="233" t="s">
        <v>3</v>
      </c>
      <c r="Q7" s="232"/>
      <c r="R7" s="234"/>
      <c r="S7" s="235"/>
      <c r="T7" s="236"/>
      <c r="U7" s="14" t="s">
        <v>4</v>
      </c>
      <c r="V7" s="237"/>
      <c r="W7" s="238"/>
      <c r="X7" s="10"/>
      <c r="Y7" s="2"/>
      <c r="Z7" s="2"/>
      <c r="AA7" s="2"/>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2"/>
      <c r="BP7" s="2"/>
    </row>
    <row r="8" spans="2:68" s="11" customFormat="1" ht="8.25" customHeight="1" x14ac:dyDescent="0.3">
      <c r="B8" s="9"/>
      <c r="C8" s="239"/>
      <c r="D8" s="231"/>
      <c r="E8" s="231"/>
      <c r="F8" s="231"/>
      <c r="G8" s="231"/>
      <c r="H8" s="231"/>
      <c r="I8" s="231"/>
      <c r="J8" s="231"/>
      <c r="K8" s="231"/>
      <c r="L8" s="231"/>
      <c r="M8" s="231"/>
      <c r="N8" s="231"/>
      <c r="O8" s="231"/>
      <c r="P8" s="231"/>
      <c r="Q8" s="231"/>
      <c r="R8" s="231"/>
      <c r="S8" s="231"/>
      <c r="T8" s="231"/>
      <c r="U8" s="231"/>
      <c r="V8" s="231"/>
      <c r="W8" s="238"/>
      <c r="X8" s="10"/>
      <c r="Y8" s="2"/>
      <c r="Z8" s="2"/>
      <c r="AA8" s="2"/>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2"/>
      <c r="BP8" s="2"/>
    </row>
    <row r="9" spans="2:68" s="20" customFormat="1" ht="57.75" customHeight="1" x14ac:dyDescent="0.3">
      <c r="B9" s="15"/>
      <c r="C9" s="240" t="s">
        <v>5</v>
      </c>
      <c r="D9" s="231"/>
      <c r="E9" s="232"/>
      <c r="F9" s="241"/>
      <c r="G9" s="242"/>
      <c r="H9" s="243"/>
      <c r="I9" s="244" t="s">
        <v>6</v>
      </c>
      <c r="J9" s="232"/>
      <c r="K9" s="55"/>
      <c r="L9" s="56" t="s">
        <v>7</v>
      </c>
      <c r="M9" s="57"/>
      <c r="N9" s="245" t="s">
        <v>8</v>
      </c>
      <c r="O9" s="246"/>
      <c r="P9" s="57"/>
      <c r="Q9" s="16" t="s">
        <v>9</v>
      </c>
      <c r="R9" s="18"/>
      <c r="S9" s="16" t="s">
        <v>10</v>
      </c>
      <c r="T9" s="18">
        <f>P272</f>
        <v>0</v>
      </c>
      <c r="U9" s="247" t="s">
        <v>11</v>
      </c>
      <c r="V9" s="232"/>
      <c r="W9" s="19">
        <f>W272</f>
        <v>0</v>
      </c>
      <c r="X9" s="46"/>
      <c r="Y9" s="2"/>
      <c r="Z9" s="2"/>
      <c r="AA9" s="2"/>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c r="BB9" s="45"/>
      <c r="BC9" s="45"/>
      <c r="BD9" s="45"/>
      <c r="BE9" s="45"/>
      <c r="BF9" s="45"/>
      <c r="BG9" s="45"/>
      <c r="BH9" s="45"/>
      <c r="BI9" s="45"/>
      <c r="BJ9" s="45"/>
      <c r="BK9" s="45"/>
      <c r="BL9" s="45"/>
      <c r="BM9" s="45"/>
      <c r="BN9" s="45"/>
      <c r="BO9" s="2"/>
      <c r="BP9" s="2"/>
    </row>
    <row r="10" spans="2:68" s="11" customFormat="1" ht="20.25" customHeight="1" x14ac:dyDescent="0.3">
      <c r="B10" s="9"/>
      <c r="C10" s="248"/>
      <c r="D10" s="210"/>
      <c r="E10" s="210"/>
      <c r="F10" s="210"/>
      <c r="G10" s="210"/>
      <c r="H10" s="210"/>
      <c r="I10" s="210"/>
      <c r="J10" s="210"/>
      <c r="K10" s="210"/>
      <c r="L10" s="210"/>
      <c r="M10" s="210"/>
      <c r="N10" s="210"/>
      <c r="O10" s="210"/>
      <c r="P10" s="210"/>
      <c r="Q10" s="210"/>
      <c r="R10" s="210"/>
      <c r="S10" s="210"/>
      <c r="T10" s="21"/>
      <c r="U10" s="22"/>
      <c r="V10" s="22"/>
      <c r="W10" s="23"/>
      <c r="X10" s="46"/>
      <c r="Y10" s="2"/>
      <c r="Z10" s="2"/>
      <c r="AA10" s="2"/>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2"/>
      <c r="BP10" s="2"/>
    </row>
    <row r="11" spans="2:68" s="20" customFormat="1" ht="128.25" customHeight="1" x14ac:dyDescent="0.3">
      <c r="B11" s="15"/>
      <c r="C11" s="24" t="s">
        <v>12</v>
      </c>
      <c r="D11" s="25" t="s">
        <v>13</v>
      </c>
      <c r="E11" s="26" t="s">
        <v>14</v>
      </c>
      <c r="F11" s="26" t="s">
        <v>15</v>
      </c>
      <c r="G11" s="26" t="s">
        <v>16</v>
      </c>
      <c r="H11" s="26" t="s">
        <v>17</v>
      </c>
      <c r="I11" s="26" t="s">
        <v>18</v>
      </c>
      <c r="J11" s="96" t="s">
        <v>19</v>
      </c>
      <c r="K11" s="58" t="s">
        <v>20</v>
      </c>
      <c r="L11" s="58" t="s">
        <v>21</v>
      </c>
      <c r="M11" s="58" t="s">
        <v>22</v>
      </c>
      <c r="N11" s="58" t="s">
        <v>8</v>
      </c>
      <c r="O11" s="58" t="s">
        <v>23</v>
      </c>
      <c r="P11" s="58" t="s">
        <v>24</v>
      </c>
      <c r="Q11" s="26" t="s">
        <v>25</v>
      </c>
      <c r="R11" s="26" t="s">
        <v>26</v>
      </c>
      <c r="S11" s="26" t="s">
        <v>27</v>
      </c>
      <c r="T11" s="26" t="s">
        <v>435</v>
      </c>
      <c r="U11" s="26" t="s">
        <v>28</v>
      </c>
      <c r="V11" s="26" t="s">
        <v>29</v>
      </c>
      <c r="W11" s="27" t="s">
        <v>11</v>
      </c>
      <c r="X11" s="46"/>
      <c r="Y11" s="2"/>
      <c r="Z11" s="17" t="s">
        <v>43</v>
      </c>
      <c r="AA11" s="16" t="s">
        <v>32</v>
      </c>
      <c r="AB11" s="16" t="s">
        <v>33</v>
      </c>
      <c r="AC11" s="97" t="s">
        <v>436</v>
      </c>
      <c r="AD11" s="97" t="s">
        <v>34</v>
      </c>
      <c r="AE11" s="97" t="s">
        <v>35</v>
      </c>
      <c r="AF11" s="97" t="s">
        <v>36</v>
      </c>
      <c r="AG11" s="97" t="s">
        <v>37</v>
      </c>
      <c r="AH11" s="97" t="s">
        <v>38</v>
      </c>
      <c r="AI11" s="97" t="s">
        <v>39</v>
      </c>
      <c r="AJ11" s="97" t="s">
        <v>434</v>
      </c>
      <c r="AK11" s="97" t="s">
        <v>40</v>
      </c>
      <c r="AL11" s="97" t="s">
        <v>41</v>
      </c>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2"/>
      <c r="BP11" s="2"/>
    </row>
    <row r="12" spans="2:68" s="11" customFormat="1" ht="21.75" x14ac:dyDescent="0.3">
      <c r="B12" s="9"/>
      <c r="C12" s="113"/>
      <c r="D12" s="114"/>
      <c r="E12" s="98"/>
      <c r="F12" s="117"/>
      <c r="G12" s="99"/>
      <c r="H12" s="99"/>
      <c r="I12" s="99"/>
      <c r="J12" s="98"/>
      <c r="K12" s="100"/>
      <c r="L12" s="100"/>
      <c r="M12" s="100"/>
      <c r="N12" s="100"/>
      <c r="O12" s="100"/>
      <c r="P12" s="100"/>
      <c r="Q12" s="118"/>
      <c r="R12" s="98"/>
      <c r="S12" s="119"/>
      <c r="T12" s="28"/>
      <c r="U12" s="28"/>
      <c r="V12" s="28"/>
      <c r="W12" s="101"/>
      <c r="X12" s="102"/>
      <c r="Y12" s="1"/>
      <c r="Z12" s="103">
        <f>L12-N12</f>
        <v>0</v>
      </c>
      <c r="AA12" s="71">
        <v>45911</v>
      </c>
      <c r="AB12" s="104">
        <v>45926</v>
      </c>
      <c r="AC12" s="40" t="s">
        <v>469</v>
      </c>
      <c r="AD12" s="105">
        <v>0</v>
      </c>
      <c r="AE12" s="105">
        <v>0</v>
      </c>
      <c r="AF12" s="105">
        <v>0</v>
      </c>
      <c r="AG12" s="105">
        <v>0</v>
      </c>
      <c r="AH12" s="105">
        <v>0</v>
      </c>
      <c r="AI12" s="106">
        <v>0</v>
      </c>
      <c r="AJ12" s="107">
        <v>0</v>
      </c>
      <c r="AK12" s="112">
        <v>0</v>
      </c>
      <c r="AL12" s="112">
        <v>0</v>
      </c>
      <c r="AM12" s="45"/>
      <c r="AN12" s="45"/>
      <c r="AO12" s="108"/>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1"/>
      <c r="BP12" s="1"/>
    </row>
    <row r="13" spans="2:68" s="11" customFormat="1" ht="21.75" x14ac:dyDescent="0.3">
      <c r="B13" s="9"/>
      <c r="C13" s="113"/>
      <c r="D13" s="114"/>
      <c r="E13" s="98"/>
      <c r="F13" s="117"/>
      <c r="G13" s="99"/>
      <c r="H13" s="99"/>
      <c r="I13" s="99"/>
      <c r="J13" s="98"/>
      <c r="K13" s="100"/>
      <c r="L13" s="100"/>
      <c r="M13" s="100"/>
      <c r="N13" s="100"/>
      <c r="O13" s="100"/>
      <c r="P13" s="100"/>
      <c r="Q13" s="118"/>
      <c r="R13" s="98"/>
      <c r="S13" s="119"/>
      <c r="T13" s="28"/>
      <c r="U13" s="28"/>
      <c r="V13" s="28"/>
      <c r="W13" s="101"/>
      <c r="X13" s="102"/>
      <c r="Y13" s="1"/>
      <c r="Z13" s="1"/>
      <c r="AA13" s="71">
        <v>45922</v>
      </c>
      <c r="AB13" s="104">
        <v>45936</v>
      </c>
      <c r="AC13" s="40" t="s">
        <v>494</v>
      </c>
      <c r="AD13" s="105">
        <v>0</v>
      </c>
      <c r="AE13" s="105">
        <v>0</v>
      </c>
      <c r="AF13" s="105">
        <v>0</v>
      </c>
      <c r="AG13" s="105">
        <v>0</v>
      </c>
      <c r="AH13" s="105">
        <v>0</v>
      </c>
      <c r="AI13" s="106">
        <v>0</v>
      </c>
      <c r="AJ13" s="107">
        <v>0</v>
      </c>
      <c r="AK13" s="112">
        <v>0</v>
      </c>
      <c r="AL13" s="112">
        <v>0</v>
      </c>
      <c r="AM13" s="108"/>
      <c r="AN13" s="45"/>
      <c r="AO13" s="108"/>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1"/>
      <c r="BP13" s="1"/>
    </row>
    <row r="14" spans="2:68" s="11" customFormat="1" ht="21.75" x14ac:dyDescent="0.3">
      <c r="B14" s="9"/>
      <c r="C14" s="113"/>
      <c r="D14" s="114"/>
      <c r="E14" s="98"/>
      <c r="F14" s="117"/>
      <c r="G14" s="99"/>
      <c r="H14" s="99"/>
      <c r="I14" s="99"/>
      <c r="J14" s="98"/>
      <c r="K14" s="100"/>
      <c r="L14" s="100"/>
      <c r="M14" s="100"/>
      <c r="N14" s="100"/>
      <c r="O14" s="100"/>
      <c r="P14" s="100"/>
      <c r="Q14" s="118"/>
      <c r="R14" s="98"/>
      <c r="S14" s="119"/>
      <c r="T14" s="28"/>
      <c r="U14" s="28"/>
      <c r="V14" s="28"/>
      <c r="W14" s="101"/>
      <c r="X14" s="102"/>
      <c r="Y14" s="1"/>
      <c r="Z14" s="1"/>
      <c r="AA14" s="71"/>
      <c r="AB14" s="104"/>
      <c r="AC14" s="40"/>
      <c r="AD14" s="105"/>
      <c r="AE14" s="105"/>
      <c r="AF14" s="105"/>
      <c r="AG14" s="105"/>
      <c r="AH14" s="105"/>
      <c r="AI14" s="106"/>
      <c r="AJ14" s="107"/>
      <c r="AK14" s="112"/>
      <c r="AL14" s="112"/>
      <c r="AM14" s="108"/>
      <c r="AN14" s="45"/>
      <c r="AO14" s="108"/>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1"/>
      <c r="BP14" s="1"/>
    </row>
    <row r="15" spans="2:68" s="11" customFormat="1" ht="21.75" x14ac:dyDescent="0.3">
      <c r="B15" s="9"/>
      <c r="C15" s="113"/>
      <c r="D15" s="114"/>
      <c r="E15" s="98"/>
      <c r="F15" s="117"/>
      <c r="G15" s="99"/>
      <c r="H15" s="99"/>
      <c r="I15" s="99"/>
      <c r="J15" s="98"/>
      <c r="K15" s="100"/>
      <c r="L15" s="100"/>
      <c r="M15" s="100"/>
      <c r="N15" s="100"/>
      <c r="O15" s="100"/>
      <c r="P15" s="100"/>
      <c r="Q15" s="118"/>
      <c r="R15" s="98"/>
      <c r="S15" s="119"/>
      <c r="T15" s="28"/>
      <c r="U15" s="28"/>
      <c r="V15" s="28"/>
      <c r="W15" s="101"/>
      <c r="X15" s="102"/>
      <c r="Y15" s="1"/>
      <c r="Z15" s="1"/>
      <c r="AA15" s="71"/>
      <c r="AB15" s="104"/>
      <c r="AC15" s="40"/>
      <c r="AD15" s="105"/>
      <c r="AE15" s="105"/>
      <c r="AF15" s="105"/>
      <c r="AG15" s="105"/>
      <c r="AH15" s="105"/>
      <c r="AI15" s="106"/>
      <c r="AJ15" s="107"/>
      <c r="AK15" s="112"/>
      <c r="AL15" s="112"/>
      <c r="AM15" s="108"/>
      <c r="AN15" s="45"/>
      <c r="AO15" s="108"/>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1"/>
      <c r="BP15" s="1"/>
    </row>
    <row r="16" spans="2:68" s="11" customFormat="1" ht="21.75" x14ac:dyDescent="0.3">
      <c r="B16" s="9"/>
      <c r="C16" s="113"/>
      <c r="D16" s="114"/>
      <c r="E16" s="98"/>
      <c r="F16" s="117"/>
      <c r="G16" s="99"/>
      <c r="H16" s="99"/>
      <c r="I16" s="99"/>
      <c r="J16" s="98"/>
      <c r="K16" s="100"/>
      <c r="L16" s="100"/>
      <c r="M16" s="100"/>
      <c r="N16" s="100"/>
      <c r="O16" s="100"/>
      <c r="P16" s="100"/>
      <c r="Q16" s="118"/>
      <c r="R16" s="98"/>
      <c r="S16" s="119"/>
      <c r="T16" s="28"/>
      <c r="U16" s="28"/>
      <c r="V16" s="28"/>
      <c r="W16" s="101"/>
      <c r="X16" s="102"/>
      <c r="Y16" s="1"/>
      <c r="Z16" s="1"/>
      <c r="AA16" s="71"/>
      <c r="AB16" s="104"/>
      <c r="AC16" s="40"/>
      <c r="AD16" s="105"/>
      <c r="AE16" s="105"/>
      <c r="AF16" s="105"/>
      <c r="AG16" s="105"/>
      <c r="AH16" s="105"/>
      <c r="AI16" s="106"/>
      <c r="AJ16" s="107"/>
      <c r="AK16" s="112"/>
      <c r="AL16" s="112"/>
      <c r="AM16" s="108"/>
      <c r="AN16" s="45"/>
      <c r="AO16" s="108"/>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1"/>
      <c r="BP16" s="1"/>
    </row>
    <row r="17" spans="2:68" s="11" customFormat="1" ht="21.75" x14ac:dyDescent="0.3">
      <c r="B17" s="9"/>
      <c r="C17" s="113"/>
      <c r="D17" s="114"/>
      <c r="E17" s="98"/>
      <c r="F17" s="117"/>
      <c r="G17" s="99"/>
      <c r="H17" s="99"/>
      <c r="I17" s="99"/>
      <c r="J17" s="98"/>
      <c r="K17" s="100"/>
      <c r="L17" s="100"/>
      <c r="M17" s="100"/>
      <c r="N17" s="100"/>
      <c r="O17" s="100"/>
      <c r="P17" s="100"/>
      <c r="Q17" s="118"/>
      <c r="R17" s="98"/>
      <c r="S17" s="119"/>
      <c r="T17" s="28"/>
      <c r="U17" s="28"/>
      <c r="V17" s="28"/>
      <c r="W17" s="101"/>
      <c r="X17" s="102"/>
      <c r="Y17" s="1"/>
      <c r="Z17" s="1"/>
      <c r="AA17" s="71"/>
      <c r="AB17" s="104"/>
      <c r="AC17" s="40"/>
      <c r="AD17" s="105"/>
      <c r="AE17" s="105"/>
      <c r="AF17" s="105"/>
      <c r="AG17" s="105"/>
      <c r="AH17" s="105"/>
      <c r="AI17" s="106"/>
      <c r="AJ17" s="107"/>
      <c r="AK17" s="112"/>
      <c r="AL17" s="112"/>
      <c r="AM17" s="108"/>
      <c r="AN17" s="45"/>
      <c r="AO17" s="108"/>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1"/>
      <c r="BP17" s="1"/>
    </row>
    <row r="18" spans="2:68" s="11" customFormat="1" ht="21.75" x14ac:dyDescent="0.3">
      <c r="B18" s="9"/>
      <c r="C18" s="113"/>
      <c r="D18" s="114"/>
      <c r="E18" s="98"/>
      <c r="F18" s="117"/>
      <c r="G18" s="99"/>
      <c r="H18" s="99"/>
      <c r="I18" s="99"/>
      <c r="J18" s="98"/>
      <c r="K18" s="100"/>
      <c r="L18" s="100"/>
      <c r="M18" s="100"/>
      <c r="N18" s="100"/>
      <c r="O18" s="100"/>
      <c r="P18" s="100"/>
      <c r="Q18" s="118"/>
      <c r="R18" s="98"/>
      <c r="S18" s="119"/>
      <c r="T18" s="28"/>
      <c r="U18" s="28"/>
      <c r="V18" s="28"/>
      <c r="W18" s="101"/>
      <c r="X18" s="102"/>
      <c r="Y18" s="1"/>
      <c r="Z18" s="1"/>
      <c r="AA18" s="71"/>
      <c r="AB18" s="104"/>
      <c r="AC18" s="40"/>
      <c r="AD18" s="105"/>
      <c r="AE18" s="105"/>
      <c r="AF18" s="105"/>
      <c r="AG18" s="105"/>
      <c r="AH18" s="105"/>
      <c r="AI18" s="106"/>
      <c r="AJ18" s="107"/>
      <c r="AK18" s="112"/>
      <c r="AL18" s="112"/>
      <c r="AM18" s="108"/>
      <c r="AN18" s="45"/>
      <c r="AO18" s="108"/>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1"/>
      <c r="BP18" s="1"/>
    </row>
    <row r="19" spans="2:68" s="11" customFormat="1" ht="21.75" x14ac:dyDescent="0.3">
      <c r="B19" s="9"/>
      <c r="C19" s="113"/>
      <c r="D19" s="114"/>
      <c r="E19" s="98"/>
      <c r="F19" s="117"/>
      <c r="G19" s="99"/>
      <c r="H19" s="99"/>
      <c r="I19" s="99"/>
      <c r="J19" s="98"/>
      <c r="K19" s="100"/>
      <c r="L19" s="100"/>
      <c r="M19" s="100"/>
      <c r="N19" s="100"/>
      <c r="O19" s="100"/>
      <c r="P19" s="100"/>
      <c r="Q19" s="118"/>
      <c r="R19" s="98"/>
      <c r="S19" s="119"/>
      <c r="T19" s="28"/>
      <c r="U19" s="28"/>
      <c r="V19" s="28"/>
      <c r="W19" s="101"/>
      <c r="X19" s="102"/>
      <c r="Y19" s="1"/>
      <c r="Z19" s="1"/>
      <c r="AA19" s="71"/>
      <c r="AB19" s="104"/>
      <c r="AC19" s="40"/>
      <c r="AD19" s="105"/>
      <c r="AE19" s="105"/>
      <c r="AF19" s="105"/>
      <c r="AG19" s="105"/>
      <c r="AH19" s="105"/>
      <c r="AI19" s="106"/>
      <c r="AJ19" s="107"/>
      <c r="AK19" s="112"/>
      <c r="AL19" s="112"/>
      <c r="AM19" s="108"/>
      <c r="AN19" s="45"/>
      <c r="AO19" s="108"/>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1"/>
      <c r="BP19" s="1"/>
    </row>
    <row r="20" spans="2:68" s="11" customFormat="1" ht="21.75" x14ac:dyDescent="0.3">
      <c r="B20" s="9"/>
      <c r="C20" s="113"/>
      <c r="D20" s="114"/>
      <c r="E20" s="98"/>
      <c r="F20" s="117"/>
      <c r="G20" s="99"/>
      <c r="H20" s="99"/>
      <c r="I20" s="99"/>
      <c r="J20" s="98"/>
      <c r="K20" s="100"/>
      <c r="L20" s="100"/>
      <c r="M20" s="100"/>
      <c r="N20" s="100"/>
      <c r="O20" s="100"/>
      <c r="P20" s="100"/>
      <c r="Q20" s="118"/>
      <c r="R20" s="98"/>
      <c r="S20" s="119"/>
      <c r="T20" s="28"/>
      <c r="U20" s="28"/>
      <c r="V20" s="28"/>
      <c r="W20" s="101"/>
      <c r="X20" s="102"/>
      <c r="Y20" s="1"/>
      <c r="Z20" s="1"/>
      <c r="AA20" s="71"/>
      <c r="AB20" s="104"/>
      <c r="AC20" s="40"/>
      <c r="AD20" s="105"/>
      <c r="AE20" s="105"/>
      <c r="AF20" s="105"/>
      <c r="AG20" s="105"/>
      <c r="AH20" s="105"/>
      <c r="AI20" s="106"/>
      <c r="AJ20" s="107"/>
      <c r="AK20" s="112"/>
      <c r="AL20" s="112"/>
      <c r="AM20" s="108"/>
      <c r="AN20" s="45"/>
      <c r="AO20" s="108"/>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1"/>
      <c r="BP20" s="1"/>
    </row>
    <row r="21" spans="2:68" s="11" customFormat="1" ht="21.75" x14ac:dyDescent="0.3">
      <c r="B21" s="9"/>
      <c r="C21" s="113"/>
      <c r="D21" s="114"/>
      <c r="E21" s="98"/>
      <c r="F21" s="117"/>
      <c r="G21" s="99"/>
      <c r="H21" s="99"/>
      <c r="I21" s="99"/>
      <c r="J21" s="98"/>
      <c r="K21" s="100"/>
      <c r="L21" s="100"/>
      <c r="M21" s="100"/>
      <c r="N21" s="100"/>
      <c r="O21" s="100"/>
      <c r="P21" s="100"/>
      <c r="Q21" s="118"/>
      <c r="R21" s="98"/>
      <c r="S21" s="119"/>
      <c r="T21" s="28"/>
      <c r="U21" s="28"/>
      <c r="V21" s="28"/>
      <c r="W21" s="101"/>
      <c r="X21" s="102"/>
      <c r="Y21" s="1"/>
      <c r="Z21" s="1"/>
      <c r="AA21" s="71"/>
      <c r="AB21" s="104"/>
      <c r="AC21" s="40"/>
      <c r="AD21" s="105"/>
      <c r="AE21" s="105"/>
      <c r="AF21" s="105"/>
      <c r="AG21" s="105"/>
      <c r="AH21" s="105"/>
      <c r="AI21" s="106"/>
      <c r="AJ21" s="107"/>
      <c r="AK21" s="112"/>
      <c r="AL21" s="112"/>
      <c r="AM21" s="108"/>
      <c r="AN21" s="45"/>
      <c r="AO21" s="108"/>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1"/>
      <c r="BP21" s="1"/>
    </row>
    <row r="22" spans="2:68" s="11" customFormat="1" ht="21.75" x14ac:dyDescent="0.3">
      <c r="B22" s="9"/>
      <c r="C22" s="113"/>
      <c r="D22" s="114"/>
      <c r="E22" s="98"/>
      <c r="F22" s="117"/>
      <c r="G22" s="99"/>
      <c r="H22" s="99"/>
      <c r="I22" s="99"/>
      <c r="J22" s="98"/>
      <c r="K22" s="100"/>
      <c r="L22" s="100"/>
      <c r="M22" s="100"/>
      <c r="N22" s="100"/>
      <c r="O22" s="100"/>
      <c r="P22" s="100"/>
      <c r="Q22" s="118"/>
      <c r="R22" s="98"/>
      <c r="S22" s="119"/>
      <c r="T22" s="28"/>
      <c r="U22" s="28"/>
      <c r="V22" s="28"/>
      <c r="W22" s="101"/>
      <c r="X22" s="102"/>
      <c r="Y22" s="1"/>
      <c r="Z22" s="1"/>
      <c r="AA22" s="71"/>
      <c r="AB22" s="104"/>
      <c r="AC22" s="40"/>
      <c r="AD22" s="105"/>
      <c r="AE22" s="105"/>
      <c r="AF22" s="105"/>
      <c r="AG22" s="105"/>
      <c r="AH22" s="105"/>
      <c r="AI22" s="106"/>
      <c r="AJ22" s="107"/>
      <c r="AK22" s="112"/>
      <c r="AL22" s="112"/>
      <c r="AM22" s="108"/>
      <c r="AN22" s="45"/>
      <c r="AO22" s="108"/>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1"/>
      <c r="BP22" s="1"/>
    </row>
    <row r="23" spans="2:68" s="11" customFormat="1" ht="21.75" x14ac:dyDescent="0.3">
      <c r="B23" s="9"/>
      <c r="C23" s="113"/>
      <c r="D23" s="114"/>
      <c r="E23" s="98"/>
      <c r="F23" s="117"/>
      <c r="G23" s="99"/>
      <c r="H23" s="99"/>
      <c r="I23" s="99"/>
      <c r="J23" s="98"/>
      <c r="K23" s="100"/>
      <c r="L23" s="100"/>
      <c r="M23" s="100"/>
      <c r="N23" s="100"/>
      <c r="O23" s="100"/>
      <c r="P23" s="100"/>
      <c r="Q23" s="118"/>
      <c r="R23" s="98"/>
      <c r="S23" s="119"/>
      <c r="T23" s="28"/>
      <c r="U23" s="28"/>
      <c r="V23" s="28"/>
      <c r="W23" s="101"/>
      <c r="X23" s="102"/>
      <c r="Y23" s="1"/>
      <c r="Z23" s="1"/>
      <c r="AA23" s="71"/>
      <c r="AB23" s="104"/>
      <c r="AC23" s="40"/>
      <c r="AD23" s="105"/>
      <c r="AE23" s="105"/>
      <c r="AF23" s="105"/>
      <c r="AG23" s="105"/>
      <c r="AH23" s="105"/>
      <c r="AI23" s="106"/>
      <c r="AJ23" s="107"/>
      <c r="AK23" s="112"/>
      <c r="AL23" s="112"/>
      <c r="AM23" s="108"/>
      <c r="AN23" s="45"/>
      <c r="AO23" s="108"/>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1"/>
      <c r="BP23" s="1"/>
    </row>
    <row r="24" spans="2:68" s="11" customFormat="1" ht="21.75" x14ac:dyDescent="0.3">
      <c r="B24" s="9"/>
      <c r="C24" s="113"/>
      <c r="D24" s="114"/>
      <c r="E24" s="98"/>
      <c r="F24" s="117"/>
      <c r="G24" s="99"/>
      <c r="H24" s="99"/>
      <c r="I24" s="99"/>
      <c r="J24" s="98"/>
      <c r="K24" s="100"/>
      <c r="L24" s="100"/>
      <c r="M24" s="100"/>
      <c r="N24" s="100"/>
      <c r="O24" s="100"/>
      <c r="P24" s="100"/>
      <c r="Q24" s="118"/>
      <c r="R24" s="98"/>
      <c r="S24" s="119"/>
      <c r="T24" s="28"/>
      <c r="U24" s="28"/>
      <c r="V24" s="28"/>
      <c r="W24" s="101"/>
      <c r="X24" s="102"/>
      <c r="Y24" s="1"/>
      <c r="Z24" s="1"/>
      <c r="AA24" s="71"/>
      <c r="AB24" s="104"/>
      <c r="AC24" s="40"/>
      <c r="AD24" s="105"/>
      <c r="AE24" s="105"/>
      <c r="AF24" s="105"/>
      <c r="AG24" s="105"/>
      <c r="AH24" s="105"/>
      <c r="AI24" s="106"/>
      <c r="AJ24" s="107"/>
      <c r="AK24" s="112"/>
      <c r="AL24" s="112"/>
      <c r="AM24" s="108"/>
      <c r="AN24" s="45"/>
      <c r="AO24" s="108"/>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1"/>
      <c r="BP24" s="1"/>
    </row>
    <row r="25" spans="2:68" s="11" customFormat="1" ht="21.75" x14ac:dyDescent="0.3">
      <c r="B25" s="9"/>
      <c r="C25" s="113"/>
      <c r="D25" s="114"/>
      <c r="E25" s="98"/>
      <c r="F25" s="117"/>
      <c r="G25" s="99"/>
      <c r="H25" s="99"/>
      <c r="I25" s="99"/>
      <c r="J25" s="98"/>
      <c r="K25" s="100"/>
      <c r="L25" s="100"/>
      <c r="M25" s="100"/>
      <c r="N25" s="100"/>
      <c r="O25" s="100"/>
      <c r="P25" s="100"/>
      <c r="Q25" s="118"/>
      <c r="R25" s="98"/>
      <c r="S25" s="119"/>
      <c r="T25" s="28"/>
      <c r="U25" s="28"/>
      <c r="V25" s="28"/>
      <c r="W25" s="101"/>
      <c r="X25" s="102"/>
      <c r="Y25" s="1"/>
      <c r="Z25" s="1"/>
      <c r="AA25" s="71"/>
      <c r="AB25" s="104"/>
      <c r="AC25" s="40"/>
      <c r="AD25" s="105"/>
      <c r="AE25" s="105"/>
      <c r="AF25" s="105"/>
      <c r="AG25" s="105"/>
      <c r="AH25" s="105"/>
      <c r="AI25" s="106"/>
      <c r="AJ25" s="107"/>
      <c r="AK25" s="112"/>
      <c r="AL25" s="112"/>
      <c r="AM25" s="108"/>
      <c r="AN25" s="45"/>
      <c r="AO25" s="108"/>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1"/>
      <c r="BP25" s="1"/>
    </row>
    <row r="26" spans="2:68" s="11" customFormat="1" ht="21.75" x14ac:dyDescent="0.3">
      <c r="B26" s="9"/>
      <c r="C26" s="113"/>
      <c r="D26" s="114"/>
      <c r="E26" s="98"/>
      <c r="F26" s="117"/>
      <c r="G26" s="99"/>
      <c r="H26" s="99"/>
      <c r="I26" s="99"/>
      <c r="J26" s="98"/>
      <c r="K26" s="100"/>
      <c r="L26" s="100"/>
      <c r="M26" s="100"/>
      <c r="N26" s="100"/>
      <c r="O26" s="100"/>
      <c r="P26" s="100"/>
      <c r="Q26" s="118"/>
      <c r="R26" s="98"/>
      <c r="S26" s="119"/>
      <c r="T26" s="28"/>
      <c r="U26" s="28"/>
      <c r="V26" s="28"/>
      <c r="W26" s="101"/>
      <c r="X26" s="102"/>
      <c r="Y26" s="1"/>
      <c r="Z26" s="1"/>
      <c r="AA26" s="71"/>
      <c r="AB26" s="104"/>
      <c r="AC26" s="40"/>
      <c r="AD26" s="105"/>
      <c r="AE26" s="105"/>
      <c r="AF26" s="105"/>
      <c r="AG26" s="105"/>
      <c r="AH26" s="105"/>
      <c r="AI26" s="106"/>
      <c r="AJ26" s="107"/>
      <c r="AK26" s="112"/>
      <c r="AL26" s="112"/>
      <c r="AM26" s="108"/>
      <c r="AN26" s="45"/>
      <c r="AO26" s="108"/>
      <c r="AP26" s="45"/>
      <c r="AQ26" s="45"/>
      <c r="AR26" s="45"/>
      <c r="AS26" s="45"/>
      <c r="AT26" s="45"/>
      <c r="AU26" s="45"/>
      <c r="AV26" s="45"/>
      <c r="AW26" s="45"/>
      <c r="AX26" s="45"/>
      <c r="AY26" s="45"/>
      <c r="AZ26" s="45"/>
      <c r="BA26" s="45"/>
      <c r="BB26" s="45"/>
      <c r="BC26" s="45"/>
      <c r="BD26" s="45"/>
      <c r="BE26" s="45"/>
      <c r="BF26" s="45"/>
      <c r="BG26" s="45"/>
      <c r="BH26" s="45"/>
      <c r="BI26" s="45"/>
      <c r="BJ26" s="45"/>
      <c r="BK26" s="45"/>
      <c r="BL26" s="45"/>
      <c r="BM26" s="45"/>
      <c r="BN26" s="45"/>
      <c r="BO26" s="1"/>
      <c r="BP26" s="1"/>
    </row>
    <row r="27" spans="2:68" s="11" customFormat="1" ht="21.75" x14ac:dyDescent="0.3">
      <c r="B27" s="9"/>
      <c r="C27" s="113"/>
      <c r="D27" s="114"/>
      <c r="E27" s="98"/>
      <c r="F27" s="117"/>
      <c r="G27" s="99"/>
      <c r="H27" s="99"/>
      <c r="I27" s="99"/>
      <c r="J27" s="98"/>
      <c r="K27" s="100"/>
      <c r="L27" s="100"/>
      <c r="M27" s="100"/>
      <c r="N27" s="100"/>
      <c r="O27" s="100"/>
      <c r="P27" s="100"/>
      <c r="Q27" s="118"/>
      <c r="R27" s="98"/>
      <c r="S27" s="119"/>
      <c r="T27" s="28"/>
      <c r="U27" s="28"/>
      <c r="V27" s="28"/>
      <c r="W27" s="101"/>
      <c r="X27" s="102"/>
      <c r="Y27" s="1"/>
      <c r="Z27" s="1"/>
      <c r="AA27" s="71"/>
      <c r="AB27" s="104"/>
      <c r="AC27" s="40"/>
      <c r="AD27" s="105"/>
      <c r="AE27" s="105"/>
      <c r="AF27" s="105"/>
      <c r="AG27" s="105"/>
      <c r="AH27" s="105"/>
      <c r="AI27" s="106"/>
      <c r="AJ27" s="107"/>
      <c r="AK27" s="112"/>
      <c r="AL27" s="112"/>
      <c r="AM27" s="108"/>
      <c r="AN27" s="45"/>
      <c r="AO27" s="108"/>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1"/>
      <c r="BP27" s="1"/>
    </row>
    <row r="28" spans="2:68" s="11" customFormat="1" ht="21.75" x14ac:dyDescent="0.3">
      <c r="B28" s="9"/>
      <c r="C28" s="113"/>
      <c r="D28" s="114"/>
      <c r="E28" s="98"/>
      <c r="F28" s="117"/>
      <c r="G28" s="99"/>
      <c r="H28" s="99"/>
      <c r="I28" s="99"/>
      <c r="J28" s="98"/>
      <c r="K28" s="100"/>
      <c r="L28" s="100"/>
      <c r="M28" s="100"/>
      <c r="N28" s="100"/>
      <c r="O28" s="100"/>
      <c r="P28" s="100"/>
      <c r="Q28" s="118"/>
      <c r="R28" s="98"/>
      <c r="S28" s="119"/>
      <c r="T28" s="28"/>
      <c r="U28" s="28"/>
      <c r="V28" s="28"/>
      <c r="W28" s="101"/>
      <c r="X28" s="102"/>
      <c r="Y28" s="1"/>
      <c r="Z28" s="1"/>
      <c r="AA28" s="71"/>
      <c r="AB28" s="104"/>
      <c r="AC28" s="40"/>
      <c r="AD28" s="105"/>
      <c r="AE28" s="105"/>
      <c r="AF28" s="105"/>
      <c r="AG28" s="105"/>
      <c r="AH28" s="105"/>
      <c r="AI28" s="106"/>
      <c r="AJ28" s="107"/>
      <c r="AK28" s="112"/>
      <c r="AL28" s="112"/>
      <c r="AM28" s="108"/>
      <c r="AN28" s="45"/>
      <c r="AO28" s="108"/>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1"/>
      <c r="BP28" s="1"/>
    </row>
    <row r="29" spans="2:68" s="11" customFormat="1" ht="21.75" x14ac:dyDescent="0.3">
      <c r="B29" s="9"/>
      <c r="C29" s="113"/>
      <c r="D29" s="114"/>
      <c r="E29" s="98"/>
      <c r="F29" s="117"/>
      <c r="G29" s="99"/>
      <c r="H29" s="99"/>
      <c r="I29" s="99"/>
      <c r="J29" s="98"/>
      <c r="K29" s="100"/>
      <c r="L29" s="100"/>
      <c r="M29" s="100"/>
      <c r="N29" s="100"/>
      <c r="O29" s="100"/>
      <c r="P29" s="100"/>
      <c r="Q29" s="118"/>
      <c r="R29" s="98"/>
      <c r="S29" s="119"/>
      <c r="T29" s="28"/>
      <c r="U29" s="28"/>
      <c r="V29" s="28"/>
      <c r="W29" s="101"/>
      <c r="X29" s="102"/>
      <c r="Y29" s="1"/>
      <c r="Z29" s="1"/>
      <c r="AA29" s="71"/>
      <c r="AB29" s="104"/>
      <c r="AC29" s="40"/>
      <c r="AD29" s="105"/>
      <c r="AE29" s="105"/>
      <c r="AF29" s="105"/>
      <c r="AG29" s="105"/>
      <c r="AH29" s="105"/>
      <c r="AI29" s="106"/>
      <c r="AJ29" s="107"/>
      <c r="AK29" s="112"/>
      <c r="AL29" s="112"/>
      <c r="AM29" s="108"/>
      <c r="AN29" s="45"/>
      <c r="AO29" s="108"/>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1"/>
      <c r="BP29" s="1"/>
    </row>
    <row r="30" spans="2:68" s="11" customFormat="1" ht="21.75" x14ac:dyDescent="0.3">
      <c r="B30" s="9"/>
      <c r="C30" s="113"/>
      <c r="D30" s="114"/>
      <c r="E30" s="98"/>
      <c r="F30" s="117"/>
      <c r="G30" s="99"/>
      <c r="H30" s="99"/>
      <c r="I30" s="99"/>
      <c r="J30" s="98"/>
      <c r="K30" s="100"/>
      <c r="L30" s="100"/>
      <c r="M30" s="100"/>
      <c r="N30" s="100"/>
      <c r="O30" s="100"/>
      <c r="P30" s="100"/>
      <c r="Q30" s="118"/>
      <c r="R30" s="98"/>
      <c r="S30" s="119"/>
      <c r="T30" s="28"/>
      <c r="U30" s="28"/>
      <c r="V30" s="28"/>
      <c r="W30" s="101"/>
      <c r="X30" s="102"/>
      <c r="Y30" s="1"/>
      <c r="Z30" s="1"/>
      <c r="AA30" s="71"/>
      <c r="AB30" s="104"/>
      <c r="AC30" s="40"/>
      <c r="AD30" s="105"/>
      <c r="AE30" s="105"/>
      <c r="AF30" s="105"/>
      <c r="AG30" s="105"/>
      <c r="AH30" s="105"/>
      <c r="AI30" s="106"/>
      <c r="AJ30" s="107"/>
      <c r="AK30" s="112"/>
      <c r="AL30" s="112"/>
      <c r="AM30" s="108"/>
      <c r="AN30" s="45"/>
      <c r="AO30" s="108"/>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1"/>
      <c r="BP30" s="1"/>
    </row>
    <row r="31" spans="2:68" s="11" customFormat="1" ht="21.75" x14ac:dyDescent="0.3">
      <c r="B31" s="9"/>
      <c r="C31" s="113"/>
      <c r="D31" s="114"/>
      <c r="E31" s="98"/>
      <c r="F31" s="117"/>
      <c r="G31" s="99"/>
      <c r="H31" s="99"/>
      <c r="I31" s="99"/>
      <c r="J31" s="98"/>
      <c r="K31" s="100"/>
      <c r="L31" s="100"/>
      <c r="M31" s="100"/>
      <c r="N31" s="100"/>
      <c r="O31" s="100"/>
      <c r="P31" s="100"/>
      <c r="Q31" s="118"/>
      <c r="R31" s="98"/>
      <c r="S31" s="119"/>
      <c r="T31" s="28"/>
      <c r="U31" s="28"/>
      <c r="V31" s="28"/>
      <c r="W31" s="101"/>
      <c r="X31" s="102"/>
      <c r="Y31" s="1"/>
      <c r="Z31" s="1"/>
      <c r="AA31" s="71"/>
      <c r="AB31" s="104"/>
      <c r="AC31" s="40"/>
      <c r="AD31" s="105"/>
      <c r="AE31" s="105"/>
      <c r="AF31" s="105"/>
      <c r="AG31" s="105"/>
      <c r="AH31" s="105"/>
      <c r="AI31" s="106"/>
      <c r="AJ31" s="107"/>
      <c r="AK31" s="112"/>
      <c r="AL31" s="112"/>
      <c r="AM31" s="108"/>
      <c r="AN31" s="45"/>
      <c r="AO31" s="108"/>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1"/>
      <c r="BP31" s="1"/>
    </row>
    <row r="32" spans="2:68" s="11" customFormat="1" ht="21.75" x14ac:dyDescent="0.3">
      <c r="B32" s="9"/>
      <c r="C32" s="113"/>
      <c r="D32" s="114"/>
      <c r="E32" s="98"/>
      <c r="F32" s="117"/>
      <c r="G32" s="99"/>
      <c r="H32" s="99"/>
      <c r="I32" s="99"/>
      <c r="J32" s="98"/>
      <c r="K32" s="100"/>
      <c r="L32" s="100"/>
      <c r="M32" s="100"/>
      <c r="N32" s="100"/>
      <c r="O32" s="100"/>
      <c r="P32" s="100"/>
      <c r="Q32" s="118"/>
      <c r="R32" s="98"/>
      <c r="S32" s="119"/>
      <c r="T32" s="28"/>
      <c r="U32" s="28"/>
      <c r="V32" s="28"/>
      <c r="W32" s="101"/>
      <c r="X32" s="102"/>
      <c r="Y32" s="1"/>
      <c r="Z32" s="1"/>
      <c r="AA32" s="71"/>
      <c r="AB32" s="104"/>
      <c r="AC32" s="40"/>
      <c r="AD32" s="105"/>
      <c r="AE32" s="105"/>
      <c r="AF32" s="105"/>
      <c r="AG32" s="105"/>
      <c r="AH32" s="105"/>
      <c r="AI32" s="106"/>
      <c r="AJ32" s="107"/>
      <c r="AK32" s="112"/>
      <c r="AL32" s="112"/>
      <c r="AM32" s="108"/>
      <c r="AN32" s="45"/>
      <c r="AO32" s="108"/>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1"/>
      <c r="BP32" s="1"/>
    </row>
    <row r="33" spans="2:68" s="11" customFormat="1" ht="21.75" x14ac:dyDescent="0.3">
      <c r="B33" s="9"/>
      <c r="C33" s="113"/>
      <c r="D33" s="114"/>
      <c r="E33" s="98"/>
      <c r="F33" s="117"/>
      <c r="G33" s="99"/>
      <c r="H33" s="99"/>
      <c r="I33" s="99"/>
      <c r="J33" s="98"/>
      <c r="K33" s="100"/>
      <c r="L33" s="100"/>
      <c r="M33" s="100"/>
      <c r="N33" s="100"/>
      <c r="O33" s="100"/>
      <c r="P33" s="100"/>
      <c r="Q33" s="118"/>
      <c r="R33" s="98"/>
      <c r="S33" s="119"/>
      <c r="T33" s="28"/>
      <c r="U33" s="28"/>
      <c r="V33" s="28"/>
      <c r="W33" s="101"/>
      <c r="X33" s="102"/>
      <c r="Y33" s="1"/>
      <c r="Z33" s="1"/>
      <c r="AA33" s="71"/>
      <c r="AB33" s="104"/>
      <c r="AC33" s="40"/>
      <c r="AD33" s="105"/>
      <c r="AE33" s="105"/>
      <c r="AF33" s="105"/>
      <c r="AG33" s="105"/>
      <c r="AH33" s="105"/>
      <c r="AI33" s="106"/>
      <c r="AJ33" s="107"/>
      <c r="AK33" s="112"/>
      <c r="AL33" s="112"/>
      <c r="AM33" s="108"/>
      <c r="AN33" s="45"/>
      <c r="AO33" s="108"/>
      <c r="AP33" s="45"/>
      <c r="AQ33" s="45"/>
      <c r="AR33" s="45"/>
      <c r="AS33" s="45"/>
      <c r="AT33" s="45"/>
      <c r="AU33" s="45"/>
      <c r="AV33" s="45"/>
      <c r="AW33" s="45"/>
      <c r="AX33" s="45"/>
      <c r="AY33" s="45"/>
      <c r="AZ33" s="45"/>
      <c r="BA33" s="45"/>
      <c r="BB33" s="45"/>
      <c r="BC33" s="45"/>
      <c r="BD33" s="45"/>
      <c r="BE33" s="45"/>
      <c r="BF33" s="45"/>
      <c r="BG33" s="45"/>
      <c r="BH33" s="45"/>
      <c r="BI33" s="45"/>
      <c r="BJ33" s="45"/>
      <c r="BK33" s="45"/>
      <c r="BL33" s="45"/>
      <c r="BM33" s="45"/>
      <c r="BN33" s="45"/>
      <c r="BO33" s="1"/>
      <c r="BP33" s="1"/>
    </row>
    <row r="34" spans="2:68" s="11" customFormat="1" ht="21.75" x14ac:dyDescent="0.3">
      <c r="B34" s="9"/>
      <c r="C34" s="113"/>
      <c r="D34" s="114"/>
      <c r="E34" s="98"/>
      <c r="F34" s="117"/>
      <c r="G34" s="99"/>
      <c r="H34" s="99"/>
      <c r="I34" s="99"/>
      <c r="J34" s="98"/>
      <c r="K34" s="100"/>
      <c r="L34" s="100"/>
      <c r="M34" s="100"/>
      <c r="N34" s="100"/>
      <c r="O34" s="100"/>
      <c r="P34" s="100"/>
      <c r="Q34" s="118"/>
      <c r="R34" s="98"/>
      <c r="S34" s="119"/>
      <c r="T34" s="28"/>
      <c r="U34" s="28"/>
      <c r="V34" s="28"/>
      <c r="W34" s="101"/>
      <c r="X34" s="102"/>
      <c r="Y34" s="1"/>
      <c r="Z34" s="1"/>
      <c r="AA34" s="71"/>
      <c r="AB34" s="104"/>
      <c r="AC34" s="40"/>
      <c r="AD34" s="105"/>
      <c r="AE34" s="105"/>
      <c r="AF34" s="105"/>
      <c r="AG34" s="105"/>
      <c r="AH34" s="105"/>
      <c r="AI34" s="106"/>
      <c r="AJ34" s="107"/>
      <c r="AK34" s="112"/>
      <c r="AL34" s="112"/>
      <c r="AM34" s="108"/>
      <c r="AN34" s="45"/>
      <c r="AO34" s="108"/>
      <c r="AP34" s="45"/>
      <c r="AQ34" s="45"/>
      <c r="AR34" s="45"/>
      <c r="AS34" s="45"/>
      <c r="AT34" s="45"/>
      <c r="AU34" s="45"/>
      <c r="AV34" s="45"/>
      <c r="AW34" s="45"/>
      <c r="AX34" s="45"/>
      <c r="AY34" s="45"/>
      <c r="AZ34" s="45"/>
      <c r="BA34" s="45"/>
      <c r="BB34" s="45"/>
      <c r="BC34" s="45"/>
      <c r="BD34" s="45"/>
      <c r="BE34" s="45"/>
      <c r="BF34" s="45"/>
      <c r="BG34" s="45"/>
      <c r="BH34" s="45"/>
      <c r="BI34" s="45"/>
      <c r="BJ34" s="45"/>
      <c r="BK34" s="45"/>
      <c r="BL34" s="45"/>
      <c r="BM34" s="45"/>
      <c r="BN34" s="45"/>
      <c r="BO34" s="1"/>
      <c r="BP34" s="1"/>
    </row>
    <row r="35" spans="2:68" s="11" customFormat="1" ht="21.75" x14ac:dyDescent="0.3">
      <c r="B35" s="9"/>
      <c r="C35" s="113"/>
      <c r="D35" s="114"/>
      <c r="E35" s="98"/>
      <c r="F35" s="117"/>
      <c r="G35" s="99"/>
      <c r="H35" s="99"/>
      <c r="I35" s="99"/>
      <c r="J35" s="98"/>
      <c r="K35" s="100"/>
      <c r="L35" s="100"/>
      <c r="M35" s="100"/>
      <c r="N35" s="100"/>
      <c r="O35" s="100"/>
      <c r="P35" s="100"/>
      <c r="Q35" s="118"/>
      <c r="R35" s="98"/>
      <c r="S35" s="119"/>
      <c r="T35" s="28"/>
      <c r="U35" s="28"/>
      <c r="V35" s="28"/>
      <c r="W35" s="101"/>
      <c r="X35" s="102"/>
      <c r="Y35" s="1"/>
      <c r="Z35" s="1"/>
      <c r="AA35" s="71"/>
      <c r="AB35" s="104"/>
      <c r="AC35" s="40"/>
      <c r="AD35" s="105"/>
      <c r="AE35" s="105"/>
      <c r="AF35" s="105"/>
      <c r="AG35" s="105"/>
      <c r="AH35" s="105"/>
      <c r="AI35" s="106"/>
      <c r="AJ35" s="107"/>
      <c r="AK35" s="112"/>
      <c r="AL35" s="112"/>
      <c r="AM35" s="108"/>
      <c r="AN35" s="45"/>
      <c r="AO35" s="108"/>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1"/>
      <c r="BP35" s="1"/>
    </row>
    <row r="36" spans="2:68" s="11" customFormat="1" ht="21.75" x14ac:dyDescent="0.3">
      <c r="B36" s="9"/>
      <c r="C36" s="113"/>
      <c r="D36" s="114"/>
      <c r="E36" s="98"/>
      <c r="F36" s="117"/>
      <c r="G36" s="99"/>
      <c r="H36" s="99"/>
      <c r="I36" s="99"/>
      <c r="J36" s="98"/>
      <c r="K36" s="100"/>
      <c r="L36" s="100"/>
      <c r="M36" s="100"/>
      <c r="N36" s="100"/>
      <c r="O36" s="100"/>
      <c r="P36" s="100"/>
      <c r="Q36" s="118"/>
      <c r="R36" s="98"/>
      <c r="S36" s="119"/>
      <c r="T36" s="28"/>
      <c r="U36" s="28"/>
      <c r="V36" s="28"/>
      <c r="W36" s="101"/>
      <c r="X36" s="102"/>
      <c r="Y36" s="1"/>
      <c r="Z36" s="1"/>
      <c r="AA36" s="71"/>
      <c r="AB36" s="104"/>
      <c r="AC36" s="40"/>
      <c r="AD36" s="105"/>
      <c r="AE36" s="105"/>
      <c r="AF36" s="105"/>
      <c r="AG36" s="105"/>
      <c r="AH36" s="105"/>
      <c r="AI36" s="106"/>
      <c r="AJ36" s="107"/>
      <c r="AK36" s="112"/>
      <c r="AL36" s="112"/>
      <c r="AM36" s="108"/>
      <c r="AN36" s="45"/>
      <c r="AO36" s="108"/>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1"/>
      <c r="BP36" s="1"/>
    </row>
    <row r="37" spans="2:68" s="11" customFormat="1" ht="21.75" x14ac:dyDescent="0.3">
      <c r="B37" s="9"/>
      <c r="C37" s="113"/>
      <c r="D37" s="114"/>
      <c r="E37" s="98"/>
      <c r="F37" s="117"/>
      <c r="G37" s="99"/>
      <c r="H37" s="99"/>
      <c r="I37" s="99"/>
      <c r="J37" s="98"/>
      <c r="K37" s="100"/>
      <c r="L37" s="100"/>
      <c r="M37" s="100"/>
      <c r="N37" s="100"/>
      <c r="O37" s="100"/>
      <c r="P37" s="100"/>
      <c r="Q37" s="118"/>
      <c r="R37" s="98"/>
      <c r="S37" s="119"/>
      <c r="T37" s="28"/>
      <c r="U37" s="28"/>
      <c r="V37" s="28"/>
      <c r="W37" s="101"/>
      <c r="X37" s="102"/>
      <c r="Y37" s="1"/>
      <c r="Z37" s="1"/>
      <c r="AA37" s="71"/>
      <c r="AB37" s="104"/>
      <c r="AC37" s="40"/>
      <c r="AD37" s="105"/>
      <c r="AE37" s="105"/>
      <c r="AF37" s="105"/>
      <c r="AG37" s="105"/>
      <c r="AH37" s="105"/>
      <c r="AI37" s="106"/>
      <c r="AJ37" s="107"/>
      <c r="AK37" s="112"/>
      <c r="AL37" s="112"/>
      <c r="AM37" s="108"/>
      <c r="AN37" s="45"/>
      <c r="AO37" s="108"/>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1"/>
      <c r="BP37" s="1"/>
    </row>
    <row r="38" spans="2:68" s="11" customFormat="1" ht="21.75" x14ac:dyDescent="0.3">
      <c r="B38" s="9"/>
      <c r="C38" s="113"/>
      <c r="D38" s="114"/>
      <c r="E38" s="98"/>
      <c r="F38" s="117"/>
      <c r="G38" s="99"/>
      <c r="H38" s="99"/>
      <c r="I38" s="99"/>
      <c r="J38" s="98"/>
      <c r="K38" s="100"/>
      <c r="L38" s="100"/>
      <c r="M38" s="100"/>
      <c r="N38" s="100"/>
      <c r="O38" s="100"/>
      <c r="P38" s="100"/>
      <c r="Q38" s="118"/>
      <c r="R38" s="98"/>
      <c r="S38" s="119"/>
      <c r="T38" s="28"/>
      <c r="U38" s="28"/>
      <c r="V38" s="28"/>
      <c r="W38" s="101"/>
      <c r="X38" s="102"/>
      <c r="Y38" s="1"/>
      <c r="Z38" s="1"/>
      <c r="AA38" s="71"/>
      <c r="AB38" s="104"/>
      <c r="AC38" s="40"/>
      <c r="AD38" s="105"/>
      <c r="AE38" s="105"/>
      <c r="AF38" s="105"/>
      <c r="AG38" s="105"/>
      <c r="AH38" s="105"/>
      <c r="AI38" s="106"/>
      <c r="AJ38" s="107"/>
      <c r="AK38" s="112"/>
      <c r="AL38" s="112"/>
      <c r="AM38" s="108"/>
      <c r="AN38" s="45"/>
      <c r="AO38" s="108"/>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1"/>
      <c r="BP38" s="1"/>
    </row>
    <row r="39" spans="2:68" s="11" customFormat="1" ht="21.75" x14ac:dyDescent="0.3">
      <c r="B39" s="9"/>
      <c r="C39" s="113"/>
      <c r="D39" s="114"/>
      <c r="E39" s="98"/>
      <c r="F39" s="117"/>
      <c r="G39" s="99"/>
      <c r="H39" s="99"/>
      <c r="I39" s="99"/>
      <c r="J39" s="98"/>
      <c r="K39" s="100"/>
      <c r="L39" s="100"/>
      <c r="M39" s="100"/>
      <c r="N39" s="100"/>
      <c r="O39" s="100"/>
      <c r="P39" s="100"/>
      <c r="Q39" s="118"/>
      <c r="R39" s="98"/>
      <c r="S39" s="119"/>
      <c r="T39" s="28"/>
      <c r="U39" s="28"/>
      <c r="V39" s="28"/>
      <c r="W39" s="101"/>
      <c r="X39" s="102"/>
      <c r="Y39" s="1"/>
      <c r="Z39" s="1"/>
      <c r="AA39" s="71"/>
      <c r="AB39" s="104"/>
      <c r="AC39" s="40"/>
      <c r="AD39" s="105"/>
      <c r="AE39" s="105"/>
      <c r="AF39" s="105"/>
      <c r="AG39" s="105"/>
      <c r="AH39" s="105"/>
      <c r="AI39" s="106"/>
      <c r="AJ39" s="107"/>
      <c r="AK39" s="112"/>
      <c r="AL39" s="112"/>
      <c r="AM39" s="108"/>
      <c r="AN39" s="45"/>
      <c r="AO39" s="108"/>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1"/>
      <c r="BP39" s="1"/>
    </row>
    <row r="40" spans="2:68" s="11" customFormat="1" ht="21.75" x14ac:dyDescent="0.3">
      <c r="B40" s="9"/>
      <c r="C40" s="113"/>
      <c r="D40" s="114"/>
      <c r="E40" s="98"/>
      <c r="F40" s="117"/>
      <c r="G40" s="99"/>
      <c r="H40" s="99"/>
      <c r="I40" s="99"/>
      <c r="J40" s="98"/>
      <c r="K40" s="100"/>
      <c r="L40" s="100"/>
      <c r="M40" s="100"/>
      <c r="N40" s="100"/>
      <c r="O40" s="100"/>
      <c r="P40" s="100"/>
      <c r="Q40" s="118"/>
      <c r="R40" s="98"/>
      <c r="S40" s="119"/>
      <c r="T40" s="28"/>
      <c r="U40" s="28"/>
      <c r="V40" s="28"/>
      <c r="W40" s="101"/>
      <c r="X40" s="102"/>
      <c r="Y40" s="1"/>
      <c r="Z40" s="1"/>
      <c r="AA40" s="71"/>
      <c r="AB40" s="104"/>
      <c r="AC40" s="40"/>
      <c r="AD40" s="105"/>
      <c r="AE40" s="105"/>
      <c r="AF40" s="105"/>
      <c r="AG40" s="105"/>
      <c r="AH40" s="105"/>
      <c r="AI40" s="106"/>
      <c r="AJ40" s="107"/>
      <c r="AK40" s="112"/>
      <c r="AL40" s="112"/>
      <c r="AM40" s="108"/>
      <c r="AN40" s="45"/>
      <c r="AO40" s="108"/>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1"/>
      <c r="BP40" s="1"/>
    </row>
    <row r="41" spans="2:68" s="11" customFormat="1" ht="21.75" x14ac:dyDescent="0.3">
      <c r="B41" s="9"/>
      <c r="C41" s="113"/>
      <c r="D41" s="114"/>
      <c r="E41" s="98"/>
      <c r="F41" s="117"/>
      <c r="G41" s="99"/>
      <c r="H41" s="99"/>
      <c r="I41" s="99"/>
      <c r="J41" s="98"/>
      <c r="K41" s="100"/>
      <c r="L41" s="100"/>
      <c r="M41" s="100"/>
      <c r="N41" s="100"/>
      <c r="O41" s="100"/>
      <c r="P41" s="100"/>
      <c r="Q41" s="118"/>
      <c r="R41" s="98"/>
      <c r="S41" s="119"/>
      <c r="T41" s="28"/>
      <c r="U41" s="28"/>
      <c r="V41" s="28"/>
      <c r="W41" s="101"/>
      <c r="X41" s="102"/>
      <c r="Y41" s="1"/>
      <c r="Z41" s="1"/>
      <c r="AA41" s="71"/>
      <c r="AB41" s="104"/>
      <c r="AC41" s="40"/>
      <c r="AD41" s="105"/>
      <c r="AE41" s="105"/>
      <c r="AF41" s="105"/>
      <c r="AG41" s="105"/>
      <c r="AH41" s="105"/>
      <c r="AI41" s="106"/>
      <c r="AJ41" s="107"/>
      <c r="AK41" s="112"/>
      <c r="AL41" s="112"/>
      <c r="AM41" s="108"/>
      <c r="AN41" s="45"/>
      <c r="AO41" s="108"/>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1"/>
      <c r="BP41" s="1"/>
    </row>
    <row r="42" spans="2:68" s="11" customFormat="1" ht="21.75" x14ac:dyDescent="0.3">
      <c r="B42" s="9"/>
      <c r="C42" s="113"/>
      <c r="D42" s="114"/>
      <c r="E42" s="98"/>
      <c r="F42" s="117"/>
      <c r="G42" s="99"/>
      <c r="H42" s="99"/>
      <c r="I42" s="99"/>
      <c r="J42" s="98"/>
      <c r="K42" s="100"/>
      <c r="L42" s="100"/>
      <c r="M42" s="100"/>
      <c r="N42" s="100"/>
      <c r="O42" s="100"/>
      <c r="P42" s="100"/>
      <c r="Q42" s="118"/>
      <c r="R42" s="98"/>
      <c r="S42" s="119"/>
      <c r="T42" s="28"/>
      <c r="U42" s="28"/>
      <c r="V42" s="28"/>
      <c r="W42" s="101"/>
      <c r="X42" s="102"/>
      <c r="Y42" s="1"/>
      <c r="Z42" s="1"/>
      <c r="AA42" s="71"/>
      <c r="AB42" s="104"/>
      <c r="AC42" s="40"/>
      <c r="AD42" s="105"/>
      <c r="AE42" s="105"/>
      <c r="AF42" s="105"/>
      <c r="AG42" s="105"/>
      <c r="AH42" s="105"/>
      <c r="AI42" s="106"/>
      <c r="AJ42" s="107"/>
      <c r="AK42" s="112"/>
      <c r="AL42" s="112"/>
      <c r="AM42" s="108"/>
      <c r="AN42" s="45"/>
      <c r="AO42" s="108"/>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1"/>
      <c r="BP42" s="1"/>
    </row>
    <row r="43" spans="2:68" s="11" customFormat="1" ht="21.75" x14ac:dyDescent="0.3">
      <c r="B43" s="9"/>
      <c r="C43" s="113"/>
      <c r="D43" s="114"/>
      <c r="E43" s="98"/>
      <c r="F43" s="117"/>
      <c r="G43" s="99"/>
      <c r="H43" s="99"/>
      <c r="I43" s="99"/>
      <c r="J43" s="98"/>
      <c r="K43" s="100"/>
      <c r="L43" s="100"/>
      <c r="M43" s="100"/>
      <c r="N43" s="100"/>
      <c r="O43" s="100"/>
      <c r="P43" s="100"/>
      <c r="Q43" s="118"/>
      <c r="R43" s="98"/>
      <c r="S43" s="119"/>
      <c r="T43" s="28"/>
      <c r="U43" s="28"/>
      <c r="V43" s="28"/>
      <c r="W43" s="101"/>
      <c r="X43" s="102"/>
      <c r="Y43" s="1"/>
      <c r="Z43" s="1"/>
      <c r="AA43" s="71"/>
      <c r="AB43" s="104"/>
      <c r="AC43" s="40"/>
      <c r="AD43" s="105"/>
      <c r="AE43" s="105"/>
      <c r="AF43" s="105"/>
      <c r="AG43" s="105"/>
      <c r="AH43" s="105"/>
      <c r="AI43" s="106"/>
      <c r="AJ43" s="107"/>
      <c r="AK43" s="112"/>
      <c r="AL43" s="112"/>
      <c r="AM43" s="108"/>
      <c r="AN43" s="45"/>
      <c r="AO43" s="108"/>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1"/>
      <c r="BP43" s="1"/>
    </row>
    <row r="44" spans="2:68" s="11" customFormat="1" ht="21.75" x14ac:dyDescent="0.3">
      <c r="B44" s="9"/>
      <c r="C44" s="113"/>
      <c r="D44" s="114"/>
      <c r="E44" s="98"/>
      <c r="F44" s="117"/>
      <c r="G44" s="99"/>
      <c r="H44" s="99"/>
      <c r="I44" s="99"/>
      <c r="J44" s="98"/>
      <c r="K44" s="100"/>
      <c r="L44" s="100"/>
      <c r="M44" s="100"/>
      <c r="N44" s="100"/>
      <c r="O44" s="100"/>
      <c r="P44" s="100"/>
      <c r="Q44" s="118"/>
      <c r="R44" s="98"/>
      <c r="S44" s="119"/>
      <c r="T44" s="28"/>
      <c r="U44" s="28"/>
      <c r="V44" s="28"/>
      <c r="W44" s="101"/>
      <c r="X44" s="102"/>
      <c r="Y44" s="1"/>
      <c r="Z44" s="1"/>
      <c r="AA44" s="71"/>
      <c r="AB44" s="104"/>
      <c r="AC44" s="40"/>
      <c r="AD44" s="105"/>
      <c r="AE44" s="105"/>
      <c r="AF44" s="105"/>
      <c r="AG44" s="105"/>
      <c r="AH44" s="105"/>
      <c r="AI44" s="106"/>
      <c r="AJ44" s="107"/>
      <c r="AK44" s="112"/>
      <c r="AL44" s="112"/>
      <c r="AM44" s="108"/>
      <c r="AN44" s="45"/>
      <c r="AO44" s="108"/>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1"/>
      <c r="BP44" s="1"/>
    </row>
    <row r="45" spans="2:68" s="11" customFormat="1" ht="21.75" x14ac:dyDescent="0.3">
      <c r="B45" s="9"/>
      <c r="C45" s="113"/>
      <c r="D45" s="114"/>
      <c r="E45" s="98"/>
      <c r="F45" s="117"/>
      <c r="G45" s="99"/>
      <c r="H45" s="99"/>
      <c r="I45" s="99"/>
      <c r="J45" s="98"/>
      <c r="K45" s="100"/>
      <c r="L45" s="100"/>
      <c r="M45" s="100"/>
      <c r="N45" s="100"/>
      <c r="O45" s="100"/>
      <c r="P45" s="100"/>
      <c r="Q45" s="118"/>
      <c r="R45" s="98"/>
      <c r="S45" s="119"/>
      <c r="T45" s="28"/>
      <c r="U45" s="28"/>
      <c r="V45" s="28"/>
      <c r="W45" s="101"/>
      <c r="X45" s="102"/>
      <c r="Y45" s="1"/>
      <c r="Z45" s="1"/>
      <c r="AA45" s="71"/>
      <c r="AB45" s="104"/>
      <c r="AC45" s="40"/>
      <c r="AD45" s="105"/>
      <c r="AE45" s="105"/>
      <c r="AF45" s="105"/>
      <c r="AG45" s="105"/>
      <c r="AH45" s="105"/>
      <c r="AI45" s="106"/>
      <c r="AJ45" s="107"/>
      <c r="AK45" s="112"/>
      <c r="AL45" s="112"/>
      <c r="AM45" s="108"/>
      <c r="AN45" s="45"/>
      <c r="AO45" s="108"/>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1"/>
      <c r="BP45" s="1"/>
    </row>
    <row r="46" spans="2:68" s="11" customFormat="1" ht="21.75" x14ac:dyDescent="0.3">
      <c r="B46" s="9"/>
      <c r="C46" s="113"/>
      <c r="D46" s="114"/>
      <c r="E46" s="98"/>
      <c r="F46" s="117"/>
      <c r="G46" s="99"/>
      <c r="H46" s="99"/>
      <c r="I46" s="99"/>
      <c r="J46" s="98"/>
      <c r="K46" s="100"/>
      <c r="L46" s="100"/>
      <c r="M46" s="100"/>
      <c r="N46" s="100"/>
      <c r="O46" s="100"/>
      <c r="P46" s="100"/>
      <c r="Q46" s="118"/>
      <c r="R46" s="98"/>
      <c r="S46" s="119"/>
      <c r="T46" s="28"/>
      <c r="U46" s="28"/>
      <c r="V46" s="28"/>
      <c r="W46" s="101"/>
      <c r="X46" s="102"/>
      <c r="Y46" s="1"/>
      <c r="Z46" s="1"/>
      <c r="AA46" s="71"/>
      <c r="AB46" s="104"/>
      <c r="AC46" s="40"/>
      <c r="AD46" s="105"/>
      <c r="AE46" s="105"/>
      <c r="AF46" s="105"/>
      <c r="AG46" s="105"/>
      <c r="AH46" s="105"/>
      <c r="AI46" s="106"/>
      <c r="AJ46" s="107"/>
      <c r="AK46" s="112"/>
      <c r="AL46" s="112"/>
      <c r="AM46" s="108"/>
      <c r="AN46" s="45"/>
      <c r="AO46" s="108"/>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1"/>
      <c r="BP46" s="1"/>
    </row>
    <row r="47" spans="2:68" s="11" customFormat="1" ht="21.75" x14ac:dyDescent="0.3">
      <c r="B47" s="9"/>
      <c r="C47" s="113"/>
      <c r="D47" s="114"/>
      <c r="E47" s="98"/>
      <c r="F47" s="117"/>
      <c r="G47" s="99"/>
      <c r="H47" s="99"/>
      <c r="I47" s="99"/>
      <c r="J47" s="98"/>
      <c r="K47" s="100"/>
      <c r="L47" s="100"/>
      <c r="M47" s="100"/>
      <c r="N47" s="100"/>
      <c r="O47" s="100"/>
      <c r="P47" s="100"/>
      <c r="Q47" s="118"/>
      <c r="R47" s="98"/>
      <c r="S47" s="119"/>
      <c r="T47" s="28"/>
      <c r="U47" s="28"/>
      <c r="V47" s="28"/>
      <c r="W47" s="101"/>
      <c r="X47" s="102"/>
      <c r="Y47" s="1"/>
      <c r="Z47" s="1"/>
      <c r="AA47" s="71"/>
      <c r="AB47" s="104"/>
      <c r="AC47" s="40"/>
      <c r="AD47" s="105"/>
      <c r="AE47" s="105"/>
      <c r="AF47" s="105"/>
      <c r="AG47" s="105"/>
      <c r="AH47" s="105"/>
      <c r="AI47" s="106"/>
      <c r="AJ47" s="107"/>
      <c r="AK47" s="112"/>
      <c r="AL47" s="112"/>
      <c r="AM47" s="108"/>
      <c r="AN47" s="45"/>
      <c r="AO47" s="108"/>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1"/>
      <c r="BP47" s="1"/>
    </row>
    <row r="48" spans="2:68" s="11" customFormat="1" ht="21.75" x14ac:dyDescent="0.3">
      <c r="B48" s="9"/>
      <c r="C48" s="113"/>
      <c r="D48" s="114"/>
      <c r="E48" s="98"/>
      <c r="F48" s="117"/>
      <c r="G48" s="99"/>
      <c r="H48" s="99"/>
      <c r="I48" s="99"/>
      <c r="J48" s="98"/>
      <c r="K48" s="100"/>
      <c r="L48" s="100"/>
      <c r="M48" s="100"/>
      <c r="N48" s="100"/>
      <c r="O48" s="100"/>
      <c r="P48" s="100"/>
      <c r="Q48" s="118"/>
      <c r="R48" s="98"/>
      <c r="S48" s="119"/>
      <c r="T48" s="28"/>
      <c r="U48" s="28"/>
      <c r="V48" s="28"/>
      <c r="W48" s="101"/>
      <c r="X48" s="102"/>
      <c r="Y48" s="1"/>
      <c r="Z48" s="1"/>
      <c r="AA48" s="71"/>
      <c r="AB48" s="104"/>
      <c r="AC48" s="40"/>
      <c r="AD48" s="105"/>
      <c r="AE48" s="105"/>
      <c r="AF48" s="105"/>
      <c r="AG48" s="105"/>
      <c r="AH48" s="105"/>
      <c r="AI48" s="106"/>
      <c r="AJ48" s="107"/>
      <c r="AK48" s="112"/>
      <c r="AL48" s="112"/>
      <c r="AM48" s="108"/>
      <c r="AN48" s="45"/>
      <c r="AO48" s="108"/>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1"/>
      <c r="BP48" s="1"/>
    </row>
    <row r="49" spans="2:68" s="11" customFormat="1" ht="21.75" x14ac:dyDescent="0.3">
      <c r="B49" s="9"/>
      <c r="C49" s="113"/>
      <c r="D49" s="114"/>
      <c r="E49" s="98"/>
      <c r="F49" s="117"/>
      <c r="G49" s="99"/>
      <c r="H49" s="99"/>
      <c r="I49" s="99"/>
      <c r="J49" s="98"/>
      <c r="K49" s="100"/>
      <c r="L49" s="100"/>
      <c r="M49" s="100"/>
      <c r="N49" s="100"/>
      <c r="O49" s="100"/>
      <c r="P49" s="100"/>
      <c r="Q49" s="118"/>
      <c r="R49" s="98"/>
      <c r="S49" s="119"/>
      <c r="T49" s="28"/>
      <c r="U49" s="28"/>
      <c r="V49" s="28"/>
      <c r="W49" s="101"/>
      <c r="X49" s="102"/>
      <c r="Y49" s="1"/>
      <c r="Z49" s="1"/>
      <c r="AA49" s="71"/>
      <c r="AB49" s="104"/>
      <c r="AC49" s="40"/>
      <c r="AD49" s="105"/>
      <c r="AE49" s="105"/>
      <c r="AF49" s="105"/>
      <c r="AG49" s="105"/>
      <c r="AH49" s="105"/>
      <c r="AI49" s="106"/>
      <c r="AJ49" s="107"/>
      <c r="AK49" s="112"/>
      <c r="AL49" s="112"/>
      <c r="AM49" s="108"/>
      <c r="AN49" s="45"/>
      <c r="AO49" s="108"/>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1"/>
      <c r="BP49" s="1"/>
    </row>
    <row r="50" spans="2:68" s="11" customFormat="1" ht="21.75" x14ac:dyDescent="0.3">
      <c r="B50" s="9"/>
      <c r="C50" s="113"/>
      <c r="D50" s="114"/>
      <c r="E50" s="98"/>
      <c r="F50" s="117"/>
      <c r="G50" s="99"/>
      <c r="H50" s="99"/>
      <c r="I50" s="99"/>
      <c r="J50" s="98"/>
      <c r="K50" s="100"/>
      <c r="L50" s="100"/>
      <c r="M50" s="100"/>
      <c r="N50" s="100"/>
      <c r="O50" s="100"/>
      <c r="P50" s="100"/>
      <c r="Q50" s="118"/>
      <c r="R50" s="98"/>
      <c r="S50" s="119"/>
      <c r="T50" s="28"/>
      <c r="U50" s="28"/>
      <c r="V50" s="28"/>
      <c r="W50" s="101"/>
      <c r="X50" s="102"/>
      <c r="Y50" s="1"/>
      <c r="Z50" s="1"/>
      <c r="AA50" s="71"/>
      <c r="AB50" s="104"/>
      <c r="AC50" s="40"/>
      <c r="AD50" s="105"/>
      <c r="AE50" s="105"/>
      <c r="AF50" s="105"/>
      <c r="AG50" s="105"/>
      <c r="AH50" s="105"/>
      <c r="AI50" s="106"/>
      <c r="AJ50" s="107"/>
      <c r="AK50" s="112"/>
      <c r="AL50" s="112"/>
      <c r="AM50" s="108"/>
      <c r="AN50" s="45"/>
      <c r="AO50" s="108"/>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1"/>
      <c r="BP50" s="1"/>
    </row>
    <row r="51" spans="2:68" s="11" customFormat="1" ht="21.75" x14ac:dyDescent="0.3">
      <c r="B51" s="9"/>
      <c r="C51" s="113"/>
      <c r="D51" s="114"/>
      <c r="E51" s="98"/>
      <c r="F51" s="117"/>
      <c r="G51" s="99"/>
      <c r="H51" s="99"/>
      <c r="I51" s="99"/>
      <c r="J51" s="98"/>
      <c r="K51" s="100"/>
      <c r="L51" s="100"/>
      <c r="M51" s="100"/>
      <c r="N51" s="100"/>
      <c r="O51" s="100"/>
      <c r="P51" s="100"/>
      <c r="Q51" s="118"/>
      <c r="R51" s="98"/>
      <c r="S51" s="119"/>
      <c r="T51" s="28"/>
      <c r="U51" s="28"/>
      <c r="V51" s="28"/>
      <c r="W51" s="101"/>
      <c r="X51" s="102"/>
      <c r="Y51" s="1"/>
      <c r="Z51" s="1"/>
      <c r="AA51" s="71"/>
      <c r="AB51" s="104"/>
      <c r="AC51" s="40"/>
      <c r="AD51" s="105"/>
      <c r="AE51" s="105"/>
      <c r="AF51" s="105"/>
      <c r="AG51" s="105"/>
      <c r="AH51" s="105"/>
      <c r="AI51" s="106"/>
      <c r="AJ51" s="107"/>
      <c r="AK51" s="112"/>
      <c r="AL51" s="112"/>
      <c r="AM51" s="108"/>
      <c r="AN51" s="45"/>
      <c r="AO51" s="108"/>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1"/>
      <c r="BP51" s="1"/>
    </row>
    <row r="52" spans="2:68" s="11" customFormat="1" ht="21.75" x14ac:dyDescent="0.3">
      <c r="B52" s="9"/>
      <c r="C52" s="113"/>
      <c r="D52" s="114"/>
      <c r="E52" s="98"/>
      <c r="F52" s="117"/>
      <c r="G52" s="99"/>
      <c r="H52" s="99"/>
      <c r="I52" s="99"/>
      <c r="J52" s="98"/>
      <c r="K52" s="100"/>
      <c r="L52" s="100"/>
      <c r="M52" s="100"/>
      <c r="N52" s="100"/>
      <c r="O52" s="100"/>
      <c r="P52" s="100"/>
      <c r="Q52" s="118"/>
      <c r="R52" s="98"/>
      <c r="S52" s="119"/>
      <c r="T52" s="28"/>
      <c r="U52" s="28"/>
      <c r="V52" s="28"/>
      <c r="W52" s="101"/>
      <c r="X52" s="102"/>
      <c r="Y52" s="1"/>
      <c r="Z52" s="1"/>
      <c r="AA52" s="71"/>
      <c r="AB52" s="104"/>
      <c r="AC52" s="40"/>
      <c r="AD52" s="105"/>
      <c r="AE52" s="105"/>
      <c r="AF52" s="105"/>
      <c r="AG52" s="105"/>
      <c r="AH52" s="105"/>
      <c r="AI52" s="106"/>
      <c r="AJ52" s="107"/>
      <c r="AK52" s="112"/>
      <c r="AL52" s="112"/>
      <c r="AM52" s="108"/>
      <c r="AN52" s="45"/>
      <c r="AO52" s="108"/>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1"/>
      <c r="BP52" s="1"/>
    </row>
    <row r="53" spans="2:68" s="11" customFormat="1" ht="21.75" x14ac:dyDescent="0.3">
      <c r="B53" s="9"/>
      <c r="C53" s="113"/>
      <c r="D53" s="114"/>
      <c r="E53" s="98"/>
      <c r="F53" s="117"/>
      <c r="G53" s="99"/>
      <c r="H53" s="99"/>
      <c r="I53" s="99"/>
      <c r="J53" s="98"/>
      <c r="K53" s="100"/>
      <c r="L53" s="100"/>
      <c r="M53" s="100"/>
      <c r="N53" s="100"/>
      <c r="O53" s="100"/>
      <c r="P53" s="100"/>
      <c r="Q53" s="118"/>
      <c r="R53" s="98"/>
      <c r="S53" s="119"/>
      <c r="T53" s="28"/>
      <c r="U53" s="28"/>
      <c r="V53" s="28"/>
      <c r="W53" s="101"/>
      <c r="X53" s="102"/>
      <c r="Y53" s="1"/>
      <c r="Z53" s="1"/>
      <c r="AA53" s="71"/>
      <c r="AB53" s="104"/>
      <c r="AC53" s="40"/>
      <c r="AD53" s="105"/>
      <c r="AE53" s="105"/>
      <c r="AF53" s="105"/>
      <c r="AG53" s="105"/>
      <c r="AH53" s="105"/>
      <c r="AI53" s="106"/>
      <c r="AJ53" s="107"/>
      <c r="AK53" s="112"/>
      <c r="AL53" s="112"/>
      <c r="AM53" s="108"/>
      <c r="AN53" s="45"/>
      <c r="AO53" s="108"/>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1"/>
      <c r="BP53" s="1"/>
    </row>
    <row r="54" spans="2:68" s="11" customFormat="1" ht="21.75" x14ac:dyDescent="0.3">
      <c r="B54" s="9"/>
      <c r="C54" s="113"/>
      <c r="D54" s="114"/>
      <c r="E54" s="98"/>
      <c r="F54" s="117"/>
      <c r="G54" s="99"/>
      <c r="H54" s="99"/>
      <c r="I54" s="99"/>
      <c r="J54" s="98"/>
      <c r="K54" s="100"/>
      <c r="L54" s="100"/>
      <c r="M54" s="100"/>
      <c r="N54" s="100"/>
      <c r="O54" s="100"/>
      <c r="P54" s="100"/>
      <c r="Q54" s="118"/>
      <c r="R54" s="98"/>
      <c r="S54" s="119"/>
      <c r="T54" s="28"/>
      <c r="U54" s="28"/>
      <c r="V54" s="28"/>
      <c r="W54" s="101"/>
      <c r="X54" s="102"/>
      <c r="Y54" s="1"/>
      <c r="Z54" s="1"/>
      <c r="AA54" s="71"/>
      <c r="AB54" s="104"/>
      <c r="AC54" s="40"/>
      <c r="AD54" s="105"/>
      <c r="AE54" s="105"/>
      <c r="AF54" s="105"/>
      <c r="AG54" s="105"/>
      <c r="AH54" s="105"/>
      <c r="AI54" s="106"/>
      <c r="AJ54" s="107"/>
      <c r="AK54" s="112"/>
      <c r="AL54" s="112"/>
      <c r="AM54" s="108"/>
      <c r="AN54" s="45"/>
      <c r="AO54" s="108"/>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1"/>
      <c r="BP54" s="1"/>
    </row>
    <row r="55" spans="2:68" s="11" customFormat="1" ht="21.75" x14ac:dyDescent="0.3">
      <c r="B55" s="9"/>
      <c r="C55" s="113"/>
      <c r="D55" s="114"/>
      <c r="E55" s="98"/>
      <c r="F55" s="117"/>
      <c r="G55" s="99"/>
      <c r="H55" s="99"/>
      <c r="I55" s="99"/>
      <c r="J55" s="98"/>
      <c r="K55" s="100"/>
      <c r="L55" s="100"/>
      <c r="M55" s="100"/>
      <c r="N55" s="100"/>
      <c r="O55" s="100"/>
      <c r="P55" s="100"/>
      <c r="Q55" s="118"/>
      <c r="R55" s="98"/>
      <c r="S55" s="119"/>
      <c r="T55" s="28"/>
      <c r="U55" s="28"/>
      <c r="V55" s="28"/>
      <c r="W55" s="101"/>
      <c r="X55" s="102"/>
      <c r="Y55" s="1"/>
      <c r="Z55" s="1"/>
      <c r="AA55" s="71"/>
      <c r="AB55" s="104"/>
      <c r="AC55" s="40"/>
      <c r="AD55" s="105"/>
      <c r="AE55" s="105"/>
      <c r="AF55" s="105"/>
      <c r="AG55" s="105"/>
      <c r="AH55" s="105"/>
      <c r="AI55" s="106"/>
      <c r="AJ55" s="107"/>
      <c r="AK55" s="112"/>
      <c r="AL55" s="112"/>
      <c r="AM55" s="108"/>
      <c r="AN55" s="45"/>
      <c r="AO55" s="108"/>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1"/>
      <c r="BP55" s="1"/>
    </row>
    <row r="56" spans="2:68" s="11" customFormat="1" ht="21.75" x14ac:dyDescent="0.3">
      <c r="B56" s="9"/>
      <c r="C56" s="113"/>
      <c r="D56" s="114"/>
      <c r="E56" s="98"/>
      <c r="F56" s="117"/>
      <c r="G56" s="99"/>
      <c r="H56" s="99"/>
      <c r="I56" s="99"/>
      <c r="J56" s="98"/>
      <c r="K56" s="100"/>
      <c r="L56" s="100"/>
      <c r="M56" s="100"/>
      <c r="N56" s="100"/>
      <c r="O56" s="100"/>
      <c r="P56" s="100"/>
      <c r="Q56" s="118"/>
      <c r="R56" s="98"/>
      <c r="S56" s="119"/>
      <c r="T56" s="28"/>
      <c r="U56" s="28"/>
      <c r="V56" s="28"/>
      <c r="W56" s="101"/>
      <c r="X56" s="102"/>
      <c r="Y56" s="1"/>
      <c r="Z56" s="1"/>
      <c r="AA56" s="71"/>
      <c r="AB56" s="104"/>
      <c r="AC56" s="40"/>
      <c r="AD56" s="105"/>
      <c r="AE56" s="105"/>
      <c r="AF56" s="105"/>
      <c r="AG56" s="105"/>
      <c r="AH56" s="105"/>
      <c r="AI56" s="106"/>
      <c r="AJ56" s="107"/>
      <c r="AK56" s="112"/>
      <c r="AL56" s="112"/>
      <c r="AM56" s="108"/>
      <c r="AN56" s="45"/>
      <c r="AO56" s="108"/>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1"/>
      <c r="BP56" s="1"/>
    </row>
    <row r="57" spans="2:68" s="11" customFormat="1" ht="21.75" x14ac:dyDescent="0.3">
      <c r="B57" s="9"/>
      <c r="C57" s="113"/>
      <c r="D57" s="114"/>
      <c r="E57" s="98"/>
      <c r="F57" s="117"/>
      <c r="G57" s="99"/>
      <c r="H57" s="99"/>
      <c r="I57" s="99"/>
      <c r="J57" s="98"/>
      <c r="K57" s="100"/>
      <c r="L57" s="100"/>
      <c r="M57" s="100"/>
      <c r="N57" s="100"/>
      <c r="O57" s="100"/>
      <c r="P57" s="100"/>
      <c r="Q57" s="118"/>
      <c r="R57" s="98"/>
      <c r="S57" s="119"/>
      <c r="T57" s="28"/>
      <c r="U57" s="28"/>
      <c r="V57" s="28"/>
      <c r="W57" s="101"/>
      <c r="X57" s="102"/>
      <c r="Y57" s="1"/>
      <c r="Z57" s="1"/>
      <c r="AA57" s="71"/>
      <c r="AB57" s="104"/>
      <c r="AC57" s="40"/>
      <c r="AD57" s="105"/>
      <c r="AE57" s="105"/>
      <c r="AF57" s="105"/>
      <c r="AG57" s="105"/>
      <c r="AH57" s="105"/>
      <c r="AI57" s="106"/>
      <c r="AJ57" s="107"/>
      <c r="AK57" s="112"/>
      <c r="AL57" s="112"/>
      <c r="AM57" s="108"/>
      <c r="AN57" s="45"/>
      <c r="AO57" s="108"/>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1"/>
      <c r="BP57" s="1"/>
    </row>
    <row r="58" spans="2:68" s="11" customFormat="1" ht="21.75" x14ac:dyDescent="0.3">
      <c r="B58" s="9"/>
      <c r="C58" s="113"/>
      <c r="D58" s="114"/>
      <c r="E58" s="98"/>
      <c r="F58" s="117"/>
      <c r="G58" s="99"/>
      <c r="H58" s="99"/>
      <c r="I58" s="99"/>
      <c r="J58" s="98"/>
      <c r="K58" s="100"/>
      <c r="L58" s="100"/>
      <c r="M58" s="100"/>
      <c r="N58" s="100"/>
      <c r="O58" s="100"/>
      <c r="P58" s="100"/>
      <c r="Q58" s="118"/>
      <c r="R58" s="98"/>
      <c r="S58" s="119"/>
      <c r="T58" s="28"/>
      <c r="U58" s="28"/>
      <c r="V58" s="28"/>
      <c r="W58" s="101"/>
      <c r="X58" s="102"/>
      <c r="Y58" s="1"/>
      <c r="Z58" s="1"/>
      <c r="AA58" s="71"/>
      <c r="AB58" s="104"/>
      <c r="AC58" s="40"/>
      <c r="AD58" s="105"/>
      <c r="AE58" s="105"/>
      <c r="AF58" s="105"/>
      <c r="AG58" s="105"/>
      <c r="AH58" s="105"/>
      <c r="AI58" s="106"/>
      <c r="AJ58" s="107"/>
      <c r="AK58" s="112"/>
      <c r="AL58" s="112"/>
      <c r="AM58" s="108"/>
      <c r="AN58" s="45"/>
      <c r="AO58" s="108"/>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1"/>
      <c r="BP58" s="1"/>
    </row>
    <row r="59" spans="2:68" s="11" customFormat="1" ht="21.75" x14ac:dyDescent="0.3">
      <c r="B59" s="9"/>
      <c r="C59" s="113"/>
      <c r="D59" s="114"/>
      <c r="E59" s="98"/>
      <c r="F59" s="117"/>
      <c r="G59" s="99"/>
      <c r="H59" s="99"/>
      <c r="I59" s="99"/>
      <c r="J59" s="98"/>
      <c r="K59" s="100"/>
      <c r="L59" s="100"/>
      <c r="M59" s="100"/>
      <c r="N59" s="100"/>
      <c r="O59" s="100"/>
      <c r="P59" s="100"/>
      <c r="Q59" s="118"/>
      <c r="R59" s="98"/>
      <c r="S59" s="119"/>
      <c r="T59" s="28"/>
      <c r="U59" s="28"/>
      <c r="V59" s="28"/>
      <c r="W59" s="101"/>
      <c r="X59" s="102"/>
      <c r="Y59" s="1"/>
      <c r="Z59" s="1"/>
      <c r="AA59" s="71"/>
      <c r="AB59" s="104"/>
      <c r="AC59" s="40"/>
      <c r="AD59" s="105"/>
      <c r="AE59" s="105"/>
      <c r="AF59" s="105"/>
      <c r="AG59" s="105"/>
      <c r="AH59" s="105"/>
      <c r="AI59" s="106"/>
      <c r="AJ59" s="107"/>
      <c r="AK59" s="112"/>
      <c r="AL59" s="112"/>
      <c r="AM59" s="108"/>
      <c r="AN59" s="45"/>
      <c r="AO59" s="108"/>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1"/>
      <c r="BP59" s="1"/>
    </row>
    <row r="60" spans="2:68" s="11" customFormat="1" ht="21.75" x14ac:dyDescent="0.3">
      <c r="B60" s="9"/>
      <c r="C60" s="113"/>
      <c r="D60" s="114"/>
      <c r="E60" s="98"/>
      <c r="F60" s="117"/>
      <c r="G60" s="99"/>
      <c r="H60" s="99"/>
      <c r="I60" s="99"/>
      <c r="J60" s="98"/>
      <c r="K60" s="100"/>
      <c r="L60" s="100"/>
      <c r="M60" s="100"/>
      <c r="N60" s="100"/>
      <c r="O60" s="100"/>
      <c r="P60" s="100"/>
      <c r="Q60" s="118"/>
      <c r="R60" s="98"/>
      <c r="S60" s="119"/>
      <c r="T60" s="28"/>
      <c r="U60" s="28"/>
      <c r="V60" s="28"/>
      <c r="W60" s="101"/>
      <c r="X60" s="102"/>
      <c r="Y60" s="1"/>
      <c r="Z60" s="1"/>
      <c r="AA60" s="71"/>
      <c r="AB60" s="104"/>
      <c r="AC60" s="40"/>
      <c r="AD60" s="105"/>
      <c r="AE60" s="105"/>
      <c r="AF60" s="105"/>
      <c r="AG60" s="105"/>
      <c r="AH60" s="105"/>
      <c r="AI60" s="106"/>
      <c r="AJ60" s="107"/>
      <c r="AK60" s="112"/>
      <c r="AL60" s="112"/>
      <c r="AM60" s="108"/>
      <c r="AN60" s="45"/>
      <c r="AO60" s="108"/>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1"/>
      <c r="BP60" s="1"/>
    </row>
    <row r="61" spans="2:68" s="11" customFormat="1" ht="21.75" x14ac:dyDescent="0.3">
      <c r="B61" s="9"/>
      <c r="C61" s="113"/>
      <c r="D61" s="114"/>
      <c r="E61" s="98"/>
      <c r="F61" s="117"/>
      <c r="G61" s="99"/>
      <c r="H61" s="99"/>
      <c r="I61" s="99"/>
      <c r="J61" s="98"/>
      <c r="K61" s="100"/>
      <c r="L61" s="100"/>
      <c r="M61" s="100"/>
      <c r="N61" s="100"/>
      <c r="O61" s="100"/>
      <c r="P61" s="100"/>
      <c r="Q61" s="118"/>
      <c r="R61" s="98"/>
      <c r="S61" s="119"/>
      <c r="T61" s="28"/>
      <c r="U61" s="28"/>
      <c r="V61" s="28"/>
      <c r="W61" s="101"/>
      <c r="X61" s="102"/>
      <c r="Y61" s="1"/>
      <c r="Z61" s="1"/>
      <c r="AA61" s="71"/>
      <c r="AB61" s="104"/>
      <c r="AC61" s="40"/>
      <c r="AD61" s="105"/>
      <c r="AE61" s="105"/>
      <c r="AF61" s="105"/>
      <c r="AG61" s="105"/>
      <c r="AH61" s="105"/>
      <c r="AI61" s="106"/>
      <c r="AJ61" s="107"/>
      <c r="AK61" s="112"/>
      <c r="AL61" s="112"/>
      <c r="AM61" s="108"/>
      <c r="AN61" s="45"/>
      <c r="AO61" s="108"/>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1"/>
      <c r="BP61" s="1"/>
    </row>
    <row r="62" spans="2:68" s="11" customFormat="1" ht="21.75" x14ac:dyDescent="0.3">
      <c r="B62" s="9"/>
      <c r="C62" s="113"/>
      <c r="D62" s="114"/>
      <c r="E62" s="98"/>
      <c r="F62" s="117"/>
      <c r="G62" s="99"/>
      <c r="H62" s="99"/>
      <c r="I62" s="99"/>
      <c r="J62" s="98"/>
      <c r="K62" s="100"/>
      <c r="L62" s="100"/>
      <c r="M62" s="100"/>
      <c r="N62" s="100"/>
      <c r="O62" s="100"/>
      <c r="P62" s="100"/>
      <c r="Q62" s="118"/>
      <c r="R62" s="98"/>
      <c r="S62" s="119"/>
      <c r="T62" s="28"/>
      <c r="U62" s="28"/>
      <c r="V62" s="28"/>
      <c r="W62" s="101"/>
      <c r="X62" s="102"/>
      <c r="Y62" s="1"/>
      <c r="Z62" s="1"/>
      <c r="AA62" s="71"/>
      <c r="AB62" s="104"/>
      <c r="AC62" s="40"/>
      <c r="AD62" s="105"/>
      <c r="AE62" s="105"/>
      <c r="AF62" s="105"/>
      <c r="AG62" s="105"/>
      <c r="AH62" s="105"/>
      <c r="AI62" s="106"/>
      <c r="AJ62" s="107"/>
      <c r="AK62" s="112"/>
      <c r="AL62" s="112"/>
      <c r="AM62" s="108"/>
      <c r="AN62" s="45"/>
      <c r="AO62" s="108"/>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1"/>
      <c r="BP62" s="1"/>
    </row>
    <row r="63" spans="2:68" s="11" customFormat="1" ht="21.75" x14ac:dyDescent="0.3">
      <c r="B63" s="9"/>
      <c r="C63" s="113"/>
      <c r="D63" s="114"/>
      <c r="E63" s="98"/>
      <c r="F63" s="117"/>
      <c r="G63" s="99"/>
      <c r="H63" s="99"/>
      <c r="I63" s="99"/>
      <c r="J63" s="98"/>
      <c r="K63" s="100"/>
      <c r="L63" s="100"/>
      <c r="M63" s="100"/>
      <c r="N63" s="100"/>
      <c r="O63" s="100"/>
      <c r="P63" s="100"/>
      <c r="Q63" s="118"/>
      <c r="R63" s="98"/>
      <c r="S63" s="119"/>
      <c r="T63" s="28"/>
      <c r="U63" s="28"/>
      <c r="V63" s="28"/>
      <c r="W63" s="101"/>
      <c r="X63" s="102"/>
      <c r="Y63" s="1"/>
      <c r="Z63" s="1"/>
      <c r="AA63" s="71"/>
      <c r="AB63" s="104"/>
      <c r="AC63" s="40"/>
      <c r="AD63" s="105"/>
      <c r="AE63" s="105"/>
      <c r="AF63" s="105"/>
      <c r="AG63" s="105"/>
      <c r="AH63" s="105"/>
      <c r="AI63" s="106"/>
      <c r="AJ63" s="107"/>
      <c r="AK63" s="112"/>
      <c r="AL63" s="112"/>
      <c r="AM63" s="108"/>
      <c r="AN63" s="45"/>
      <c r="AO63" s="108"/>
      <c r="AP63" s="45"/>
      <c r="AQ63" s="45"/>
      <c r="AR63" s="45"/>
      <c r="AS63" s="45"/>
      <c r="AT63" s="45"/>
      <c r="AU63" s="45"/>
      <c r="AV63" s="45"/>
      <c r="AW63" s="45"/>
      <c r="AX63" s="45"/>
      <c r="AY63" s="45"/>
      <c r="AZ63" s="45"/>
      <c r="BA63" s="45"/>
      <c r="BB63" s="45"/>
      <c r="BC63" s="45"/>
      <c r="BD63" s="45"/>
      <c r="BE63" s="45"/>
      <c r="BF63" s="45"/>
      <c r="BG63" s="45"/>
      <c r="BH63" s="45"/>
      <c r="BI63" s="45"/>
      <c r="BJ63" s="45"/>
      <c r="BK63" s="45"/>
      <c r="BL63" s="45"/>
      <c r="BM63" s="45"/>
      <c r="BN63" s="45"/>
      <c r="BO63" s="1"/>
      <c r="BP63" s="1"/>
    </row>
    <row r="64" spans="2:68" s="11" customFormat="1" ht="21.75" x14ac:dyDescent="0.3">
      <c r="B64" s="9"/>
      <c r="C64" s="113"/>
      <c r="D64" s="114"/>
      <c r="E64" s="98"/>
      <c r="F64" s="117"/>
      <c r="G64" s="99"/>
      <c r="H64" s="99"/>
      <c r="I64" s="99"/>
      <c r="J64" s="98"/>
      <c r="K64" s="100"/>
      <c r="L64" s="100"/>
      <c r="M64" s="100"/>
      <c r="N64" s="100"/>
      <c r="O64" s="100"/>
      <c r="P64" s="100"/>
      <c r="Q64" s="118"/>
      <c r="R64" s="98"/>
      <c r="S64" s="119"/>
      <c r="T64" s="28"/>
      <c r="U64" s="28"/>
      <c r="V64" s="28"/>
      <c r="W64" s="101"/>
      <c r="X64" s="102"/>
      <c r="Y64" s="1"/>
      <c r="Z64" s="1"/>
      <c r="AA64" s="71"/>
      <c r="AB64" s="104"/>
      <c r="AC64" s="40"/>
      <c r="AD64" s="105"/>
      <c r="AE64" s="105"/>
      <c r="AF64" s="105"/>
      <c r="AG64" s="105"/>
      <c r="AH64" s="105"/>
      <c r="AI64" s="106"/>
      <c r="AJ64" s="107"/>
      <c r="AK64" s="112"/>
      <c r="AL64" s="112"/>
      <c r="AM64" s="108"/>
      <c r="AN64" s="45"/>
      <c r="AO64" s="108"/>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1"/>
      <c r="BP64" s="1"/>
    </row>
    <row r="65" spans="2:68" s="11" customFormat="1" ht="21.75" x14ac:dyDescent="0.3">
      <c r="B65" s="9"/>
      <c r="C65" s="113"/>
      <c r="D65" s="114"/>
      <c r="E65" s="98"/>
      <c r="F65" s="117"/>
      <c r="G65" s="99"/>
      <c r="H65" s="99"/>
      <c r="I65" s="99"/>
      <c r="J65" s="98"/>
      <c r="K65" s="100"/>
      <c r="L65" s="100"/>
      <c r="M65" s="100"/>
      <c r="N65" s="100"/>
      <c r="O65" s="100"/>
      <c r="P65" s="100"/>
      <c r="Q65" s="118"/>
      <c r="R65" s="98"/>
      <c r="S65" s="119"/>
      <c r="T65" s="28"/>
      <c r="U65" s="28"/>
      <c r="V65" s="28"/>
      <c r="W65" s="101"/>
      <c r="X65" s="102"/>
      <c r="Y65" s="1"/>
      <c r="Z65" s="1"/>
      <c r="AA65" s="71"/>
      <c r="AB65" s="104"/>
      <c r="AC65" s="40"/>
      <c r="AD65" s="105"/>
      <c r="AE65" s="105"/>
      <c r="AF65" s="105"/>
      <c r="AG65" s="105"/>
      <c r="AH65" s="105"/>
      <c r="AI65" s="106"/>
      <c r="AJ65" s="107"/>
      <c r="AK65" s="112"/>
      <c r="AL65" s="112"/>
      <c r="AM65" s="108"/>
      <c r="AN65" s="45"/>
      <c r="AO65" s="108"/>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1"/>
      <c r="BP65" s="1"/>
    </row>
    <row r="66" spans="2:68" s="11" customFormat="1" ht="21.75" x14ac:dyDescent="0.3">
      <c r="B66" s="9"/>
      <c r="C66" s="113"/>
      <c r="D66" s="114"/>
      <c r="E66" s="98"/>
      <c r="F66" s="117"/>
      <c r="G66" s="99"/>
      <c r="H66" s="99"/>
      <c r="I66" s="99"/>
      <c r="J66" s="98"/>
      <c r="K66" s="100"/>
      <c r="L66" s="100"/>
      <c r="M66" s="100"/>
      <c r="N66" s="100"/>
      <c r="O66" s="100"/>
      <c r="P66" s="100"/>
      <c r="Q66" s="118"/>
      <c r="R66" s="98"/>
      <c r="S66" s="119"/>
      <c r="T66" s="28"/>
      <c r="U66" s="28"/>
      <c r="V66" s="28"/>
      <c r="W66" s="101"/>
      <c r="X66" s="102"/>
      <c r="Y66" s="1"/>
      <c r="Z66" s="1"/>
      <c r="AA66" s="71"/>
      <c r="AB66" s="104"/>
      <c r="AC66" s="40"/>
      <c r="AD66" s="105"/>
      <c r="AE66" s="105"/>
      <c r="AF66" s="105"/>
      <c r="AG66" s="105"/>
      <c r="AH66" s="105"/>
      <c r="AI66" s="106"/>
      <c r="AJ66" s="107"/>
      <c r="AK66" s="112"/>
      <c r="AL66" s="112"/>
      <c r="AM66" s="108"/>
      <c r="AN66" s="45"/>
      <c r="AO66" s="108"/>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1"/>
      <c r="BP66" s="1"/>
    </row>
    <row r="67" spans="2:68" s="11" customFormat="1" ht="21.75" x14ac:dyDescent="0.3">
      <c r="B67" s="9"/>
      <c r="C67" s="113"/>
      <c r="D67" s="114"/>
      <c r="E67" s="98"/>
      <c r="F67" s="117"/>
      <c r="G67" s="99"/>
      <c r="H67" s="99"/>
      <c r="I67" s="99"/>
      <c r="J67" s="98"/>
      <c r="K67" s="100"/>
      <c r="L67" s="100"/>
      <c r="M67" s="100"/>
      <c r="N67" s="100"/>
      <c r="O67" s="100"/>
      <c r="P67" s="100"/>
      <c r="Q67" s="118"/>
      <c r="R67" s="98"/>
      <c r="S67" s="119"/>
      <c r="T67" s="28"/>
      <c r="U67" s="28"/>
      <c r="V67" s="28"/>
      <c r="W67" s="101"/>
      <c r="X67" s="102"/>
      <c r="Y67" s="1"/>
      <c r="Z67" s="1"/>
      <c r="AA67" s="71"/>
      <c r="AB67" s="104"/>
      <c r="AC67" s="40"/>
      <c r="AD67" s="105"/>
      <c r="AE67" s="105"/>
      <c r="AF67" s="105"/>
      <c r="AG67" s="105"/>
      <c r="AH67" s="105"/>
      <c r="AI67" s="106"/>
      <c r="AJ67" s="107"/>
      <c r="AK67" s="112"/>
      <c r="AL67" s="112"/>
      <c r="AM67" s="108"/>
      <c r="AN67" s="45"/>
      <c r="AO67" s="108"/>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1"/>
      <c r="BP67" s="1"/>
    </row>
    <row r="68" spans="2:68" s="11" customFormat="1" ht="21.75" x14ac:dyDescent="0.3">
      <c r="B68" s="9"/>
      <c r="C68" s="113"/>
      <c r="D68" s="114"/>
      <c r="E68" s="98"/>
      <c r="F68" s="117"/>
      <c r="G68" s="99"/>
      <c r="H68" s="99"/>
      <c r="I68" s="99"/>
      <c r="J68" s="98"/>
      <c r="K68" s="100"/>
      <c r="L68" s="100"/>
      <c r="M68" s="100"/>
      <c r="N68" s="100"/>
      <c r="O68" s="100"/>
      <c r="P68" s="100"/>
      <c r="Q68" s="118"/>
      <c r="R68" s="98"/>
      <c r="S68" s="119"/>
      <c r="T68" s="28"/>
      <c r="U68" s="28"/>
      <c r="V68" s="28"/>
      <c r="W68" s="101"/>
      <c r="X68" s="102"/>
      <c r="Y68" s="1"/>
      <c r="Z68" s="1"/>
      <c r="AA68" s="71"/>
      <c r="AB68" s="104"/>
      <c r="AC68" s="40"/>
      <c r="AD68" s="105"/>
      <c r="AE68" s="105"/>
      <c r="AF68" s="105"/>
      <c r="AG68" s="105"/>
      <c r="AH68" s="105"/>
      <c r="AI68" s="106"/>
      <c r="AJ68" s="107"/>
      <c r="AK68" s="112"/>
      <c r="AL68" s="112"/>
      <c r="AM68" s="108"/>
      <c r="AN68" s="45"/>
      <c r="AO68" s="108"/>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1"/>
      <c r="BP68" s="1"/>
    </row>
    <row r="69" spans="2:68" s="11" customFormat="1" ht="21.75" x14ac:dyDescent="0.3">
      <c r="B69" s="9"/>
      <c r="C69" s="113"/>
      <c r="D69" s="114"/>
      <c r="E69" s="98"/>
      <c r="F69" s="117"/>
      <c r="G69" s="99"/>
      <c r="H69" s="99"/>
      <c r="I69" s="99"/>
      <c r="J69" s="98"/>
      <c r="K69" s="100"/>
      <c r="L69" s="100"/>
      <c r="M69" s="100"/>
      <c r="N69" s="100"/>
      <c r="O69" s="100"/>
      <c r="P69" s="100"/>
      <c r="Q69" s="118"/>
      <c r="R69" s="98"/>
      <c r="S69" s="119"/>
      <c r="T69" s="28"/>
      <c r="U69" s="28"/>
      <c r="V69" s="28"/>
      <c r="W69" s="101"/>
      <c r="X69" s="102"/>
      <c r="Y69" s="1"/>
      <c r="Z69" s="1"/>
      <c r="AA69" s="71"/>
      <c r="AB69" s="104"/>
      <c r="AC69" s="40"/>
      <c r="AD69" s="105"/>
      <c r="AE69" s="105"/>
      <c r="AF69" s="105"/>
      <c r="AG69" s="105"/>
      <c r="AH69" s="105"/>
      <c r="AI69" s="106"/>
      <c r="AJ69" s="107"/>
      <c r="AK69" s="112"/>
      <c r="AL69" s="112"/>
      <c r="AM69" s="108"/>
      <c r="AN69" s="45"/>
      <c r="AO69" s="108"/>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1"/>
      <c r="BP69" s="1"/>
    </row>
    <row r="70" spans="2:68" s="11" customFormat="1" ht="21.75" x14ac:dyDescent="0.3">
      <c r="B70" s="9"/>
      <c r="C70" s="113"/>
      <c r="D70" s="114"/>
      <c r="E70" s="98"/>
      <c r="F70" s="117"/>
      <c r="G70" s="99"/>
      <c r="H70" s="99"/>
      <c r="I70" s="99"/>
      <c r="J70" s="98"/>
      <c r="K70" s="100"/>
      <c r="L70" s="100"/>
      <c r="M70" s="100"/>
      <c r="N70" s="100"/>
      <c r="O70" s="100"/>
      <c r="P70" s="100"/>
      <c r="Q70" s="118"/>
      <c r="R70" s="98"/>
      <c r="S70" s="119"/>
      <c r="T70" s="28"/>
      <c r="U70" s="28"/>
      <c r="V70" s="28"/>
      <c r="W70" s="101"/>
      <c r="X70" s="102"/>
      <c r="Y70" s="1"/>
      <c r="Z70" s="1"/>
      <c r="AA70" s="71"/>
      <c r="AB70" s="104"/>
      <c r="AC70" s="40"/>
      <c r="AD70" s="105"/>
      <c r="AE70" s="105"/>
      <c r="AF70" s="105"/>
      <c r="AG70" s="105"/>
      <c r="AH70" s="105"/>
      <c r="AI70" s="106"/>
      <c r="AJ70" s="107"/>
      <c r="AK70" s="112"/>
      <c r="AL70" s="112"/>
      <c r="AM70" s="108"/>
      <c r="AN70" s="45"/>
      <c r="AO70" s="108"/>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1"/>
      <c r="BP70" s="1"/>
    </row>
    <row r="71" spans="2:68" s="11" customFormat="1" ht="21.75" x14ac:dyDescent="0.3">
      <c r="B71" s="9"/>
      <c r="C71" s="113"/>
      <c r="D71" s="114"/>
      <c r="E71" s="98"/>
      <c r="F71" s="117"/>
      <c r="G71" s="99"/>
      <c r="H71" s="99"/>
      <c r="I71" s="99"/>
      <c r="J71" s="98"/>
      <c r="K71" s="100"/>
      <c r="L71" s="100"/>
      <c r="M71" s="100"/>
      <c r="N71" s="100"/>
      <c r="O71" s="100"/>
      <c r="P71" s="100"/>
      <c r="Q71" s="118"/>
      <c r="R71" s="98"/>
      <c r="S71" s="119"/>
      <c r="T71" s="28"/>
      <c r="U71" s="28"/>
      <c r="V71" s="28"/>
      <c r="W71" s="101"/>
      <c r="X71" s="102"/>
      <c r="Y71" s="1"/>
      <c r="Z71" s="1"/>
      <c r="AA71" s="71"/>
      <c r="AB71" s="104"/>
      <c r="AC71" s="40"/>
      <c r="AD71" s="105"/>
      <c r="AE71" s="105"/>
      <c r="AF71" s="105"/>
      <c r="AG71" s="105"/>
      <c r="AH71" s="105"/>
      <c r="AI71" s="106"/>
      <c r="AJ71" s="107"/>
      <c r="AK71" s="112"/>
      <c r="AL71" s="112"/>
      <c r="AM71" s="108"/>
      <c r="AN71" s="45"/>
      <c r="AO71" s="108"/>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1"/>
      <c r="BP71" s="1"/>
    </row>
    <row r="72" spans="2:68" s="11" customFormat="1" ht="21.75" x14ac:dyDescent="0.3">
      <c r="B72" s="9"/>
      <c r="C72" s="113"/>
      <c r="D72" s="114"/>
      <c r="E72" s="98"/>
      <c r="F72" s="117"/>
      <c r="G72" s="99"/>
      <c r="H72" s="99"/>
      <c r="I72" s="99"/>
      <c r="J72" s="98"/>
      <c r="K72" s="100"/>
      <c r="L72" s="100"/>
      <c r="M72" s="100"/>
      <c r="N72" s="100"/>
      <c r="O72" s="100"/>
      <c r="P72" s="100"/>
      <c r="Q72" s="118"/>
      <c r="R72" s="98"/>
      <c r="S72" s="119"/>
      <c r="T72" s="28"/>
      <c r="U72" s="28"/>
      <c r="V72" s="28"/>
      <c r="W72" s="101"/>
      <c r="X72" s="102"/>
      <c r="Y72" s="1"/>
      <c r="Z72" s="1"/>
      <c r="AA72" s="71"/>
      <c r="AB72" s="104"/>
      <c r="AC72" s="40"/>
      <c r="AD72" s="105"/>
      <c r="AE72" s="105"/>
      <c r="AF72" s="105"/>
      <c r="AG72" s="105"/>
      <c r="AH72" s="105"/>
      <c r="AI72" s="106"/>
      <c r="AJ72" s="107"/>
      <c r="AK72" s="112"/>
      <c r="AL72" s="112"/>
      <c r="AM72" s="108"/>
      <c r="AN72" s="45"/>
      <c r="AO72" s="108"/>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1"/>
      <c r="BP72" s="1"/>
    </row>
    <row r="73" spans="2:68" s="11" customFormat="1" ht="21.75" x14ac:dyDescent="0.3">
      <c r="B73" s="9"/>
      <c r="C73" s="113"/>
      <c r="D73" s="114"/>
      <c r="E73" s="98"/>
      <c r="F73" s="117"/>
      <c r="G73" s="99"/>
      <c r="H73" s="99"/>
      <c r="I73" s="99"/>
      <c r="J73" s="98"/>
      <c r="K73" s="100"/>
      <c r="L73" s="100"/>
      <c r="M73" s="100"/>
      <c r="N73" s="100"/>
      <c r="O73" s="100"/>
      <c r="P73" s="100"/>
      <c r="Q73" s="118"/>
      <c r="R73" s="98"/>
      <c r="S73" s="119"/>
      <c r="T73" s="28"/>
      <c r="U73" s="28"/>
      <c r="V73" s="28"/>
      <c r="W73" s="101"/>
      <c r="X73" s="102"/>
      <c r="Y73" s="1"/>
      <c r="Z73" s="1"/>
      <c r="AA73" s="71"/>
      <c r="AB73" s="104"/>
      <c r="AC73" s="40"/>
      <c r="AD73" s="105"/>
      <c r="AE73" s="105"/>
      <c r="AF73" s="105"/>
      <c r="AG73" s="105"/>
      <c r="AH73" s="105"/>
      <c r="AI73" s="106"/>
      <c r="AJ73" s="107"/>
      <c r="AK73" s="112"/>
      <c r="AL73" s="112"/>
      <c r="AM73" s="108"/>
      <c r="AN73" s="45"/>
      <c r="AO73" s="108"/>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1"/>
      <c r="BP73" s="1"/>
    </row>
    <row r="74" spans="2:68" s="11" customFormat="1" ht="21.75" x14ac:dyDescent="0.3">
      <c r="B74" s="9"/>
      <c r="C74" s="113"/>
      <c r="D74" s="114"/>
      <c r="E74" s="98"/>
      <c r="F74" s="117"/>
      <c r="G74" s="99"/>
      <c r="H74" s="99"/>
      <c r="I74" s="99"/>
      <c r="J74" s="98"/>
      <c r="K74" s="100"/>
      <c r="L74" s="100"/>
      <c r="M74" s="100"/>
      <c r="N74" s="100"/>
      <c r="O74" s="100"/>
      <c r="P74" s="100"/>
      <c r="Q74" s="118"/>
      <c r="R74" s="98"/>
      <c r="S74" s="119"/>
      <c r="T74" s="28"/>
      <c r="U74" s="28"/>
      <c r="V74" s="28"/>
      <c r="W74" s="101"/>
      <c r="X74" s="102"/>
      <c r="Y74" s="1"/>
      <c r="Z74" s="1"/>
      <c r="AA74" s="71"/>
      <c r="AB74" s="104"/>
      <c r="AC74" s="40"/>
      <c r="AD74" s="105"/>
      <c r="AE74" s="105"/>
      <c r="AF74" s="105"/>
      <c r="AG74" s="105"/>
      <c r="AH74" s="105"/>
      <c r="AI74" s="106"/>
      <c r="AJ74" s="107"/>
      <c r="AK74" s="112"/>
      <c r="AL74" s="112"/>
      <c r="AM74" s="108"/>
      <c r="AN74" s="45"/>
      <c r="AO74" s="108"/>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1"/>
      <c r="BP74" s="1"/>
    </row>
    <row r="75" spans="2:68" s="11" customFormat="1" ht="21.75" x14ac:dyDescent="0.3">
      <c r="B75" s="9"/>
      <c r="C75" s="113"/>
      <c r="D75" s="114"/>
      <c r="E75" s="98"/>
      <c r="F75" s="117"/>
      <c r="G75" s="99"/>
      <c r="H75" s="99"/>
      <c r="I75" s="99"/>
      <c r="J75" s="98"/>
      <c r="K75" s="100"/>
      <c r="L75" s="100"/>
      <c r="M75" s="100"/>
      <c r="N75" s="100"/>
      <c r="O75" s="100"/>
      <c r="P75" s="100"/>
      <c r="Q75" s="118"/>
      <c r="R75" s="98"/>
      <c r="S75" s="119"/>
      <c r="T75" s="28"/>
      <c r="U75" s="28"/>
      <c r="V75" s="28"/>
      <c r="W75" s="101"/>
      <c r="X75" s="102"/>
      <c r="Y75" s="1"/>
      <c r="Z75" s="1"/>
      <c r="AA75" s="71"/>
      <c r="AB75" s="104"/>
      <c r="AC75" s="40"/>
      <c r="AD75" s="105"/>
      <c r="AE75" s="105"/>
      <c r="AF75" s="105"/>
      <c r="AG75" s="105"/>
      <c r="AH75" s="105"/>
      <c r="AI75" s="106"/>
      <c r="AJ75" s="107"/>
      <c r="AK75" s="112"/>
      <c r="AL75" s="112"/>
      <c r="AM75" s="108"/>
      <c r="AN75" s="45"/>
      <c r="AO75" s="108"/>
      <c r="AP75" s="45"/>
      <c r="AQ75" s="45"/>
      <c r="AR75" s="45"/>
      <c r="AS75" s="45"/>
      <c r="AT75" s="45"/>
      <c r="AU75" s="45"/>
      <c r="AV75" s="45"/>
      <c r="AW75" s="45"/>
      <c r="AX75" s="45"/>
      <c r="AY75" s="45"/>
      <c r="AZ75" s="45"/>
      <c r="BA75" s="45"/>
      <c r="BB75" s="45"/>
      <c r="BC75" s="45"/>
      <c r="BD75" s="45"/>
      <c r="BE75" s="45"/>
      <c r="BF75" s="45"/>
      <c r="BG75" s="45"/>
      <c r="BH75" s="45"/>
      <c r="BI75" s="45"/>
      <c r="BJ75" s="45"/>
      <c r="BK75" s="45"/>
      <c r="BL75" s="45"/>
      <c r="BM75" s="45"/>
      <c r="BN75" s="45"/>
      <c r="BO75" s="1"/>
      <c r="BP75" s="1"/>
    </row>
    <row r="76" spans="2:68" s="11" customFormat="1" ht="21.75" x14ac:dyDescent="0.3">
      <c r="B76" s="9"/>
      <c r="C76" s="113"/>
      <c r="D76" s="114"/>
      <c r="E76" s="98"/>
      <c r="F76" s="117"/>
      <c r="G76" s="99"/>
      <c r="H76" s="99"/>
      <c r="I76" s="99"/>
      <c r="J76" s="98"/>
      <c r="K76" s="100"/>
      <c r="L76" s="100"/>
      <c r="M76" s="100"/>
      <c r="N76" s="100"/>
      <c r="O76" s="100"/>
      <c r="P76" s="100"/>
      <c r="Q76" s="118"/>
      <c r="R76" s="98"/>
      <c r="S76" s="119"/>
      <c r="T76" s="28"/>
      <c r="U76" s="28"/>
      <c r="V76" s="28"/>
      <c r="W76" s="101"/>
      <c r="X76" s="102"/>
      <c r="Y76" s="1"/>
      <c r="Z76" s="1"/>
      <c r="AA76" s="71"/>
      <c r="AB76" s="104"/>
      <c r="AC76" s="40"/>
      <c r="AD76" s="105"/>
      <c r="AE76" s="105"/>
      <c r="AF76" s="105"/>
      <c r="AG76" s="105"/>
      <c r="AH76" s="105"/>
      <c r="AI76" s="106"/>
      <c r="AJ76" s="107"/>
      <c r="AK76" s="112"/>
      <c r="AL76" s="112"/>
      <c r="AM76" s="108"/>
      <c r="AN76" s="45"/>
      <c r="AO76" s="108"/>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1"/>
      <c r="BP76" s="1"/>
    </row>
    <row r="77" spans="2:68" s="11" customFormat="1" ht="21.75" x14ac:dyDescent="0.3">
      <c r="B77" s="9"/>
      <c r="C77" s="113"/>
      <c r="D77" s="114"/>
      <c r="E77" s="98"/>
      <c r="F77" s="117"/>
      <c r="G77" s="99"/>
      <c r="H77" s="99"/>
      <c r="I77" s="99"/>
      <c r="J77" s="98"/>
      <c r="K77" s="100"/>
      <c r="L77" s="100"/>
      <c r="M77" s="100"/>
      <c r="N77" s="100"/>
      <c r="O77" s="100"/>
      <c r="P77" s="100"/>
      <c r="Q77" s="118"/>
      <c r="R77" s="98"/>
      <c r="S77" s="119"/>
      <c r="T77" s="28"/>
      <c r="U77" s="28"/>
      <c r="V77" s="28"/>
      <c r="W77" s="101"/>
      <c r="X77" s="102"/>
      <c r="Y77" s="1"/>
      <c r="Z77" s="1"/>
      <c r="AA77" s="71"/>
      <c r="AB77" s="104"/>
      <c r="AC77" s="40"/>
      <c r="AD77" s="105"/>
      <c r="AE77" s="105"/>
      <c r="AF77" s="105"/>
      <c r="AG77" s="105"/>
      <c r="AH77" s="105"/>
      <c r="AI77" s="106"/>
      <c r="AJ77" s="107"/>
      <c r="AK77" s="112"/>
      <c r="AL77" s="112"/>
      <c r="AM77" s="108"/>
      <c r="AN77" s="45"/>
      <c r="AO77" s="108"/>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1"/>
      <c r="BP77" s="1"/>
    </row>
    <row r="78" spans="2:68" s="11" customFormat="1" ht="21.75" x14ac:dyDescent="0.3">
      <c r="B78" s="9"/>
      <c r="C78" s="113"/>
      <c r="D78" s="114"/>
      <c r="E78" s="98"/>
      <c r="F78" s="117"/>
      <c r="G78" s="99"/>
      <c r="H78" s="99"/>
      <c r="I78" s="99"/>
      <c r="J78" s="98"/>
      <c r="K78" s="100"/>
      <c r="L78" s="100"/>
      <c r="M78" s="100"/>
      <c r="N78" s="100"/>
      <c r="O78" s="100"/>
      <c r="P78" s="100"/>
      <c r="Q78" s="118"/>
      <c r="R78" s="98"/>
      <c r="S78" s="119"/>
      <c r="T78" s="28"/>
      <c r="U78" s="28"/>
      <c r="V78" s="28"/>
      <c r="W78" s="101"/>
      <c r="X78" s="102"/>
      <c r="Y78" s="1"/>
      <c r="Z78" s="1"/>
      <c r="AA78" s="71"/>
      <c r="AB78" s="104"/>
      <c r="AC78" s="40"/>
      <c r="AD78" s="105"/>
      <c r="AE78" s="105"/>
      <c r="AF78" s="105"/>
      <c r="AG78" s="105"/>
      <c r="AH78" s="105"/>
      <c r="AI78" s="106"/>
      <c r="AJ78" s="107"/>
      <c r="AK78" s="112"/>
      <c r="AL78" s="112"/>
      <c r="AM78" s="108"/>
      <c r="AN78" s="45"/>
      <c r="AO78" s="108"/>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1"/>
      <c r="BP78" s="1"/>
    </row>
    <row r="79" spans="2:68" s="11" customFormat="1" ht="21.75" x14ac:dyDescent="0.3">
      <c r="B79" s="9"/>
      <c r="C79" s="113"/>
      <c r="D79" s="114"/>
      <c r="E79" s="98"/>
      <c r="F79" s="117"/>
      <c r="G79" s="99"/>
      <c r="H79" s="99"/>
      <c r="I79" s="99"/>
      <c r="J79" s="98"/>
      <c r="K79" s="100"/>
      <c r="L79" s="100"/>
      <c r="M79" s="100"/>
      <c r="N79" s="100"/>
      <c r="O79" s="100"/>
      <c r="P79" s="100"/>
      <c r="Q79" s="118"/>
      <c r="R79" s="98"/>
      <c r="S79" s="119"/>
      <c r="T79" s="28"/>
      <c r="U79" s="28"/>
      <c r="V79" s="28"/>
      <c r="W79" s="101"/>
      <c r="X79" s="102"/>
      <c r="Y79" s="1"/>
      <c r="Z79" s="1"/>
      <c r="AA79" s="71"/>
      <c r="AB79" s="104"/>
      <c r="AC79" s="40"/>
      <c r="AD79" s="105"/>
      <c r="AE79" s="105"/>
      <c r="AF79" s="105"/>
      <c r="AG79" s="105"/>
      <c r="AH79" s="105"/>
      <c r="AI79" s="106"/>
      <c r="AJ79" s="107"/>
      <c r="AK79" s="112"/>
      <c r="AL79" s="112"/>
      <c r="AM79" s="108"/>
      <c r="AN79" s="45"/>
      <c r="AO79" s="108"/>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1"/>
      <c r="BP79" s="1"/>
    </row>
    <row r="80" spans="2:68" s="11" customFormat="1" ht="21.75" x14ac:dyDescent="0.3">
      <c r="B80" s="9"/>
      <c r="C80" s="113"/>
      <c r="D80" s="114"/>
      <c r="E80" s="98"/>
      <c r="F80" s="117"/>
      <c r="G80" s="99"/>
      <c r="H80" s="99"/>
      <c r="I80" s="99"/>
      <c r="J80" s="98"/>
      <c r="K80" s="100"/>
      <c r="L80" s="100"/>
      <c r="M80" s="100"/>
      <c r="N80" s="100"/>
      <c r="O80" s="100"/>
      <c r="P80" s="100"/>
      <c r="Q80" s="118"/>
      <c r="R80" s="98"/>
      <c r="S80" s="119"/>
      <c r="T80" s="28"/>
      <c r="U80" s="28"/>
      <c r="V80" s="28"/>
      <c r="W80" s="101"/>
      <c r="X80" s="102"/>
      <c r="Y80" s="1"/>
      <c r="Z80" s="1"/>
      <c r="AA80" s="71"/>
      <c r="AB80" s="104"/>
      <c r="AC80" s="40"/>
      <c r="AD80" s="105"/>
      <c r="AE80" s="105"/>
      <c r="AF80" s="105"/>
      <c r="AG80" s="105"/>
      <c r="AH80" s="105"/>
      <c r="AI80" s="106"/>
      <c r="AJ80" s="107"/>
      <c r="AK80" s="112"/>
      <c r="AL80" s="112"/>
      <c r="AM80" s="108"/>
      <c r="AN80" s="45"/>
      <c r="AO80" s="108"/>
      <c r="AP80" s="45"/>
      <c r="AQ80" s="45"/>
      <c r="AR80" s="45"/>
      <c r="AS80" s="45"/>
      <c r="AT80" s="45"/>
      <c r="AU80" s="45"/>
      <c r="AV80" s="45"/>
      <c r="AW80" s="45"/>
      <c r="AX80" s="45"/>
      <c r="AY80" s="45"/>
      <c r="AZ80" s="45"/>
      <c r="BA80" s="45"/>
      <c r="BB80" s="45"/>
      <c r="BC80" s="45"/>
      <c r="BD80" s="45"/>
      <c r="BE80" s="45"/>
      <c r="BF80" s="45"/>
      <c r="BG80" s="45"/>
      <c r="BH80" s="45"/>
      <c r="BI80" s="45"/>
      <c r="BJ80" s="45"/>
      <c r="BK80" s="45"/>
      <c r="BL80" s="45"/>
      <c r="BM80" s="45"/>
      <c r="BN80" s="45"/>
      <c r="BO80" s="1"/>
      <c r="BP80" s="1"/>
    </row>
    <row r="81" spans="2:68" s="11" customFormat="1" ht="21.75" x14ac:dyDescent="0.3">
      <c r="B81" s="9"/>
      <c r="C81" s="113"/>
      <c r="D81" s="114"/>
      <c r="E81" s="98"/>
      <c r="F81" s="117"/>
      <c r="G81" s="99"/>
      <c r="H81" s="99"/>
      <c r="I81" s="99"/>
      <c r="J81" s="98"/>
      <c r="K81" s="100"/>
      <c r="L81" s="100"/>
      <c r="M81" s="100"/>
      <c r="N81" s="100"/>
      <c r="O81" s="100"/>
      <c r="P81" s="100"/>
      <c r="Q81" s="118"/>
      <c r="R81" s="98"/>
      <c r="S81" s="119"/>
      <c r="T81" s="28"/>
      <c r="U81" s="28"/>
      <c r="V81" s="28"/>
      <c r="W81" s="101"/>
      <c r="X81" s="102"/>
      <c r="Y81" s="1"/>
      <c r="Z81" s="1"/>
      <c r="AA81" s="71"/>
      <c r="AB81" s="104"/>
      <c r="AC81" s="40"/>
      <c r="AD81" s="105"/>
      <c r="AE81" s="105"/>
      <c r="AF81" s="105"/>
      <c r="AG81" s="105"/>
      <c r="AH81" s="105"/>
      <c r="AI81" s="106"/>
      <c r="AJ81" s="107"/>
      <c r="AK81" s="112"/>
      <c r="AL81" s="112"/>
      <c r="AM81" s="108"/>
      <c r="AN81" s="45"/>
      <c r="AO81" s="108"/>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1"/>
      <c r="BP81" s="1"/>
    </row>
    <row r="82" spans="2:68" s="11" customFormat="1" ht="21.75" x14ac:dyDescent="0.3">
      <c r="B82" s="9"/>
      <c r="C82" s="113"/>
      <c r="D82" s="114"/>
      <c r="E82" s="98"/>
      <c r="F82" s="117"/>
      <c r="G82" s="99"/>
      <c r="H82" s="99"/>
      <c r="I82" s="99"/>
      <c r="J82" s="98"/>
      <c r="K82" s="100"/>
      <c r="L82" s="100"/>
      <c r="M82" s="100"/>
      <c r="N82" s="100"/>
      <c r="O82" s="100"/>
      <c r="P82" s="100"/>
      <c r="Q82" s="118"/>
      <c r="R82" s="98"/>
      <c r="S82" s="119"/>
      <c r="T82" s="28"/>
      <c r="U82" s="28"/>
      <c r="V82" s="28"/>
      <c r="W82" s="101"/>
      <c r="X82" s="102"/>
      <c r="Y82" s="1"/>
      <c r="Z82" s="1"/>
      <c r="AA82" s="71"/>
      <c r="AB82" s="104"/>
      <c r="AC82" s="40"/>
      <c r="AD82" s="105"/>
      <c r="AE82" s="105"/>
      <c r="AF82" s="105"/>
      <c r="AG82" s="105"/>
      <c r="AH82" s="105"/>
      <c r="AI82" s="106"/>
      <c r="AJ82" s="107"/>
      <c r="AK82" s="112"/>
      <c r="AL82" s="112"/>
      <c r="AM82" s="108"/>
      <c r="AN82" s="45"/>
      <c r="AO82" s="108"/>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1"/>
      <c r="BP82" s="1"/>
    </row>
    <row r="83" spans="2:68" s="11" customFormat="1" ht="21.75" x14ac:dyDescent="0.3">
      <c r="B83" s="9"/>
      <c r="C83" s="113"/>
      <c r="D83" s="114"/>
      <c r="E83" s="98"/>
      <c r="F83" s="117"/>
      <c r="G83" s="99"/>
      <c r="H83" s="99"/>
      <c r="I83" s="99"/>
      <c r="J83" s="98"/>
      <c r="K83" s="100"/>
      <c r="L83" s="100"/>
      <c r="M83" s="100"/>
      <c r="N83" s="100"/>
      <c r="O83" s="100"/>
      <c r="P83" s="100"/>
      <c r="Q83" s="118"/>
      <c r="R83" s="98"/>
      <c r="S83" s="119"/>
      <c r="T83" s="28"/>
      <c r="U83" s="28"/>
      <c r="V83" s="28"/>
      <c r="W83" s="101"/>
      <c r="X83" s="102"/>
      <c r="Y83" s="1"/>
      <c r="Z83" s="1"/>
      <c r="AA83" s="71"/>
      <c r="AB83" s="104"/>
      <c r="AC83" s="40"/>
      <c r="AD83" s="105"/>
      <c r="AE83" s="105"/>
      <c r="AF83" s="105"/>
      <c r="AG83" s="105"/>
      <c r="AH83" s="105"/>
      <c r="AI83" s="106"/>
      <c r="AJ83" s="107"/>
      <c r="AK83" s="112"/>
      <c r="AL83" s="112"/>
      <c r="AM83" s="108"/>
      <c r="AN83" s="45"/>
      <c r="AO83" s="108"/>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1"/>
      <c r="BP83" s="1"/>
    </row>
    <row r="84" spans="2:68" s="11" customFormat="1" ht="21.75" x14ac:dyDescent="0.3">
      <c r="B84" s="9"/>
      <c r="C84" s="113"/>
      <c r="D84" s="114"/>
      <c r="E84" s="98"/>
      <c r="F84" s="117"/>
      <c r="G84" s="99"/>
      <c r="H84" s="99"/>
      <c r="I84" s="99"/>
      <c r="J84" s="98"/>
      <c r="K84" s="100"/>
      <c r="L84" s="100"/>
      <c r="M84" s="100"/>
      <c r="N84" s="100"/>
      <c r="O84" s="100"/>
      <c r="P84" s="100"/>
      <c r="Q84" s="118"/>
      <c r="R84" s="98"/>
      <c r="S84" s="119"/>
      <c r="T84" s="28"/>
      <c r="U84" s="28"/>
      <c r="V84" s="28"/>
      <c r="W84" s="101"/>
      <c r="X84" s="102"/>
      <c r="Y84" s="1"/>
      <c r="Z84" s="1"/>
      <c r="AA84" s="71"/>
      <c r="AB84" s="104"/>
      <c r="AC84" s="40"/>
      <c r="AD84" s="105"/>
      <c r="AE84" s="105"/>
      <c r="AF84" s="105"/>
      <c r="AG84" s="105"/>
      <c r="AH84" s="105"/>
      <c r="AI84" s="106"/>
      <c r="AJ84" s="107"/>
      <c r="AK84" s="112"/>
      <c r="AL84" s="112"/>
      <c r="AM84" s="108"/>
      <c r="AN84" s="45"/>
      <c r="AO84" s="108"/>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1"/>
      <c r="BP84" s="1"/>
    </row>
    <row r="85" spans="2:68" s="11" customFormat="1" ht="21.75" x14ac:dyDescent="0.3">
      <c r="B85" s="9"/>
      <c r="C85" s="113"/>
      <c r="D85" s="114"/>
      <c r="E85" s="98"/>
      <c r="F85" s="117"/>
      <c r="G85" s="99"/>
      <c r="H85" s="99"/>
      <c r="I85" s="99"/>
      <c r="J85" s="98"/>
      <c r="K85" s="100"/>
      <c r="L85" s="100"/>
      <c r="M85" s="100"/>
      <c r="N85" s="100"/>
      <c r="O85" s="100"/>
      <c r="P85" s="100"/>
      <c r="Q85" s="118"/>
      <c r="R85" s="98"/>
      <c r="S85" s="119"/>
      <c r="T85" s="28"/>
      <c r="U85" s="28"/>
      <c r="V85" s="28"/>
      <c r="W85" s="101"/>
      <c r="X85" s="102"/>
      <c r="Y85" s="1"/>
      <c r="Z85" s="1"/>
      <c r="AA85" s="71"/>
      <c r="AB85" s="104"/>
      <c r="AC85" s="40"/>
      <c r="AD85" s="105"/>
      <c r="AE85" s="105"/>
      <c r="AF85" s="105"/>
      <c r="AG85" s="105"/>
      <c r="AH85" s="105"/>
      <c r="AI85" s="106"/>
      <c r="AJ85" s="107"/>
      <c r="AK85" s="112"/>
      <c r="AL85" s="112"/>
      <c r="AM85" s="108"/>
      <c r="AN85" s="45"/>
      <c r="AO85" s="108"/>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1"/>
      <c r="BP85" s="1"/>
    </row>
    <row r="86" spans="2:68" s="11" customFormat="1" ht="21.75" x14ac:dyDescent="0.3">
      <c r="B86" s="9"/>
      <c r="C86" s="113"/>
      <c r="D86" s="114"/>
      <c r="E86" s="98"/>
      <c r="F86" s="117"/>
      <c r="G86" s="99"/>
      <c r="H86" s="99"/>
      <c r="I86" s="99"/>
      <c r="J86" s="98"/>
      <c r="K86" s="100"/>
      <c r="L86" s="100"/>
      <c r="M86" s="100"/>
      <c r="N86" s="100"/>
      <c r="O86" s="100"/>
      <c r="P86" s="100"/>
      <c r="Q86" s="118"/>
      <c r="R86" s="98"/>
      <c r="S86" s="119"/>
      <c r="T86" s="28"/>
      <c r="U86" s="28"/>
      <c r="V86" s="28"/>
      <c r="W86" s="101"/>
      <c r="X86" s="102"/>
      <c r="Y86" s="1"/>
      <c r="Z86" s="1"/>
      <c r="AA86" s="71"/>
      <c r="AB86" s="104"/>
      <c r="AC86" s="40"/>
      <c r="AD86" s="105"/>
      <c r="AE86" s="105"/>
      <c r="AF86" s="105"/>
      <c r="AG86" s="105"/>
      <c r="AH86" s="105"/>
      <c r="AI86" s="106"/>
      <c r="AJ86" s="107"/>
      <c r="AK86" s="112"/>
      <c r="AL86" s="112"/>
      <c r="AM86" s="108"/>
      <c r="AN86" s="45"/>
      <c r="AO86" s="108"/>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1"/>
      <c r="BP86" s="1"/>
    </row>
    <row r="87" spans="2:68" s="11" customFormat="1" ht="21.75" x14ac:dyDescent="0.3">
      <c r="B87" s="9"/>
      <c r="C87" s="113"/>
      <c r="D87" s="114"/>
      <c r="E87" s="98"/>
      <c r="F87" s="117"/>
      <c r="G87" s="99"/>
      <c r="H87" s="99"/>
      <c r="I87" s="99"/>
      <c r="J87" s="98"/>
      <c r="K87" s="100"/>
      <c r="L87" s="100"/>
      <c r="M87" s="100"/>
      <c r="N87" s="100"/>
      <c r="O87" s="100"/>
      <c r="P87" s="100"/>
      <c r="Q87" s="118"/>
      <c r="R87" s="98"/>
      <c r="S87" s="119"/>
      <c r="T87" s="28"/>
      <c r="U87" s="28"/>
      <c r="V87" s="28"/>
      <c r="W87" s="101"/>
      <c r="X87" s="102"/>
      <c r="Y87" s="1"/>
      <c r="Z87" s="1"/>
      <c r="AA87" s="71"/>
      <c r="AB87" s="104"/>
      <c r="AC87" s="40"/>
      <c r="AD87" s="105"/>
      <c r="AE87" s="105"/>
      <c r="AF87" s="105"/>
      <c r="AG87" s="105"/>
      <c r="AH87" s="105"/>
      <c r="AI87" s="106"/>
      <c r="AJ87" s="107"/>
      <c r="AK87" s="112"/>
      <c r="AL87" s="112"/>
      <c r="AM87" s="108"/>
      <c r="AN87" s="45"/>
      <c r="AO87" s="108"/>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1"/>
      <c r="BP87" s="1"/>
    </row>
    <row r="88" spans="2:68" s="11" customFormat="1" ht="21.75" x14ac:dyDescent="0.3">
      <c r="B88" s="9"/>
      <c r="C88" s="113"/>
      <c r="D88" s="114"/>
      <c r="E88" s="98"/>
      <c r="F88" s="117"/>
      <c r="G88" s="99"/>
      <c r="H88" s="99"/>
      <c r="I88" s="99"/>
      <c r="J88" s="98"/>
      <c r="K88" s="100"/>
      <c r="L88" s="100"/>
      <c r="M88" s="100"/>
      <c r="N88" s="100"/>
      <c r="O88" s="100"/>
      <c r="P88" s="100"/>
      <c r="Q88" s="118"/>
      <c r="R88" s="98"/>
      <c r="S88" s="119"/>
      <c r="T88" s="28"/>
      <c r="U88" s="28"/>
      <c r="V88" s="28"/>
      <c r="W88" s="101"/>
      <c r="X88" s="102"/>
      <c r="Y88" s="1"/>
      <c r="Z88" s="1"/>
      <c r="AA88" s="71"/>
      <c r="AB88" s="104"/>
      <c r="AC88" s="40"/>
      <c r="AD88" s="105"/>
      <c r="AE88" s="105"/>
      <c r="AF88" s="105"/>
      <c r="AG88" s="105"/>
      <c r="AH88" s="105"/>
      <c r="AI88" s="106"/>
      <c r="AJ88" s="107"/>
      <c r="AK88" s="112"/>
      <c r="AL88" s="112"/>
      <c r="AM88" s="108"/>
      <c r="AN88" s="45"/>
      <c r="AO88" s="108"/>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1"/>
      <c r="BP88" s="1"/>
    </row>
    <row r="89" spans="2:68" s="11" customFormat="1" ht="21.75" x14ac:dyDescent="0.3">
      <c r="B89" s="9"/>
      <c r="C89" s="113"/>
      <c r="D89" s="114"/>
      <c r="E89" s="98"/>
      <c r="F89" s="117"/>
      <c r="G89" s="99"/>
      <c r="H89" s="99"/>
      <c r="I89" s="99"/>
      <c r="J89" s="98"/>
      <c r="K89" s="100"/>
      <c r="L89" s="100"/>
      <c r="M89" s="100"/>
      <c r="N89" s="100"/>
      <c r="O89" s="100"/>
      <c r="P89" s="100"/>
      <c r="Q89" s="118"/>
      <c r="R89" s="98"/>
      <c r="S89" s="119"/>
      <c r="T89" s="28"/>
      <c r="U89" s="28"/>
      <c r="V89" s="28"/>
      <c r="W89" s="101"/>
      <c r="X89" s="102"/>
      <c r="Y89" s="1"/>
      <c r="Z89" s="1"/>
      <c r="AA89" s="71"/>
      <c r="AB89" s="104"/>
      <c r="AC89" s="40"/>
      <c r="AD89" s="105"/>
      <c r="AE89" s="105"/>
      <c r="AF89" s="105"/>
      <c r="AG89" s="105"/>
      <c r="AH89" s="105"/>
      <c r="AI89" s="106"/>
      <c r="AJ89" s="107"/>
      <c r="AK89" s="112"/>
      <c r="AL89" s="112"/>
      <c r="AM89" s="108"/>
      <c r="AN89" s="45"/>
      <c r="AO89" s="108"/>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1"/>
      <c r="BP89" s="1"/>
    </row>
    <row r="90" spans="2:68" s="11" customFormat="1" ht="21.75" x14ac:dyDescent="0.3">
      <c r="B90" s="9"/>
      <c r="C90" s="113"/>
      <c r="D90" s="114"/>
      <c r="E90" s="98"/>
      <c r="F90" s="117"/>
      <c r="G90" s="99"/>
      <c r="H90" s="99"/>
      <c r="I90" s="99"/>
      <c r="J90" s="98"/>
      <c r="K90" s="100"/>
      <c r="L90" s="100"/>
      <c r="M90" s="100"/>
      <c r="N90" s="100"/>
      <c r="O90" s="100"/>
      <c r="P90" s="100"/>
      <c r="Q90" s="118"/>
      <c r="R90" s="98"/>
      <c r="S90" s="119"/>
      <c r="T90" s="28"/>
      <c r="U90" s="28"/>
      <c r="V90" s="28"/>
      <c r="W90" s="101"/>
      <c r="X90" s="102"/>
      <c r="Y90" s="1"/>
      <c r="Z90" s="1"/>
      <c r="AA90" s="71"/>
      <c r="AB90" s="104"/>
      <c r="AC90" s="40"/>
      <c r="AD90" s="105"/>
      <c r="AE90" s="105"/>
      <c r="AF90" s="105"/>
      <c r="AG90" s="105"/>
      <c r="AH90" s="105"/>
      <c r="AI90" s="106"/>
      <c r="AJ90" s="107"/>
      <c r="AK90" s="112"/>
      <c r="AL90" s="112"/>
      <c r="AM90" s="108"/>
      <c r="AN90" s="45"/>
      <c r="AO90" s="108"/>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1"/>
      <c r="BP90" s="1"/>
    </row>
    <row r="91" spans="2:68" s="11" customFormat="1" ht="21.75" x14ac:dyDescent="0.3">
      <c r="B91" s="9"/>
      <c r="C91" s="113"/>
      <c r="D91" s="114"/>
      <c r="E91" s="98"/>
      <c r="F91" s="117"/>
      <c r="G91" s="99"/>
      <c r="H91" s="99"/>
      <c r="I91" s="99"/>
      <c r="J91" s="98"/>
      <c r="K91" s="100"/>
      <c r="L91" s="100"/>
      <c r="M91" s="100"/>
      <c r="N91" s="100"/>
      <c r="O91" s="100"/>
      <c r="P91" s="100"/>
      <c r="Q91" s="118"/>
      <c r="R91" s="98"/>
      <c r="S91" s="119"/>
      <c r="T91" s="28"/>
      <c r="U91" s="28"/>
      <c r="V91" s="28"/>
      <c r="W91" s="101"/>
      <c r="X91" s="102"/>
      <c r="Y91" s="1"/>
      <c r="Z91" s="1"/>
      <c r="AA91" s="71"/>
      <c r="AB91" s="104"/>
      <c r="AC91" s="40"/>
      <c r="AD91" s="105"/>
      <c r="AE91" s="105"/>
      <c r="AF91" s="105"/>
      <c r="AG91" s="105"/>
      <c r="AH91" s="105"/>
      <c r="AI91" s="106"/>
      <c r="AJ91" s="107"/>
      <c r="AK91" s="112"/>
      <c r="AL91" s="112"/>
      <c r="AM91" s="108"/>
      <c r="AN91" s="45"/>
      <c r="AO91" s="108"/>
      <c r="AP91" s="45"/>
      <c r="AQ91" s="45"/>
      <c r="AR91" s="45"/>
      <c r="AS91" s="45"/>
      <c r="AT91" s="45"/>
      <c r="AU91" s="45"/>
      <c r="AV91" s="45"/>
      <c r="AW91" s="45"/>
      <c r="AX91" s="45"/>
      <c r="AY91" s="45"/>
      <c r="AZ91" s="45"/>
      <c r="BA91" s="45"/>
      <c r="BB91" s="45"/>
      <c r="BC91" s="45"/>
      <c r="BD91" s="45"/>
      <c r="BE91" s="45"/>
      <c r="BF91" s="45"/>
      <c r="BG91" s="45"/>
      <c r="BH91" s="45"/>
      <c r="BI91" s="45"/>
      <c r="BJ91" s="45"/>
      <c r="BK91" s="45"/>
      <c r="BL91" s="45"/>
      <c r="BM91" s="45"/>
      <c r="BN91" s="45"/>
      <c r="BO91" s="1"/>
      <c r="BP91" s="1"/>
    </row>
    <row r="92" spans="2:68" s="11" customFormat="1" ht="21.75" x14ac:dyDescent="0.3">
      <c r="B92" s="9"/>
      <c r="C92" s="113"/>
      <c r="D92" s="114"/>
      <c r="E92" s="98"/>
      <c r="F92" s="117"/>
      <c r="G92" s="99"/>
      <c r="H92" s="99"/>
      <c r="I92" s="99"/>
      <c r="J92" s="98"/>
      <c r="K92" s="100"/>
      <c r="L92" s="100"/>
      <c r="M92" s="100"/>
      <c r="N92" s="100"/>
      <c r="O92" s="100"/>
      <c r="P92" s="100"/>
      <c r="Q92" s="118"/>
      <c r="R92" s="98"/>
      <c r="S92" s="119"/>
      <c r="T92" s="28"/>
      <c r="U92" s="28"/>
      <c r="V92" s="28"/>
      <c r="W92" s="101"/>
      <c r="X92" s="102"/>
      <c r="Y92" s="1"/>
      <c r="Z92" s="1"/>
      <c r="AA92" s="71"/>
      <c r="AB92" s="104"/>
      <c r="AC92" s="40"/>
      <c r="AD92" s="105"/>
      <c r="AE92" s="105"/>
      <c r="AF92" s="105"/>
      <c r="AG92" s="105"/>
      <c r="AH92" s="105"/>
      <c r="AI92" s="106"/>
      <c r="AJ92" s="107"/>
      <c r="AK92" s="112"/>
      <c r="AL92" s="112"/>
      <c r="AM92" s="108"/>
      <c r="AN92" s="45"/>
      <c r="AO92" s="108"/>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1"/>
      <c r="BP92" s="1"/>
    </row>
    <row r="93" spans="2:68" s="11" customFormat="1" ht="21.75" x14ac:dyDescent="0.3">
      <c r="B93" s="9"/>
      <c r="C93" s="113"/>
      <c r="D93" s="114"/>
      <c r="E93" s="98"/>
      <c r="F93" s="117"/>
      <c r="G93" s="99"/>
      <c r="H93" s="99"/>
      <c r="I93" s="99"/>
      <c r="J93" s="98"/>
      <c r="K93" s="100"/>
      <c r="L93" s="100"/>
      <c r="M93" s="100"/>
      <c r="N93" s="100"/>
      <c r="O93" s="100"/>
      <c r="P93" s="100"/>
      <c r="Q93" s="118"/>
      <c r="R93" s="98"/>
      <c r="S93" s="119"/>
      <c r="T93" s="28"/>
      <c r="U93" s="28"/>
      <c r="V93" s="28"/>
      <c r="W93" s="101"/>
      <c r="X93" s="102"/>
      <c r="Y93" s="1"/>
      <c r="Z93" s="1"/>
      <c r="AA93" s="71"/>
      <c r="AB93" s="104"/>
      <c r="AC93" s="40"/>
      <c r="AD93" s="105"/>
      <c r="AE93" s="105"/>
      <c r="AF93" s="105"/>
      <c r="AG93" s="105"/>
      <c r="AH93" s="105"/>
      <c r="AI93" s="106"/>
      <c r="AJ93" s="107"/>
      <c r="AK93" s="112"/>
      <c r="AL93" s="112"/>
      <c r="AM93" s="108"/>
      <c r="AN93" s="45"/>
      <c r="AO93" s="108"/>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1"/>
      <c r="BP93" s="1"/>
    </row>
    <row r="94" spans="2:68" s="11" customFormat="1" ht="21.75" x14ac:dyDescent="0.3">
      <c r="B94" s="9"/>
      <c r="C94" s="113"/>
      <c r="D94" s="114"/>
      <c r="E94" s="98"/>
      <c r="F94" s="117"/>
      <c r="G94" s="99"/>
      <c r="H94" s="99"/>
      <c r="I94" s="99"/>
      <c r="J94" s="98"/>
      <c r="K94" s="100"/>
      <c r="L94" s="100"/>
      <c r="M94" s="100"/>
      <c r="N94" s="100"/>
      <c r="O94" s="100"/>
      <c r="P94" s="100"/>
      <c r="Q94" s="118"/>
      <c r="R94" s="98"/>
      <c r="S94" s="119"/>
      <c r="T94" s="28"/>
      <c r="U94" s="28"/>
      <c r="V94" s="28"/>
      <c r="W94" s="101"/>
      <c r="X94" s="102"/>
      <c r="Y94" s="1"/>
      <c r="Z94" s="1"/>
      <c r="AA94" s="71"/>
      <c r="AB94" s="104"/>
      <c r="AC94" s="40"/>
      <c r="AD94" s="105"/>
      <c r="AE94" s="105"/>
      <c r="AF94" s="105"/>
      <c r="AG94" s="105"/>
      <c r="AH94" s="105"/>
      <c r="AI94" s="106"/>
      <c r="AJ94" s="107"/>
      <c r="AK94" s="112"/>
      <c r="AL94" s="112"/>
      <c r="AM94" s="108"/>
      <c r="AN94" s="45"/>
      <c r="AO94" s="108"/>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1"/>
      <c r="BP94" s="1"/>
    </row>
    <row r="95" spans="2:68" s="11" customFormat="1" ht="21.75" x14ac:dyDescent="0.3">
      <c r="B95" s="9"/>
      <c r="C95" s="113"/>
      <c r="D95" s="114"/>
      <c r="E95" s="98"/>
      <c r="F95" s="117"/>
      <c r="G95" s="99"/>
      <c r="H95" s="99"/>
      <c r="I95" s="99"/>
      <c r="J95" s="98"/>
      <c r="K95" s="100"/>
      <c r="L95" s="100"/>
      <c r="M95" s="100"/>
      <c r="N95" s="100"/>
      <c r="O95" s="100"/>
      <c r="P95" s="100"/>
      <c r="Q95" s="118"/>
      <c r="R95" s="98"/>
      <c r="S95" s="119"/>
      <c r="T95" s="28"/>
      <c r="U95" s="28"/>
      <c r="V95" s="28"/>
      <c r="W95" s="101"/>
      <c r="X95" s="102"/>
      <c r="Y95" s="1"/>
      <c r="Z95" s="1"/>
      <c r="AA95" s="71"/>
      <c r="AB95" s="104"/>
      <c r="AC95" s="40"/>
      <c r="AD95" s="105"/>
      <c r="AE95" s="105"/>
      <c r="AF95" s="105"/>
      <c r="AG95" s="105"/>
      <c r="AH95" s="105"/>
      <c r="AI95" s="106"/>
      <c r="AJ95" s="107"/>
      <c r="AK95" s="112"/>
      <c r="AL95" s="112"/>
      <c r="AM95" s="108"/>
      <c r="AN95" s="45"/>
      <c r="AO95" s="108"/>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1"/>
      <c r="BP95" s="1"/>
    </row>
    <row r="96" spans="2:68" s="11" customFormat="1" ht="21.75" x14ac:dyDescent="0.3">
      <c r="B96" s="9"/>
      <c r="C96" s="113"/>
      <c r="D96" s="114"/>
      <c r="E96" s="98"/>
      <c r="F96" s="117"/>
      <c r="G96" s="99"/>
      <c r="H96" s="99"/>
      <c r="I96" s="99"/>
      <c r="J96" s="98"/>
      <c r="K96" s="100"/>
      <c r="L96" s="100"/>
      <c r="M96" s="100"/>
      <c r="N96" s="100"/>
      <c r="O96" s="100"/>
      <c r="P96" s="100"/>
      <c r="Q96" s="118"/>
      <c r="R96" s="98"/>
      <c r="S96" s="119"/>
      <c r="T96" s="28"/>
      <c r="U96" s="28"/>
      <c r="V96" s="28"/>
      <c r="W96" s="101"/>
      <c r="X96" s="102"/>
      <c r="Y96" s="1"/>
      <c r="Z96" s="1"/>
      <c r="AA96" s="71"/>
      <c r="AB96" s="104"/>
      <c r="AC96" s="40"/>
      <c r="AD96" s="105"/>
      <c r="AE96" s="105"/>
      <c r="AF96" s="105"/>
      <c r="AG96" s="105"/>
      <c r="AH96" s="105"/>
      <c r="AI96" s="106"/>
      <c r="AJ96" s="107"/>
      <c r="AK96" s="112"/>
      <c r="AL96" s="112"/>
      <c r="AM96" s="108"/>
      <c r="AN96" s="45"/>
      <c r="AO96" s="108"/>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1"/>
      <c r="BP96" s="1"/>
    </row>
    <row r="97" spans="2:68" s="11" customFormat="1" ht="21.75" x14ac:dyDescent="0.3">
      <c r="B97" s="9"/>
      <c r="C97" s="113"/>
      <c r="D97" s="114"/>
      <c r="E97" s="98"/>
      <c r="F97" s="117"/>
      <c r="G97" s="99"/>
      <c r="H97" s="99"/>
      <c r="I97" s="99"/>
      <c r="J97" s="98"/>
      <c r="K97" s="100"/>
      <c r="L97" s="100"/>
      <c r="M97" s="100"/>
      <c r="N97" s="100"/>
      <c r="O97" s="100"/>
      <c r="P97" s="100"/>
      <c r="Q97" s="118"/>
      <c r="R97" s="98"/>
      <c r="S97" s="119"/>
      <c r="T97" s="28"/>
      <c r="U97" s="28"/>
      <c r="V97" s="28"/>
      <c r="W97" s="101"/>
      <c r="X97" s="102"/>
      <c r="Y97" s="1"/>
      <c r="Z97" s="1"/>
      <c r="AA97" s="71"/>
      <c r="AB97" s="104"/>
      <c r="AC97" s="40"/>
      <c r="AD97" s="105"/>
      <c r="AE97" s="105"/>
      <c r="AF97" s="105"/>
      <c r="AG97" s="105"/>
      <c r="AH97" s="105"/>
      <c r="AI97" s="106"/>
      <c r="AJ97" s="107"/>
      <c r="AK97" s="112"/>
      <c r="AL97" s="112"/>
      <c r="AM97" s="108"/>
      <c r="AN97" s="45"/>
      <c r="AO97" s="108"/>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1"/>
      <c r="BP97" s="1"/>
    </row>
    <row r="98" spans="2:68" s="11" customFormat="1" ht="21.75" x14ac:dyDescent="0.3">
      <c r="B98" s="9"/>
      <c r="C98" s="113"/>
      <c r="D98" s="114"/>
      <c r="E98" s="98"/>
      <c r="F98" s="117"/>
      <c r="G98" s="99"/>
      <c r="H98" s="99"/>
      <c r="I98" s="99"/>
      <c r="J98" s="98"/>
      <c r="K98" s="100"/>
      <c r="L98" s="100"/>
      <c r="M98" s="100"/>
      <c r="N98" s="100"/>
      <c r="O98" s="100"/>
      <c r="P98" s="100"/>
      <c r="Q98" s="118"/>
      <c r="R98" s="98"/>
      <c r="S98" s="119"/>
      <c r="T98" s="28"/>
      <c r="U98" s="28"/>
      <c r="V98" s="28"/>
      <c r="W98" s="101"/>
      <c r="X98" s="102"/>
      <c r="Y98" s="1"/>
      <c r="Z98" s="1"/>
      <c r="AA98" s="71"/>
      <c r="AB98" s="104"/>
      <c r="AC98" s="40"/>
      <c r="AD98" s="105"/>
      <c r="AE98" s="105"/>
      <c r="AF98" s="105"/>
      <c r="AG98" s="105"/>
      <c r="AH98" s="105"/>
      <c r="AI98" s="106"/>
      <c r="AJ98" s="107"/>
      <c r="AK98" s="112"/>
      <c r="AL98" s="112"/>
      <c r="AM98" s="108"/>
      <c r="AN98" s="45"/>
      <c r="AO98" s="108"/>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1"/>
      <c r="BP98" s="1"/>
    </row>
    <row r="99" spans="2:68" s="11" customFormat="1" ht="21.75" x14ac:dyDescent="0.3">
      <c r="B99" s="9"/>
      <c r="C99" s="113"/>
      <c r="D99" s="114"/>
      <c r="E99" s="98"/>
      <c r="F99" s="117"/>
      <c r="G99" s="99"/>
      <c r="H99" s="99"/>
      <c r="I99" s="99"/>
      <c r="J99" s="98"/>
      <c r="K99" s="100"/>
      <c r="L99" s="100"/>
      <c r="M99" s="100"/>
      <c r="N99" s="100"/>
      <c r="O99" s="100"/>
      <c r="P99" s="100"/>
      <c r="Q99" s="118"/>
      <c r="R99" s="98"/>
      <c r="S99" s="119"/>
      <c r="T99" s="28"/>
      <c r="U99" s="28"/>
      <c r="V99" s="28"/>
      <c r="W99" s="101"/>
      <c r="X99" s="102"/>
      <c r="Y99" s="1"/>
      <c r="Z99" s="1"/>
      <c r="AA99" s="71"/>
      <c r="AB99" s="104"/>
      <c r="AC99" s="40"/>
      <c r="AD99" s="105"/>
      <c r="AE99" s="105"/>
      <c r="AF99" s="105"/>
      <c r="AG99" s="105"/>
      <c r="AH99" s="105"/>
      <c r="AI99" s="106"/>
      <c r="AJ99" s="107"/>
      <c r="AK99" s="112"/>
      <c r="AL99" s="112"/>
      <c r="AM99" s="108"/>
      <c r="AN99" s="45"/>
      <c r="AO99" s="108"/>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1"/>
      <c r="BP99" s="1"/>
    </row>
    <row r="100" spans="2:68" s="11" customFormat="1" ht="21.75" x14ac:dyDescent="0.3">
      <c r="B100" s="9"/>
      <c r="C100" s="113"/>
      <c r="D100" s="114"/>
      <c r="E100" s="98"/>
      <c r="F100" s="117"/>
      <c r="G100" s="99"/>
      <c r="H100" s="99"/>
      <c r="I100" s="99"/>
      <c r="J100" s="98"/>
      <c r="K100" s="100"/>
      <c r="L100" s="100"/>
      <c r="M100" s="100"/>
      <c r="N100" s="100"/>
      <c r="O100" s="100"/>
      <c r="P100" s="100"/>
      <c r="Q100" s="118"/>
      <c r="R100" s="98"/>
      <c r="S100" s="119"/>
      <c r="T100" s="28"/>
      <c r="U100" s="28"/>
      <c r="V100" s="28"/>
      <c r="W100" s="101"/>
      <c r="X100" s="102"/>
      <c r="Y100" s="1"/>
      <c r="Z100" s="1"/>
      <c r="AA100" s="71"/>
      <c r="AB100" s="104"/>
      <c r="AC100" s="40"/>
      <c r="AD100" s="105"/>
      <c r="AE100" s="105"/>
      <c r="AF100" s="105"/>
      <c r="AG100" s="105"/>
      <c r="AH100" s="105"/>
      <c r="AI100" s="106"/>
      <c r="AJ100" s="107"/>
      <c r="AK100" s="112"/>
      <c r="AL100" s="112"/>
      <c r="AM100" s="108"/>
      <c r="AN100" s="45"/>
      <c r="AO100" s="108"/>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1"/>
      <c r="BP100" s="1"/>
    </row>
    <row r="101" spans="2:68" s="11" customFormat="1" ht="21.75" x14ac:dyDescent="0.3">
      <c r="B101" s="9"/>
      <c r="C101" s="113"/>
      <c r="D101" s="114"/>
      <c r="E101" s="98"/>
      <c r="F101" s="117"/>
      <c r="G101" s="99"/>
      <c r="H101" s="99"/>
      <c r="I101" s="99"/>
      <c r="J101" s="98"/>
      <c r="K101" s="100"/>
      <c r="L101" s="100"/>
      <c r="M101" s="100"/>
      <c r="N101" s="100"/>
      <c r="O101" s="100"/>
      <c r="P101" s="100"/>
      <c r="Q101" s="118"/>
      <c r="R101" s="98"/>
      <c r="S101" s="119"/>
      <c r="T101" s="28"/>
      <c r="U101" s="28"/>
      <c r="V101" s="28"/>
      <c r="W101" s="101"/>
      <c r="X101" s="102"/>
      <c r="Y101" s="1"/>
      <c r="Z101" s="1"/>
      <c r="AA101" s="71">
        <v>45905</v>
      </c>
      <c r="AB101" s="104">
        <v>45936</v>
      </c>
      <c r="AC101" s="40" t="s">
        <v>493</v>
      </c>
      <c r="AD101" s="105">
        <v>0</v>
      </c>
      <c r="AE101" s="105">
        <v>0</v>
      </c>
      <c r="AF101" s="105">
        <v>0</v>
      </c>
      <c r="AG101" s="105">
        <v>0</v>
      </c>
      <c r="AH101" s="105">
        <v>0</v>
      </c>
      <c r="AI101" s="106">
        <v>0</v>
      </c>
      <c r="AJ101" s="107">
        <v>0</v>
      </c>
      <c r="AK101" s="112">
        <v>0</v>
      </c>
      <c r="AL101" s="112">
        <v>0</v>
      </c>
      <c r="AM101" s="108"/>
      <c r="AN101" s="45"/>
      <c r="AO101" s="108"/>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1"/>
      <c r="BP101" s="1"/>
    </row>
    <row r="102" spans="2:68" s="11" customFormat="1" ht="21.75" x14ac:dyDescent="0.3">
      <c r="B102" s="9"/>
      <c r="C102" s="113"/>
      <c r="D102" s="114"/>
      <c r="E102" s="98"/>
      <c r="F102" s="117"/>
      <c r="G102" s="99"/>
      <c r="H102" s="99"/>
      <c r="I102" s="99"/>
      <c r="J102" s="98"/>
      <c r="K102" s="100"/>
      <c r="L102" s="100"/>
      <c r="M102" s="100"/>
      <c r="N102" s="100"/>
      <c r="O102" s="100"/>
      <c r="P102" s="100"/>
      <c r="Q102" s="118"/>
      <c r="R102" s="98"/>
      <c r="S102" s="119"/>
      <c r="T102" s="28"/>
      <c r="U102" s="28"/>
      <c r="V102" s="28"/>
      <c r="W102" s="101"/>
      <c r="X102" s="102"/>
      <c r="Y102" s="1"/>
      <c r="Z102" s="1"/>
      <c r="AA102" s="71">
        <v>45905</v>
      </c>
      <c r="AB102" s="104">
        <v>45936</v>
      </c>
      <c r="AC102" s="40" t="s">
        <v>481</v>
      </c>
      <c r="AD102" s="105">
        <v>0</v>
      </c>
      <c r="AE102" s="105">
        <v>0</v>
      </c>
      <c r="AF102" s="105">
        <v>0</v>
      </c>
      <c r="AG102" s="105">
        <v>0</v>
      </c>
      <c r="AH102" s="105">
        <v>0</v>
      </c>
      <c r="AI102" s="106">
        <v>0</v>
      </c>
      <c r="AJ102" s="107">
        <v>0</v>
      </c>
      <c r="AK102" s="112">
        <v>0</v>
      </c>
      <c r="AL102" s="112">
        <v>0</v>
      </c>
      <c r="AM102" s="108"/>
      <c r="AN102" s="45"/>
      <c r="AO102" s="108"/>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1"/>
      <c r="BP102" s="1"/>
    </row>
    <row r="103" spans="2:68" s="11" customFormat="1" ht="21.75" x14ac:dyDescent="0.3">
      <c r="B103" s="9"/>
      <c r="C103" s="113"/>
      <c r="D103" s="114"/>
      <c r="E103" s="98"/>
      <c r="F103" s="117"/>
      <c r="G103" s="99"/>
      <c r="H103" s="99"/>
      <c r="I103" s="99"/>
      <c r="J103" s="98"/>
      <c r="K103" s="100"/>
      <c r="L103" s="100"/>
      <c r="M103" s="100"/>
      <c r="N103" s="100"/>
      <c r="O103" s="100"/>
      <c r="P103" s="100"/>
      <c r="Q103" s="118"/>
      <c r="R103" s="98"/>
      <c r="S103" s="119"/>
      <c r="T103" s="28"/>
      <c r="U103" s="28"/>
      <c r="V103" s="28"/>
      <c r="W103" s="101"/>
      <c r="X103" s="102"/>
      <c r="Y103" s="1"/>
      <c r="Z103" s="1"/>
      <c r="AA103" s="71">
        <v>45910</v>
      </c>
      <c r="AB103" s="104">
        <v>45933</v>
      </c>
      <c r="AC103" s="40" t="s">
        <v>470</v>
      </c>
      <c r="AD103" s="105">
        <v>0</v>
      </c>
      <c r="AE103" s="105">
        <v>0</v>
      </c>
      <c r="AF103" s="105">
        <v>0</v>
      </c>
      <c r="AG103" s="105">
        <v>0</v>
      </c>
      <c r="AH103" s="105">
        <v>0</v>
      </c>
      <c r="AI103" s="106">
        <v>0</v>
      </c>
      <c r="AJ103" s="107">
        <v>0</v>
      </c>
      <c r="AK103" s="112">
        <v>0</v>
      </c>
      <c r="AL103" s="112">
        <v>0</v>
      </c>
      <c r="AM103" s="108"/>
      <c r="AN103" s="45"/>
      <c r="AO103" s="108"/>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1"/>
      <c r="BP103" s="1"/>
    </row>
    <row r="104" spans="2:68" s="11" customFormat="1" ht="21.75" x14ac:dyDescent="0.3">
      <c r="B104" s="9"/>
      <c r="C104" s="113"/>
      <c r="D104" s="114"/>
      <c r="E104" s="98"/>
      <c r="F104" s="117"/>
      <c r="G104" s="99"/>
      <c r="H104" s="99"/>
      <c r="I104" s="99"/>
      <c r="J104" s="98"/>
      <c r="K104" s="100"/>
      <c r="L104" s="100"/>
      <c r="M104" s="100"/>
      <c r="N104" s="100"/>
      <c r="O104" s="100"/>
      <c r="P104" s="100"/>
      <c r="Q104" s="118"/>
      <c r="R104" s="98"/>
      <c r="S104" s="119"/>
      <c r="T104" s="28"/>
      <c r="U104" s="28"/>
      <c r="V104" s="28"/>
      <c r="W104" s="101"/>
      <c r="X104" s="102"/>
      <c r="Y104" s="1"/>
      <c r="Z104" s="1"/>
      <c r="AA104" s="71">
        <v>45910</v>
      </c>
      <c r="AB104" s="104">
        <v>45933</v>
      </c>
      <c r="AC104" s="40" t="s">
        <v>472</v>
      </c>
      <c r="AD104" s="105">
        <v>0</v>
      </c>
      <c r="AE104" s="105">
        <v>0</v>
      </c>
      <c r="AF104" s="105">
        <v>0</v>
      </c>
      <c r="AG104" s="105">
        <v>0</v>
      </c>
      <c r="AH104" s="105">
        <v>0</v>
      </c>
      <c r="AI104" s="106">
        <v>0</v>
      </c>
      <c r="AJ104" s="107">
        <v>0</v>
      </c>
      <c r="AK104" s="112">
        <v>0</v>
      </c>
      <c r="AL104" s="112">
        <v>0</v>
      </c>
      <c r="AM104" s="108"/>
      <c r="AN104" s="45"/>
      <c r="AO104" s="108"/>
      <c r="AP104" s="45"/>
      <c r="AQ104" s="45"/>
      <c r="AR104" s="45"/>
      <c r="AS104" s="45"/>
      <c r="AT104" s="45"/>
      <c r="AU104" s="45"/>
      <c r="AV104" s="45"/>
      <c r="AW104" s="45"/>
      <c r="AX104" s="45"/>
      <c r="AY104" s="45"/>
      <c r="AZ104" s="45"/>
      <c r="BA104" s="45"/>
      <c r="BB104" s="45"/>
      <c r="BC104" s="45"/>
      <c r="BD104" s="45"/>
      <c r="BE104" s="45"/>
      <c r="BF104" s="45"/>
      <c r="BG104" s="45"/>
      <c r="BH104" s="45"/>
      <c r="BI104" s="45"/>
      <c r="BJ104" s="45"/>
      <c r="BK104" s="45"/>
      <c r="BL104" s="45"/>
      <c r="BM104" s="45"/>
      <c r="BN104" s="45"/>
      <c r="BO104" s="1"/>
      <c r="BP104" s="1"/>
    </row>
    <row r="105" spans="2:68" s="11" customFormat="1" ht="21.75" x14ac:dyDescent="0.3">
      <c r="B105" s="9"/>
      <c r="C105" s="113"/>
      <c r="D105" s="114"/>
      <c r="E105" s="98"/>
      <c r="F105" s="117"/>
      <c r="G105" s="99"/>
      <c r="H105" s="99"/>
      <c r="I105" s="99"/>
      <c r="J105" s="98"/>
      <c r="K105" s="100"/>
      <c r="L105" s="100"/>
      <c r="M105" s="100"/>
      <c r="N105" s="100"/>
      <c r="O105" s="100"/>
      <c r="P105" s="100"/>
      <c r="Q105" s="118"/>
      <c r="R105" s="98"/>
      <c r="S105" s="119"/>
      <c r="T105" s="28"/>
      <c r="U105" s="28"/>
      <c r="V105" s="28"/>
      <c r="W105" s="101"/>
      <c r="X105" s="29"/>
      <c r="Y105" s="1"/>
      <c r="Z105" s="1"/>
      <c r="AA105" s="71">
        <v>45910</v>
      </c>
      <c r="AB105" s="104">
        <v>45933</v>
      </c>
      <c r="AC105" s="40" t="s">
        <v>471</v>
      </c>
      <c r="AD105" s="105">
        <v>0</v>
      </c>
      <c r="AE105" s="105">
        <v>0</v>
      </c>
      <c r="AF105" s="105">
        <v>0</v>
      </c>
      <c r="AG105" s="105">
        <v>0</v>
      </c>
      <c r="AH105" s="105">
        <v>0</v>
      </c>
      <c r="AI105" s="106">
        <v>0</v>
      </c>
      <c r="AJ105" s="107">
        <v>0</v>
      </c>
      <c r="AK105" s="112">
        <v>0</v>
      </c>
      <c r="AL105" s="112">
        <v>0</v>
      </c>
      <c r="AM105" s="108"/>
      <c r="AN105" s="45"/>
      <c r="AO105" s="108"/>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1"/>
      <c r="BP105" s="1"/>
    </row>
    <row r="106" spans="2:68" s="11" customFormat="1" ht="21.75" x14ac:dyDescent="0.3">
      <c r="B106" s="9"/>
      <c r="C106" s="113"/>
      <c r="D106" s="114"/>
      <c r="E106" s="98"/>
      <c r="F106" s="117"/>
      <c r="G106" s="99"/>
      <c r="H106" s="99"/>
      <c r="I106" s="99"/>
      <c r="J106" s="98"/>
      <c r="K106" s="100"/>
      <c r="L106" s="100"/>
      <c r="M106" s="100"/>
      <c r="N106" s="100"/>
      <c r="O106" s="100"/>
      <c r="P106" s="100"/>
      <c r="Q106" s="118"/>
      <c r="R106" s="98"/>
      <c r="S106" s="119"/>
      <c r="T106" s="28"/>
      <c r="U106" s="28"/>
      <c r="V106" s="28"/>
      <c r="W106" s="101"/>
      <c r="X106" s="29"/>
      <c r="Y106" s="1"/>
      <c r="Z106" s="1"/>
      <c r="AA106" s="71">
        <v>45917</v>
      </c>
      <c r="AB106" s="104">
        <v>45931</v>
      </c>
      <c r="AC106" s="40" t="s">
        <v>491</v>
      </c>
      <c r="AD106" s="105">
        <v>0</v>
      </c>
      <c r="AE106" s="105">
        <v>0</v>
      </c>
      <c r="AF106" s="105">
        <v>0</v>
      </c>
      <c r="AG106" s="105">
        <v>0</v>
      </c>
      <c r="AH106" s="105">
        <v>0</v>
      </c>
      <c r="AI106" s="106">
        <v>0</v>
      </c>
      <c r="AJ106" s="107">
        <v>0</v>
      </c>
      <c r="AK106" s="112">
        <v>0</v>
      </c>
      <c r="AL106" s="112">
        <v>0</v>
      </c>
      <c r="AM106" s="108"/>
      <c r="AN106" s="45"/>
      <c r="AO106" s="108"/>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1"/>
      <c r="BP106" s="1"/>
    </row>
    <row r="107" spans="2:68" s="11" customFormat="1" ht="21.75" x14ac:dyDescent="0.3">
      <c r="B107" s="9"/>
      <c r="C107" s="113"/>
      <c r="D107" s="114"/>
      <c r="E107" s="98"/>
      <c r="F107" s="117"/>
      <c r="G107" s="99"/>
      <c r="H107" s="99"/>
      <c r="I107" s="99"/>
      <c r="J107" s="98"/>
      <c r="K107" s="100"/>
      <c r="L107" s="100"/>
      <c r="M107" s="100"/>
      <c r="N107" s="100"/>
      <c r="O107" s="100"/>
      <c r="P107" s="100"/>
      <c r="Q107" s="118"/>
      <c r="R107" s="98"/>
      <c r="S107" s="119"/>
      <c r="T107" s="28"/>
      <c r="U107" s="28"/>
      <c r="V107" s="28"/>
      <c r="W107" s="101"/>
      <c r="X107" s="29"/>
      <c r="Y107" s="1"/>
      <c r="Z107" s="1"/>
      <c r="AA107" s="71">
        <v>45911</v>
      </c>
      <c r="AB107" s="104">
        <v>45929</v>
      </c>
      <c r="AC107" s="40" t="s">
        <v>482</v>
      </c>
      <c r="AD107" s="105">
        <v>0</v>
      </c>
      <c r="AE107" s="105">
        <v>0</v>
      </c>
      <c r="AF107" s="105">
        <v>0</v>
      </c>
      <c r="AG107" s="105">
        <v>0</v>
      </c>
      <c r="AH107" s="105">
        <v>0</v>
      </c>
      <c r="AI107" s="106">
        <v>0</v>
      </c>
      <c r="AJ107" s="107">
        <v>0</v>
      </c>
      <c r="AK107" s="112">
        <v>0</v>
      </c>
      <c r="AL107" s="112">
        <v>0</v>
      </c>
      <c r="AM107" s="108"/>
      <c r="AN107" s="45"/>
      <c r="AO107" s="108"/>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1"/>
      <c r="BP107" s="1"/>
    </row>
    <row r="108" spans="2:68" s="11" customFormat="1" ht="21.75" x14ac:dyDescent="0.3">
      <c r="B108" s="9"/>
      <c r="C108" s="113"/>
      <c r="D108" s="114"/>
      <c r="E108" s="98"/>
      <c r="F108" s="117"/>
      <c r="G108" s="99"/>
      <c r="H108" s="99"/>
      <c r="I108" s="99"/>
      <c r="J108" s="98"/>
      <c r="K108" s="100"/>
      <c r="L108" s="100"/>
      <c r="M108" s="100"/>
      <c r="N108" s="100"/>
      <c r="O108" s="100"/>
      <c r="P108" s="100"/>
      <c r="Q108" s="118"/>
      <c r="R108" s="98"/>
      <c r="S108" s="119"/>
      <c r="T108" s="28"/>
      <c r="U108" s="28"/>
      <c r="V108" s="28"/>
      <c r="W108" s="101"/>
      <c r="X108" s="29"/>
      <c r="Y108" s="1"/>
      <c r="Z108" s="1"/>
      <c r="AA108" s="71">
        <v>45911</v>
      </c>
      <c r="AB108" s="104">
        <v>45929</v>
      </c>
      <c r="AC108" s="40" t="s">
        <v>482</v>
      </c>
      <c r="AD108" s="105">
        <v>0</v>
      </c>
      <c r="AE108" s="105">
        <v>0</v>
      </c>
      <c r="AF108" s="105">
        <v>0</v>
      </c>
      <c r="AG108" s="105">
        <v>0</v>
      </c>
      <c r="AH108" s="105">
        <v>0</v>
      </c>
      <c r="AI108" s="106">
        <v>0</v>
      </c>
      <c r="AJ108" s="107">
        <v>0</v>
      </c>
      <c r="AK108" s="112">
        <v>0</v>
      </c>
      <c r="AL108" s="112">
        <v>0</v>
      </c>
      <c r="AM108" s="108"/>
      <c r="AN108" s="45"/>
      <c r="AO108" s="108"/>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1"/>
      <c r="BP108" s="1"/>
    </row>
    <row r="109" spans="2:68" s="11" customFormat="1" ht="21.75" x14ac:dyDescent="0.3">
      <c r="B109" s="9"/>
      <c r="C109" s="113"/>
      <c r="D109" s="114"/>
      <c r="E109" s="98"/>
      <c r="F109" s="117"/>
      <c r="G109" s="99"/>
      <c r="H109" s="99"/>
      <c r="I109" s="99"/>
      <c r="J109" s="98"/>
      <c r="K109" s="100"/>
      <c r="L109" s="100"/>
      <c r="M109" s="100"/>
      <c r="N109" s="100"/>
      <c r="O109" s="100"/>
      <c r="P109" s="100"/>
      <c r="Q109" s="118"/>
      <c r="R109" s="98"/>
      <c r="S109" s="119"/>
      <c r="T109" s="28"/>
      <c r="U109" s="28"/>
      <c r="V109" s="28"/>
      <c r="W109" s="101"/>
      <c r="X109" s="29"/>
      <c r="Y109" s="1"/>
      <c r="Z109" s="1"/>
      <c r="AA109" s="71">
        <v>45911</v>
      </c>
      <c r="AB109" s="104">
        <v>45929</v>
      </c>
      <c r="AC109" s="40" t="s">
        <v>482</v>
      </c>
      <c r="AD109" s="105">
        <v>0</v>
      </c>
      <c r="AE109" s="105">
        <v>0</v>
      </c>
      <c r="AF109" s="105">
        <v>0</v>
      </c>
      <c r="AG109" s="105">
        <v>0</v>
      </c>
      <c r="AH109" s="105">
        <v>0</v>
      </c>
      <c r="AI109" s="106">
        <v>0</v>
      </c>
      <c r="AJ109" s="107">
        <v>0</v>
      </c>
      <c r="AK109" s="112">
        <v>0</v>
      </c>
      <c r="AL109" s="112">
        <v>0</v>
      </c>
      <c r="AM109" s="108"/>
      <c r="AN109" s="45"/>
      <c r="AO109" s="108"/>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1"/>
      <c r="BP109" s="1"/>
    </row>
    <row r="110" spans="2:68" s="11" customFormat="1" ht="21.75" x14ac:dyDescent="0.3">
      <c r="B110" s="9"/>
      <c r="C110" s="113"/>
      <c r="D110" s="114"/>
      <c r="E110" s="98"/>
      <c r="F110" s="117"/>
      <c r="G110" s="99"/>
      <c r="H110" s="99"/>
      <c r="I110" s="99"/>
      <c r="J110" s="98"/>
      <c r="K110" s="100"/>
      <c r="L110" s="100"/>
      <c r="M110" s="100"/>
      <c r="N110" s="100"/>
      <c r="O110" s="100"/>
      <c r="P110" s="100"/>
      <c r="Q110" s="118"/>
      <c r="R110" s="98"/>
      <c r="S110" s="119"/>
      <c r="T110" s="28"/>
      <c r="U110" s="28"/>
      <c r="V110" s="28"/>
      <c r="W110" s="101"/>
      <c r="X110" s="29"/>
      <c r="Y110" s="1"/>
      <c r="Z110" s="1"/>
      <c r="AA110" s="71">
        <v>45911</v>
      </c>
      <c r="AB110" s="104">
        <v>45929</v>
      </c>
      <c r="AC110" s="40" t="s">
        <v>482</v>
      </c>
      <c r="AD110" s="105">
        <v>0</v>
      </c>
      <c r="AE110" s="105">
        <v>0</v>
      </c>
      <c r="AF110" s="105">
        <v>0</v>
      </c>
      <c r="AG110" s="105">
        <v>0</v>
      </c>
      <c r="AH110" s="105">
        <v>0</v>
      </c>
      <c r="AI110" s="106">
        <v>0</v>
      </c>
      <c r="AJ110" s="107">
        <v>0</v>
      </c>
      <c r="AK110" s="112">
        <v>0</v>
      </c>
      <c r="AL110" s="112">
        <v>0</v>
      </c>
      <c r="AM110" s="108"/>
      <c r="AN110" s="45"/>
      <c r="AO110" s="108"/>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1"/>
      <c r="BP110" s="1"/>
    </row>
    <row r="111" spans="2:68" s="11" customFormat="1" ht="21.75" x14ac:dyDescent="0.3">
      <c r="B111" s="9"/>
      <c r="C111" s="113"/>
      <c r="D111" s="114"/>
      <c r="E111" s="98"/>
      <c r="F111" s="117"/>
      <c r="G111" s="99"/>
      <c r="H111" s="99"/>
      <c r="I111" s="99"/>
      <c r="J111" s="98"/>
      <c r="K111" s="100"/>
      <c r="L111" s="100"/>
      <c r="M111" s="100"/>
      <c r="N111" s="100"/>
      <c r="O111" s="100"/>
      <c r="P111" s="100"/>
      <c r="Q111" s="118"/>
      <c r="R111" s="98"/>
      <c r="S111" s="119"/>
      <c r="T111" s="28"/>
      <c r="U111" s="28"/>
      <c r="V111" s="28"/>
      <c r="W111" s="101"/>
      <c r="X111" s="29"/>
      <c r="Y111" s="1"/>
      <c r="Z111" s="1"/>
      <c r="AA111" s="71">
        <v>45911</v>
      </c>
      <c r="AB111" s="104">
        <v>45929</v>
      </c>
      <c r="AC111" s="40" t="s">
        <v>483</v>
      </c>
      <c r="AD111" s="105">
        <v>0</v>
      </c>
      <c r="AE111" s="105">
        <v>0</v>
      </c>
      <c r="AF111" s="105">
        <v>0</v>
      </c>
      <c r="AG111" s="105">
        <v>0</v>
      </c>
      <c r="AH111" s="105">
        <v>0</v>
      </c>
      <c r="AI111" s="106">
        <v>0</v>
      </c>
      <c r="AJ111" s="107">
        <v>0</v>
      </c>
      <c r="AK111" s="112">
        <v>0</v>
      </c>
      <c r="AL111" s="112">
        <v>0</v>
      </c>
      <c r="AM111" s="108"/>
      <c r="AN111" s="45"/>
      <c r="AO111" s="108"/>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1"/>
      <c r="BP111" s="1"/>
    </row>
    <row r="112" spans="2:68" s="11" customFormat="1" ht="21.75" x14ac:dyDescent="0.3">
      <c r="B112" s="9"/>
      <c r="C112" s="113"/>
      <c r="D112" s="114"/>
      <c r="E112" s="98"/>
      <c r="F112" s="117"/>
      <c r="G112" s="99"/>
      <c r="H112" s="99"/>
      <c r="I112" s="99"/>
      <c r="J112" s="98"/>
      <c r="K112" s="100"/>
      <c r="L112" s="100"/>
      <c r="M112" s="100"/>
      <c r="N112" s="100"/>
      <c r="O112" s="100"/>
      <c r="P112" s="100"/>
      <c r="Q112" s="118"/>
      <c r="R112" s="98"/>
      <c r="S112" s="119"/>
      <c r="T112" s="28"/>
      <c r="U112" s="28"/>
      <c r="V112" s="28"/>
      <c r="W112" s="101"/>
      <c r="X112" s="29"/>
      <c r="Y112" s="1"/>
      <c r="Z112" s="1"/>
      <c r="AA112" s="71">
        <v>45911</v>
      </c>
      <c r="AB112" s="104">
        <v>45929</v>
      </c>
      <c r="AC112" s="40" t="s">
        <v>483</v>
      </c>
      <c r="AD112" s="105">
        <v>0</v>
      </c>
      <c r="AE112" s="105">
        <v>0</v>
      </c>
      <c r="AF112" s="105">
        <v>0</v>
      </c>
      <c r="AG112" s="105">
        <v>0</v>
      </c>
      <c r="AH112" s="105">
        <v>0</v>
      </c>
      <c r="AI112" s="106">
        <v>0</v>
      </c>
      <c r="AJ112" s="107">
        <v>0</v>
      </c>
      <c r="AK112" s="112">
        <v>0</v>
      </c>
      <c r="AL112" s="112">
        <v>0</v>
      </c>
      <c r="AM112" s="108"/>
      <c r="AN112" s="45"/>
      <c r="AO112" s="108"/>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1"/>
      <c r="BP112" s="1"/>
    </row>
    <row r="113" spans="2:68" s="11" customFormat="1" ht="21.75" x14ac:dyDescent="0.3">
      <c r="B113" s="9"/>
      <c r="C113" s="113"/>
      <c r="D113" s="114"/>
      <c r="E113" s="98"/>
      <c r="F113" s="117"/>
      <c r="G113" s="99"/>
      <c r="H113" s="99"/>
      <c r="I113" s="99"/>
      <c r="J113" s="98"/>
      <c r="K113" s="100"/>
      <c r="L113" s="100"/>
      <c r="M113" s="100"/>
      <c r="N113" s="100"/>
      <c r="O113" s="100"/>
      <c r="P113" s="100"/>
      <c r="Q113" s="118"/>
      <c r="R113" s="98"/>
      <c r="S113" s="119"/>
      <c r="T113" s="28"/>
      <c r="U113" s="28"/>
      <c r="V113" s="28"/>
      <c r="W113" s="101"/>
      <c r="X113" s="29"/>
      <c r="Y113" s="1"/>
      <c r="Z113" s="1"/>
      <c r="AA113" s="71">
        <v>45911</v>
      </c>
      <c r="AB113" s="104">
        <v>45929</v>
      </c>
      <c r="AC113" s="40" t="s">
        <v>483</v>
      </c>
      <c r="AD113" s="105">
        <v>0</v>
      </c>
      <c r="AE113" s="105">
        <v>0</v>
      </c>
      <c r="AF113" s="105">
        <v>0</v>
      </c>
      <c r="AG113" s="105">
        <v>0</v>
      </c>
      <c r="AH113" s="105">
        <v>0</v>
      </c>
      <c r="AI113" s="106">
        <v>0</v>
      </c>
      <c r="AJ113" s="107">
        <v>0</v>
      </c>
      <c r="AK113" s="112">
        <v>0</v>
      </c>
      <c r="AL113" s="112">
        <v>0</v>
      </c>
      <c r="AM113" s="108"/>
      <c r="AN113" s="45"/>
      <c r="AO113" s="108"/>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1"/>
      <c r="BP113" s="1"/>
    </row>
    <row r="114" spans="2:68" s="11" customFormat="1" ht="21.75" x14ac:dyDescent="0.3">
      <c r="B114" s="9"/>
      <c r="C114" s="113"/>
      <c r="D114" s="114"/>
      <c r="E114" s="98"/>
      <c r="F114" s="117"/>
      <c r="G114" s="99"/>
      <c r="H114" s="99"/>
      <c r="I114" s="99"/>
      <c r="J114" s="98"/>
      <c r="K114" s="100"/>
      <c r="L114" s="100"/>
      <c r="M114" s="100"/>
      <c r="N114" s="100"/>
      <c r="O114" s="100"/>
      <c r="P114" s="100"/>
      <c r="Q114" s="118"/>
      <c r="R114" s="98"/>
      <c r="S114" s="119"/>
      <c r="T114" s="28"/>
      <c r="U114" s="28"/>
      <c r="V114" s="28"/>
      <c r="W114" s="101"/>
      <c r="X114" s="29"/>
      <c r="Y114" s="1"/>
      <c r="Z114" s="1"/>
      <c r="AA114" s="71">
        <v>45911</v>
      </c>
      <c r="AB114" s="104">
        <v>45929</v>
      </c>
      <c r="AC114" s="40" t="s">
        <v>483</v>
      </c>
      <c r="AD114" s="105">
        <v>0</v>
      </c>
      <c r="AE114" s="105">
        <v>0</v>
      </c>
      <c r="AF114" s="105">
        <v>0</v>
      </c>
      <c r="AG114" s="105">
        <v>0</v>
      </c>
      <c r="AH114" s="105">
        <v>0</v>
      </c>
      <c r="AI114" s="106">
        <v>0</v>
      </c>
      <c r="AJ114" s="107">
        <v>0</v>
      </c>
      <c r="AK114" s="112">
        <v>0</v>
      </c>
      <c r="AL114" s="112">
        <v>0</v>
      </c>
      <c r="AM114" s="108"/>
      <c r="AN114" s="45"/>
      <c r="AO114" s="108"/>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1"/>
      <c r="BP114" s="1"/>
    </row>
    <row r="115" spans="2:68" s="11" customFormat="1" ht="21.75" x14ac:dyDescent="0.3">
      <c r="B115" s="9"/>
      <c r="C115" s="113"/>
      <c r="D115" s="114"/>
      <c r="E115" s="98"/>
      <c r="F115" s="117"/>
      <c r="G115" s="99"/>
      <c r="H115" s="99"/>
      <c r="I115" s="99"/>
      <c r="J115" s="98"/>
      <c r="K115" s="100"/>
      <c r="L115" s="100"/>
      <c r="M115" s="100"/>
      <c r="N115" s="100"/>
      <c r="O115" s="100"/>
      <c r="P115" s="100"/>
      <c r="Q115" s="118"/>
      <c r="R115" s="98"/>
      <c r="S115" s="119"/>
      <c r="T115" s="28"/>
      <c r="U115" s="28"/>
      <c r="V115" s="28"/>
      <c r="W115" s="101"/>
      <c r="X115" s="29"/>
      <c r="Y115" s="1"/>
      <c r="Z115" s="1"/>
      <c r="AA115" s="71">
        <v>45925</v>
      </c>
      <c r="AB115" s="104">
        <v>45950</v>
      </c>
      <c r="AC115" s="40" t="s">
        <v>504</v>
      </c>
      <c r="AD115" s="105">
        <v>0</v>
      </c>
      <c r="AE115" s="105">
        <v>0</v>
      </c>
      <c r="AF115" s="105">
        <v>0</v>
      </c>
      <c r="AG115" s="105">
        <v>0</v>
      </c>
      <c r="AH115" s="105">
        <v>0</v>
      </c>
      <c r="AI115" s="40" t="s">
        <v>644</v>
      </c>
      <c r="AJ115" s="107">
        <v>1195740</v>
      </c>
      <c r="AK115" s="112">
        <v>0</v>
      </c>
      <c r="AL115" s="112">
        <v>0</v>
      </c>
      <c r="AM115" s="108"/>
      <c r="AN115" s="45"/>
      <c r="AO115" s="108"/>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1"/>
      <c r="BP115" s="1"/>
    </row>
    <row r="116" spans="2:68" s="11" customFormat="1" ht="21.75" x14ac:dyDescent="0.3">
      <c r="B116" s="9"/>
      <c r="C116" s="113"/>
      <c r="D116" s="114"/>
      <c r="E116" s="98"/>
      <c r="F116" s="117"/>
      <c r="G116" s="99"/>
      <c r="H116" s="99"/>
      <c r="I116" s="99"/>
      <c r="J116" s="98"/>
      <c r="K116" s="100"/>
      <c r="L116" s="100"/>
      <c r="M116" s="100"/>
      <c r="N116" s="100"/>
      <c r="O116" s="100"/>
      <c r="P116" s="100"/>
      <c r="Q116" s="118"/>
      <c r="R116" s="98"/>
      <c r="S116" s="119"/>
      <c r="T116" s="28"/>
      <c r="U116" s="28"/>
      <c r="V116" s="28"/>
      <c r="W116" s="101"/>
      <c r="X116" s="29"/>
      <c r="Y116" s="1"/>
      <c r="Z116" s="1"/>
      <c r="AA116" s="71">
        <v>45917</v>
      </c>
      <c r="AB116" s="104">
        <v>45933</v>
      </c>
      <c r="AC116" s="40" t="s">
        <v>492</v>
      </c>
      <c r="AD116" s="105">
        <v>0</v>
      </c>
      <c r="AE116" s="105">
        <v>0</v>
      </c>
      <c r="AF116" s="105">
        <v>0</v>
      </c>
      <c r="AG116" s="105">
        <v>0</v>
      </c>
      <c r="AH116" s="105">
        <v>0</v>
      </c>
      <c r="AI116" s="106">
        <v>0</v>
      </c>
      <c r="AJ116" s="107">
        <v>0</v>
      </c>
      <c r="AK116" s="112">
        <v>0</v>
      </c>
      <c r="AL116" s="112">
        <v>0</v>
      </c>
      <c r="AM116" s="108"/>
      <c r="AN116" s="45"/>
      <c r="AO116" s="108"/>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1"/>
      <c r="BP116" s="1"/>
    </row>
    <row r="117" spans="2:68" s="11" customFormat="1" ht="21.75" x14ac:dyDescent="0.3">
      <c r="B117" s="9"/>
      <c r="C117" s="113"/>
      <c r="D117" s="114"/>
      <c r="E117" s="98"/>
      <c r="F117" s="117"/>
      <c r="G117" s="99"/>
      <c r="H117" s="99"/>
      <c r="I117" s="99"/>
      <c r="J117" s="98"/>
      <c r="K117" s="100"/>
      <c r="L117" s="100"/>
      <c r="M117" s="100"/>
      <c r="N117" s="100"/>
      <c r="O117" s="100"/>
      <c r="P117" s="100"/>
      <c r="Q117" s="118"/>
      <c r="R117" s="98"/>
      <c r="S117" s="119"/>
      <c r="T117" s="28"/>
      <c r="U117" s="28"/>
      <c r="V117" s="28"/>
      <c r="W117" s="101"/>
      <c r="X117" s="29"/>
      <c r="Y117" s="1"/>
      <c r="Z117" s="1"/>
      <c r="AA117" s="71">
        <v>45919</v>
      </c>
      <c r="AB117" s="104">
        <v>45933</v>
      </c>
      <c r="AC117" s="40" t="s">
        <v>473</v>
      </c>
      <c r="AD117" s="105">
        <v>0</v>
      </c>
      <c r="AE117" s="105">
        <v>0</v>
      </c>
      <c r="AF117" s="105">
        <v>0</v>
      </c>
      <c r="AG117" s="105">
        <v>0</v>
      </c>
      <c r="AH117" s="105">
        <v>0</v>
      </c>
      <c r="AI117" s="40" t="s">
        <v>641</v>
      </c>
      <c r="AJ117" s="107">
        <v>797160</v>
      </c>
      <c r="AK117" s="112">
        <v>0</v>
      </c>
      <c r="AL117" s="112">
        <v>0</v>
      </c>
      <c r="AM117" s="108"/>
      <c r="AN117" s="45"/>
      <c r="AO117" s="108"/>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1"/>
      <c r="BP117" s="1"/>
    </row>
    <row r="118" spans="2:68" s="11" customFormat="1" ht="21.75" x14ac:dyDescent="0.3">
      <c r="B118" s="9"/>
      <c r="C118" s="113"/>
      <c r="D118" s="114"/>
      <c r="E118" s="98"/>
      <c r="F118" s="117"/>
      <c r="G118" s="99"/>
      <c r="H118" s="99"/>
      <c r="I118" s="99"/>
      <c r="J118" s="98"/>
      <c r="K118" s="100"/>
      <c r="L118" s="100"/>
      <c r="M118" s="100"/>
      <c r="N118" s="100"/>
      <c r="O118" s="100"/>
      <c r="P118" s="100"/>
      <c r="Q118" s="118"/>
      <c r="R118" s="98"/>
      <c r="S118" s="119"/>
      <c r="T118" s="28"/>
      <c r="U118" s="28"/>
      <c r="V118" s="28"/>
      <c r="W118" s="101"/>
      <c r="X118" s="29"/>
      <c r="Y118" s="1"/>
      <c r="Z118" s="1"/>
      <c r="AA118" s="71">
        <v>45919</v>
      </c>
      <c r="AB118" s="104">
        <v>45933</v>
      </c>
      <c r="AC118" s="40" t="s">
        <v>479</v>
      </c>
      <c r="AD118" s="105">
        <v>0</v>
      </c>
      <c r="AE118" s="105">
        <v>0</v>
      </c>
      <c r="AF118" s="105">
        <v>0</v>
      </c>
      <c r="AG118" s="105">
        <v>0</v>
      </c>
      <c r="AH118" s="105">
        <v>0</v>
      </c>
      <c r="AI118" s="40" t="s">
        <v>641</v>
      </c>
      <c r="AJ118" s="107">
        <v>797160</v>
      </c>
      <c r="AK118" s="112">
        <v>0</v>
      </c>
      <c r="AL118" s="112">
        <v>0</v>
      </c>
      <c r="AM118" s="108"/>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1"/>
      <c r="BP118" s="1"/>
    </row>
    <row r="119" spans="2:68" s="11" customFormat="1" ht="21.75" x14ac:dyDescent="0.3">
      <c r="B119" s="9"/>
      <c r="C119" s="113"/>
      <c r="D119" s="114"/>
      <c r="E119" s="98"/>
      <c r="F119" s="117"/>
      <c r="G119" s="99"/>
      <c r="H119" s="99"/>
      <c r="I119" s="99"/>
      <c r="J119" s="98"/>
      <c r="K119" s="100"/>
      <c r="L119" s="100"/>
      <c r="M119" s="100"/>
      <c r="N119" s="100"/>
      <c r="O119" s="100"/>
      <c r="P119" s="100"/>
      <c r="Q119" s="118"/>
      <c r="R119" s="98"/>
      <c r="S119" s="119"/>
      <c r="T119" s="28"/>
      <c r="U119" s="28"/>
      <c r="V119" s="28"/>
      <c r="W119" s="101"/>
      <c r="X119" s="29"/>
      <c r="Y119" s="1"/>
      <c r="Z119" s="1"/>
      <c r="AA119" s="71">
        <v>45919</v>
      </c>
      <c r="AB119" s="104">
        <v>45933</v>
      </c>
      <c r="AC119" s="40" t="s">
        <v>477</v>
      </c>
      <c r="AD119" s="105">
        <v>0</v>
      </c>
      <c r="AE119" s="105">
        <v>0</v>
      </c>
      <c r="AF119" s="105">
        <v>0</v>
      </c>
      <c r="AG119" s="105">
        <v>0</v>
      </c>
      <c r="AH119" s="105">
        <v>0</v>
      </c>
      <c r="AI119" s="40" t="s">
        <v>641</v>
      </c>
      <c r="AJ119" s="107">
        <v>797160</v>
      </c>
      <c r="AK119" s="112">
        <v>0</v>
      </c>
      <c r="AL119" s="112">
        <v>0</v>
      </c>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1"/>
      <c r="BP119" s="1"/>
    </row>
    <row r="120" spans="2:68" s="11" customFormat="1" ht="21.75" x14ac:dyDescent="0.3">
      <c r="B120" s="9"/>
      <c r="C120" s="113"/>
      <c r="D120" s="114"/>
      <c r="E120" s="98"/>
      <c r="F120" s="117"/>
      <c r="G120" s="99"/>
      <c r="H120" s="99"/>
      <c r="I120" s="99"/>
      <c r="J120" s="98"/>
      <c r="K120" s="100"/>
      <c r="L120" s="100"/>
      <c r="M120" s="100"/>
      <c r="N120" s="100"/>
      <c r="O120" s="100"/>
      <c r="P120" s="100"/>
      <c r="Q120" s="118"/>
      <c r="R120" s="98"/>
      <c r="S120" s="119"/>
      <c r="T120" s="28"/>
      <c r="U120" s="28"/>
      <c r="V120" s="28"/>
      <c r="W120" s="101"/>
      <c r="X120" s="29"/>
      <c r="Y120" s="1"/>
      <c r="Z120" s="1"/>
      <c r="AA120" s="71">
        <v>45919</v>
      </c>
      <c r="AB120" s="104">
        <v>45933</v>
      </c>
      <c r="AC120" s="40" t="s">
        <v>476</v>
      </c>
      <c r="AD120" s="105">
        <v>0</v>
      </c>
      <c r="AE120" s="105">
        <v>0</v>
      </c>
      <c r="AF120" s="105">
        <v>0</v>
      </c>
      <c r="AG120" s="105">
        <v>0</v>
      </c>
      <c r="AH120" s="105">
        <v>0</v>
      </c>
      <c r="AI120" s="40" t="s">
        <v>641</v>
      </c>
      <c r="AJ120" s="107">
        <v>797160</v>
      </c>
      <c r="AK120" s="112">
        <v>0</v>
      </c>
      <c r="AL120" s="112">
        <v>0</v>
      </c>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1"/>
      <c r="BP120" s="1"/>
    </row>
    <row r="121" spans="2:68" s="11" customFormat="1" ht="21.75" x14ac:dyDescent="0.3">
      <c r="B121" s="9"/>
      <c r="C121" s="113"/>
      <c r="D121" s="114"/>
      <c r="E121" s="98"/>
      <c r="F121" s="117"/>
      <c r="G121" s="99"/>
      <c r="H121" s="99"/>
      <c r="I121" s="99"/>
      <c r="J121" s="98"/>
      <c r="K121" s="100"/>
      <c r="L121" s="100"/>
      <c r="M121" s="100"/>
      <c r="N121" s="100"/>
      <c r="O121" s="100"/>
      <c r="P121" s="100"/>
      <c r="Q121" s="118"/>
      <c r="R121" s="98"/>
      <c r="S121" s="119"/>
      <c r="T121" s="28"/>
      <c r="U121" s="28"/>
      <c r="V121" s="28"/>
      <c r="W121" s="101"/>
      <c r="X121" s="29"/>
      <c r="Y121" s="1"/>
      <c r="Z121" s="1"/>
      <c r="AA121" s="71">
        <v>45919</v>
      </c>
      <c r="AB121" s="104">
        <v>45933</v>
      </c>
      <c r="AC121" s="40" t="s">
        <v>478</v>
      </c>
      <c r="AD121" s="105">
        <v>0</v>
      </c>
      <c r="AE121" s="105">
        <v>0</v>
      </c>
      <c r="AF121" s="105">
        <v>0</v>
      </c>
      <c r="AG121" s="105">
        <v>0</v>
      </c>
      <c r="AH121" s="105">
        <v>0</v>
      </c>
      <c r="AI121" s="40" t="s">
        <v>641</v>
      </c>
      <c r="AJ121" s="107">
        <v>797160</v>
      </c>
      <c r="AK121" s="112">
        <v>0</v>
      </c>
      <c r="AL121" s="112">
        <v>0</v>
      </c>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1"/>
      <c r="BP121" s="1"/>
    </row>
    <row r="122" spans="2:68" s="11" customFormat="1" ht="21.75" x14ac:dyDescent="0.3">
      <c r="B122" s="9"/>
      <c r="C122" s="113"/>
      <c r="D122" s="114"/>
      <c r="E122" s="98"/>
      <c r="F122" s="117"/>
      <c r="G122" s="99"/>
      <c r="H122" s="99"/>
      <c r="I122" s="99"/>
      <c r="J122" s="98"/>
      <c r="K122" s="100"/>
      <c r="L122" s="100"/>
      <c r="M122" s="100"/>
      <c r="N122" s="100"/>
      <c r="O122" s="100"/>
      <c r="P122" s="100"/>
      <c r="Q122" s="118"/>
      <c r="R122" s="98"/>
      <c r="S122" s="119"/>
      <c r="T122" s="28"/>
      <c r="U122" s="28"/>
      <c r="V122" s="28"/>
      <c r="W122" s="101"/>
      <c r="X122" s="29"/>
      <c r="Y122" s="1"/>
      <c r="Z122" s="1"/>
      <c r="AA122" s="71">
        <v>45905</v>
      </c>
      <c r="AB122" s="104">
        <v>45937</v>
      </c>
      <c r="AC122" s="40" t="s">
        <v>484</v>
      </c>
      <c r="AD122" s="105">
        <v>0</v>
      </c>
      <c r="AE122" s="105">
        <v>0</v>
      </c>
      <c r="AF122" s="105">
        <v>0</v>
      </c>
      <c r="AG122" s="105">
        <v>0</v>
      </c>
      <c r="AH122" s="105">
        <v>0</v>
      </c>
      <c r="AI122" s="40" t="s">
        <v>643</v>
      </c>
      <c r="AJ122" s="107">
        <v>924255</v>
      </c>
      <c r="AK122" s="112">
        <v>0</v>
      </c>
      <c r="AL122" s="112">
        <v>0</v>
      </c>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1"/>
      <c r="BP122" s="1"/>
    </row>
    <row r="123" spans="2:68" s="11" customFormat="1" ht="21.75" x14ac:dyDescent="0.3">
      <c r="B123" s="9"/>
      <c r="C123" s="113"/>
      <c r="D123" s="114"/>
      <c r="E123" s="98"/>
      <c r="F123" s="117"/>
      <c r="G123" s="99"/>
      <c r="H123" s="99"/>
      <c r="I123" s="99"/>
      <c r="J123" s="98"/>
      <c r="K123" s="100"/>
      <c r="L123" s="100"/>
      <c r="M123" s="100"/>
      <c r="N123" s="100"/>
      <c r="O123" s="100"/>
      <c r="P123" s="100"/>
      <c r="Q123" s="118"/>
      <c r="R123" s="98"/>
      <c r="S123" s="119"/>
      <c r="T123" s="28"/>
      <c r="U123" s="28"/>
      <c r="V123" s="28"/>
      <c r="W123" s="101"/>
      <c r="X123" s="29"/>
      <c r="Y123" s="1"/>
      <c r="Z123" s="1"/>
      <c r="AA123" s="71">
        <v>45905</v>
      </c>
      <c r="AB123" s="104">
        <v>45937</v>
      </c>
      <c r="AC123" s="40" t="s">
        <v>485</v>
      </c>
      <c r="AD123" s="105">
        <v>0</v>
      </c>
      <c r="AE123" s="105">
        <v>0</v>
      </c>
      <c r="AF123" s="105">
        <v>0</v>
      </c>
      <c r="AG123" s="105">
        <v>0</v>
      </c>
      <c r="AH123" s="105">
        <v>0</v>
      </c>
      <c r="AI123" s="40" t="s">
        <v>643</v>
      </c>
      <c r="AJ123" s="107">
        <v>924255</v>
      </c>
      <c r="AK123" s="112">
        <v>0</v>
      </c>
      <c r="AL123" s="112">
        <v>0</v>
      </c>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1"/>
      <c r="BP123" s="1"/>
    </row>
    <row r="124" spans="2:68" s="11" customFormat="1" ht="21.75" x14ac:dyDescent="0.3">
      <c r="B124" s="9"/>
      <c r="C124" s="113"/>
      <c r="D124" s="114"/>
      <c r="E124" s="98"/>
      <c r="F124" s="117"/>
      <c r="G124" s="99"/>
      <c r="H124" s="99"/>
      <c r="I124" s="99"/>
      <c r="J124" s="98"/>
      <c r="K124" s="100"/>
      <c r="L124" s="100"/>
      <c r="M124" s="100"/>
      <c r="N124" s="100"/>
      <c r="O124" s="100"/>
      <c r="P124" s="100"/>
      <c r="Q124" s="118"/>
      <c r="R124" s="98"/>
      <c r="S124" s="119"/>
      <c r="T124" s="28"/>
      <c r="U124" s="28"/>
      <c r="V124" s="28"/>
      <c r="W124" s="101"/>
      <c r="X124" s="29"/>
      <c r="Y124" s="1"/>
      <c r="Z124" s="1"/>
      <c r="AA124" s="71">
        <v>45905</v>
      </c>
      <c r="AB124" s="104">
        <v>45937</v>
      </c>
      <c r="AC124" s="40" t="s">
        <v>488</v>
      </c>
      <c r="AD124" s="105">
        <v>0</v>
      </c>
      <c r="AE124" s="105">
        <v>0</v>
      </c>
      <c r="AF124" s="105">
        <v>0</v>
      </c>
      <c r="AG124" s="105">
        <v>0</v>
      </c>
      <c r="AH124" s="105">
        <v>0</v>
      </c>
      <c r="AI124" s="40" t="s">
        <v>643</v>
      </c>
      <c r="AJ124" s="107">
        <v>924255</v>
      </c>
      <c r="AK124" s="112">
        <v>0</v>
      </c>
      <c r="AL124" s="112">
        <v>0</v>
      </c>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1"/>
      <c r="BP124" s="1"/>
    </row>
    <row r="125" spans="2:68" s="11" customFormat="1" ht="21.75" x14ac:dyDescent="0.3">
      <c r="B125" s="9"/>
      <c r="C125" s="113"/>
      <c r="D125" s="114"/>
      <c r="E125" s="98"/>
      <c r="F125" s="117"/>
      <c r="G125" s="99"/>
      <c r="H125" s="99"/>
      <c r="I125" s="99"/>
      <c r="J125" s="98"/>
      <c r="K125" s="100"/>
      <c r="L125" s="100"/>
      <c r="M125" s="100"/>
      <c r="N125" s="100"/>
      <c r="O125" s="100"/>
      <c r="P125" s="100"/>
      <c r="Q125" s="118"/>
      <c r="R125" s="98"/>
      <c r="S125" s="119"/>
      <c r="T125" s="28"/>
      <c r="U125" s="28"/>
      <c r="V125" s="28"/>
      <c r="W125" s="101"/>
      <c r="X125" s="29"/>
      <c r="Y125" s="1"/>
      <c r="Z125" s="1"/>
      <c r="AA125" s="71">
        <v>45911</v>
      </c>
      <c r="AB125" s="104">
        <v>45938</v>
      </c>
      <c r="AC125" s="40" t="s">
        <v>495</v>
      </c>
      <c r="AD125" s="105">
        <v>0</v>
      </c>
      <c r="AE125" s="105">
        <v>0</v>
      </c>
      <c r="AF125" s="105">
        <v>0</v>
      </c>
      <c r="AG125" s="105">
        <v>0</v>
      </c>
      <c r="AH125" s="105">
        <v>0</v>
      </c>
      <c r="AI125" s="106">
        <v>0</v>
      </c>
      <c r="AJ125" s="107">
        <v>0</v>
      </c>
      <c r="AK125" s="112">
        <v>0</v>
      </c>
      <c r="AL125" s="112">
        <v>0</v>
      </c>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1"/>
      <c r="BP125" s="1"/>
    </row>
    <row r="126" spans="2:68" s="11" customFormat="1" ht="21.75" x14ac:dyDescent="0.3">
      <c r="B126" s="9"/>
      <c r="C126" s="113"/>
      <c r="D126" s="114"/>
      <c r="E126" s="98"/>
      <c r="F126" s="117"/>
      <c r="G126" s="99"/>
      <c r="H126" s="99"/>
      <c r="I126" s="99"/>
      <c r="J126" s="98"/>
      <c r="K126" s="100"/>
      <c r="L126" s="100"/>
      <c r="M126" s="100"/>
      <c r="N126" s="100"/>
      <c r="O126" s="100"/>
      <c r="P126" s="100"/>
      <c r="Q126" s="118"/>
      <c r="R126" s="98"/>
      <c r="S126" s="119"/>
      <c r="T126" s="28"/>
      <c r="U126" s="28"/>
      <c r="V126" s="28"/>
      <c r="W126" s="101"/>
      <c r="X126" s="29"/>
      <c r="Y126" s="1"/>
      <c r="Z126" s="1"/>
      <c r="AA126" s="71">
        <v>45911</v>
      </c>
      <c r="AB126" s="104">
        <v>45938</v>
      </c>
      <c r="AC126" s="40" t="s">
        <v>496</v>
      </c>
      <c r="AD126" s="105">
        <v>0</v>
      </c>
      <c r="AE126" s="105">
        <v>0</v>
      </c>
      <c r="AF126" s="105">
        <v>0</v>
      </c>
      <c r="AG126" s="105">
        <v>0</v>
      </c>
      <c r="AH126" s="105">
        <v>0</v>
      </c>
      <c r="AI126" s="106">
        <v>0</v>
      </c>
      <c r="AJ126" s="107">
        <v>0</v>
      </c>
      <c r="AK126" s="112">
        <v>0</v>
      </c>
      <c r="AL126" s="112">
        <v>0</v>
      </c>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1"/>
      <c r="BP126" s="1"/>
    </row>
    <row r="127" spans="2:68" s="11" customFormat="1" ht="21.75" x14ac:dyDescent="0.3">
      <c r="B127" s="9"/>
      <c r="C127" s="113"/>
      <c r="D127" s="114"/>
      <c r="E127" s="98"/>
      <c r="F127" s="117"/>
      <c r="G127" s="99"/>
      <c r="H127" s="99"/>
      <c r="I127" s="99"/>
      <c r="J127" s="98"/>
      <c r="K127" s="100"/>
      <c r="L127" s="100"/>
      <c r="M127" s="100"/>
      <c r="N127" s="100"/>
      <c r="O127" s="100"/>
      <c r="P127" s="100"/>
      <c r="Q127" s="118"/>
      <c r="R127" s="98"/>
      <c r="S127" s="119"/>
      <c r="T127" s="28"/>
      <c r="U127" s="28"/>
      <c r="V127" s="28"/>
      <c r="W127" s="101"/>
      <c r="X127" s="29"/>
      <c r="Y127" s="1"/>
      <c r="Z127" s="1"/>
      <c r="AA127" s="71">
        <v>45911</v>
      </c>
      <c r="AB127" s="104">
        <v>45938</v>
      </c>
      <c r="AC127" s="40" t="s">
        <v>502</v>
      </c>
      <c r="AD127" s="105">
        <v>0</v>
      </c>
      <c r="AE127" s="105">
        <v>0</v>
      </c>
      <c r="AF127" s="105">
        <v>0</v>
      </c>
      <c r="AG127" s="105">
        <v>0</v>
      </c>
      <c r="AH127" s="105">
        <v>0</v>
      </c>
      <c r="AI127" s="106">
        <v>0</v>
      </c>
      <c r="AJ127" s="107">
        <v>0</v>
      </c>
      <c r="AK127" s="112">
        <v>0</v>
      </c>
      <c r="AL127" s="112">
        <v>0</v>
      </c>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1"/>
      <c r="BP127" s="1"/>
    </row>
    <row r="128" spans="2:68" s="11" customFormat="1" ht="21.75" x14ac:dyDescent="0.3">
      <c r="B128" s="9"/>
      <c r="C128" s="113"/>
      <c r="D128" s="114"/>
      <c r="E128" s="98"/>
      <c r="F128" s="117"/>
      <c r="G128" s="99"/>
      <c r="H128" s="99"/>
      <c r="I128" s="99"/>
      <c r="J128" s="98"/>
      <c r="K128" s="100"/>
      <c r="L128" s="100"/>
      <c r="M128" s="100"/>
      <c r="N128" s="100"/>
      <c r="O128" s="100"/>
      <c r="P128" s="100"/>
      <c r="Q128" s="118"/>
      <c r="R128" s="98"/>
      <c r="S128" s="119"/>
      <c r="T128" s="28"/>
      <c r="U128" s="28"/>
      <c r="V128" s="28"/>
      <c r="W128" s="101"/>
      <c r="X128" s="29"/>
      <c r="Y128" s="1"/>
      <c r="Z128" s="1"/>
      <c r="AA128" s="71">
        <v>45911</v>
      </c>
      <c r="AB128" s="104">
        <v>45938</v>
      </c>
      <c r="AC128" s="40" t="s">
        <v>503</v>
      </c>
      <c r="AD128" s="105">
        <v>0</v>
      </c>
      <c r="AE128" s="105">
        <v>0</v>
      </c>
      <c r="AF128" s="105">
        <v>0</v>
      </c>
      <c r="AG128" s="105">
        <v>0</v>
      </c>
      <c r="AH128" s="105">
        <v>0</v>
      </c>
      <c r="AI128" s="106">
        <v>0</v>
      </c>
      <c r="AJ128" s="107">
        <v>0</v>
      </c>
      <c r="AK128" s="112">
        <v>0</v>
      </c>
      <c r="AL128" s="112">
        <v>0</v>
      </c>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1"/>
      <c r="BP128" s="1"/>
    </row>
    <row r="129" spans="2:68" s="11" customFormat="1" ht="21.75" x14ac:dyDescent="0.3">
      <c r="B129" s="9"/>
      <c r="C129" s="113"/>
      <c r="D129" s="114"/>
      <c r="E129" s="98"/>
      <c r="F129" s="117"/>
      <c r="G129" s="99"/>
      <c r="H129" s="99"/>
      <c r="I129" s="99"/>
      <c r="J129" s="98"/>
      <c r="K129" s="100"/>
      <c r="L129" s="100"/>
      <c r="M129" s="100"/>
      <c r="N129" s="100"/>
      <c r="O129" s="100"/>
      <c r="P129" s="100"/>
      <c r="Q129" s="118"/>
      <c r="R129" s="98"/>
      <c r="S129" s="119"/>
      <c r="T129" s="28"/>
      <c r="U129" s="28"/>
      <c r="V129" s="28"/>
      <c r="W129" s="101"/>
      <c r="X129" s="29"/>
      <c r="Y129" s="1"/>
      <c r="Z129" s="1"/>
      <c r="AA129" s="71">
        <v>45911</v>
      </c>
      <c r="AB129" s="104">
        <v>45938</v>
      </c>
      <c r="AC129" s="40" t="s">
        <v>501</v>
      </c>
      <c r="AD129" s="105">
        <v>0</v>
      </c>
      <c r="AE129" s="105">
        <v>0</v>
      </c>
      <c r="AF129" s="105">
        <v>0</v>
      </c>
      <c r="AG129" s="105">
        <v>0</v>
      </c>
      <c r="AH129" s="105">
        <v>0</v>
      </c>
      <c r="AI129" s="106">
        <v>0</v>
      </c>
      <c r="AJ129" s="107">
        <v>0</v>
      </c>
      <c r="AK129" s="112">
        <v>0</v>
      </c>
      <c r="AL129" s="112">
        <v>0</v>
      </c>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1"/>
      <c r="BP129" s="1"/>
    </row>
    <row r="130" spans="2:68" s="11" customFormat="1" ht="21.75" x14ac:dyDescent="0.3">
      <c r="B130" s="9"/>
      <c r="C130" s="113"/>
      <c r="D130" s="114"/>
      <c r="E130" s="98"/>
      <c r="F130" s="117"/>
      <c r="G130" s="99"/>
      <c r="H130" s="99"/>
      <c r="I130" s="99"/>
      <c r="J130" s="98"/>
      <c r="K130" s="100"/>
      <c r="L130" s="100"/>
      <c r="M130" s="100"/>
      <c r="N130" s="100"/>
      <c r="O130" s="100"/>
      <c r="P130" s="100"/>
      <c r="Q130" s="118"/>
      <c r="R130" s="98"/>
      <c r="S130" s="119"/>
      <c r="T130" s="28"/>
      <c r="U130" s="28"/>
      <c r="V130" s="28"/>
      <c r="W130" s="101"/>
      <c r="X130" s="29"/>
      <c r="Y130" s="1"/>
      <c r="Z130" s="1"/>
      <c r="AA130" s="71">
        <v>45917</v>
      </c>
      <c r="AB130" s="104">
        <v>45938</v>
      </c>
      <c r="AC130" s="40" t="s">
        <v>490</v>
      </c>
      <c r="AD130" s="105">
        <v>0</v>
      </c>
      <c r="AE130" s="105">
        <v>0</v>
      </c>
      <c r="AF130" s="105">
        <v>0</v>
      </c>
      <c r="AG130" s="105">
        <v>0</v>
      </c>
      <c r="AH130" s="105">
        <v>0</v>
      </c>
      <c r="AI130" s="106">
        <v>0</v>
      </c>
      <c r="AJ130" s="107">
        <v>0</v>
      </c>
      <c r="AK130" s="112">
        <v>0</v>
      </c>
      <c r="AL130" s="112">
        <v>0</v>
      </c>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1"/>
      <c r="BP130" s="1"/>
    </row>
    <row r="131" spans="2:68" s="11" customFormat="1" ht="21.75" x14ac:dyDescent="0.3">
      <c r="B131" s="9"/>
      <c r="C131" s="113"/>
      <c r="D131" s="114"/>
      <c r="E131" s="98"/>
      <c r="F131" s="117"/>
      <c r="G131" s="99"/>
      <c r="H131" s="99"/>
      <c r="I131" s="99"/>
      <c r="J131" s="98"/>
      <c r="K131" s="100"/>
      <c r="L131" s="100"/>
      <c r="M131" s="100"/>
      <c r="N131" s="100"/>
      <c r="O131" s="100"/>
      <c r="P131" s="100"/>
      <c r="Q131" s="118"/>
      <c r="R131" s="98"/>
      <c r="S131" s="119"/>
      <c r="T131" s="28"/>
      <c r="U131" s="28"/>
      <c r="V131" s="28"/>
      <c r="W131" s="101"/>
      <c r="X131" s="29"/>
      <c r="Y131" s="1"/>
      <c r="Z131" s="1"/>
      <c r="AA131" s="71">
        <v>45917</v>
      </c>
      <c r="AB131" s="104">
        <v>45938</v>
      </c>
      <c r="AC131" s="40" t="s">
        <v>490</v>
      </c>
      <c r="AD131" s="105">
        <v>0</v>
      </c>
      <c r="AE131" s="105">
        <v>0</v>
      </c>
      <c r="AF131" s="105">
        <v>0</v>
      </c>
      <c r="AG131" s="105">
        <v>0</v>
      </c>
      <c r="AH131" s="105">
        <v>0</v>
      </c>
      <c r="AI131" s="106">
        <v>0</v>
      </c>
      <c r="AJ131" s="107">
        <v>0</v>
      </c>
      <c r="AK131" s="112">
        <v>0</v>
      </c>
      <c r="AL131" s="112">
        <v>0</v>
      </c>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1"/>
      <c r="BP131" s="1"/>
    </row>
    <row r="132" spans="2:68" s="11" customFormat="1" ht="21.75" x14ac:dyDescent="0.3">
      <c r="B132" s="9"/>
      <c r="C132" s="113"/>
      <c r="D132" s="114"/>
      <c r="E132" s="98"/>
      <c r="F132" s="117"/>
      <c r="G132" s="99"/>
      <c r="H132" s="99"/>
      <c r="I132" s="99"/>
      <c r="J132" s="98"/>
      <c r="K132" s="100"/>
      <c r="L132" s="100"/>
      <c r="M132" s="100"/>
      <c r="N132" s="100"/>
      <c r="O132" s="100"/>
      <c r="P132" s="100"/>
      <c r="Q132" s="118"/>
      <c r="R132" s="98"/>
      <c r="S132" s="119"/>
      <c r="T132" s="28"/>
      <c r="U132" s="28"/>
      <c r="V132" s="28"/>
      <c r="W132" s="101"/>
      <c r="X132" s="29"/>
      <c r="Y132" s="1"/>
      <c r="Z132" s="1"/>
      <c r="AA132" s="71">
        <v>45917</v>
      </c>
      <c r="AB132" s="104">
        <v>45938</v>
      </c>
      <c r="AC132" s="40" t="s">
        <v>498</v>
      </c>
      <c r="AD132" s="105">
        <v>0</v>
      </c>
      <c r="AE132" s="105">
        <v>0</v>
      </c>
      <c r="AF132" s="105">
        <v>0</v>
      </c>
      <c r="AG132" s="105">
        <v>0</v>
      </c>
      <c r="AH132" s="105">
        <v>0</v>
      </c>
      <c r="AI132" s="106">
        <v>0</v>
      </c>
      <c r="AJ132" s="107">
        <v>0</v>
      </c>
      <c r="AK132" s="112">
        <v>0</v>
      </c>
      <c r="AL132" s="112">
        <v>0</v>
      </c>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1"/>
      <c r="BP132" s="1"/>
    </row>
    <row r="133" spans="2:68" s="11" customFormat="1" ht="21.75" x14ac:dyDescent="0.3">
      <c r="B133" s="9"/>
      <c r="C133" s="113"/>
      <c r="D133" s="114"/>
      <c r="E133" s="98"/>
      <c r="F133" s="117"/>
      <c r="G133" s="99"/>
      <c r="H133" s="99"/>
      <c r="I133" s="99"/>
      <c r="J133" s="98"/>
      <c r="K133" s="100"/>
      <c r="L133" s="100"/>
      <c r="M133" s="100"/>
      <c r="N133" s="100"/>
      <c r="O133" s="100"/>
      <c r="P133" s="100"/>
      <c r="Q133" s="118"/>
      <c r="R133" s="98"/>
      <c r="S133" s="119"/>
      <c r="T133" s="28"/>
      <c r="U133" s="28"/>
      <c r="V133" s="28"/>
      <c r="W133" s="101"/>
      <c r="X133" s="29"/>
      <c r="Y133" s="1"/>
      <c r="Z133" s="1"/>
      <c r="AA133" s="71">
        <v>45917</v>
      </c>
      <c r="AB133" s="104">
        <v>45938</v>
      </c>
      <c r="AC133" s="40" t="s">
        <v>497</v>
      </c>
      <c r="AD133" s="105">
        <v>0</v>
      </c>
      <c r="AE133" s="105">
        <v>0</v>
      </c>
      <c r="AF133" s="105">
        <v>0</v>
      </c>
      <c r="AG133" s="105">
        <v>0</v>
      </c>
      <c r="AH133" s="105">
        <v>0</v>
      </c>
      <c r="AI133" s="106">
        <v>0</v>
      </c>
      <c r="AJ133" s="107">
        <v>0</v>
      </c>
      <c r="AK133" s="112">
        <v>0</v>
      </c>
      <c r="AL133" s="112">
        <v>0</v>
      </c>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1"/>
      <c r="BP133" s="1"/>
    </row>
    <row r="134" spans="2:68" s="11" customFormat="1" ht="21.75" x14ac:dyDescent="0.3">
      <c r="B134" s="9"/>
      <c r="C134" s="113"/>
      <c r="D134" s="114"/>
      <c r="E134" s="98"/>
      <c r="F134" s="117"/>
      <c r="G134" s="99"/>
      <c r="H134" s="99"/>
      <c r="I134" s="99"/>
      <c r="J134" s="98"/>
      <c r="K134" s="100"/>
      <c r="L134" s="100"/>
      <c r="M134" s="100"/>
      <c r="N134" s="100"/>
      <c r="O134" s="100"/>
      <c r="P134" s="100"/>
      <c r="Q134" s="118"/>
      <c r="R134" s="98"/>
      <c r="S134" s="119"/>
      <c r="T134" s="28"/>
      <c r="U134" s="28"/>
      <c r="V134" s="28"/>
      <c r="W134" s="101"/>
      <c r="X134" s="29"/>
      <c r="Y134" s="1"/>
      <c r="Z134" s="1"/>
      <c r="AA134" s="71">
        <v>45917</v>
      </c>
      <c r="AB134" s="104">
        <v>45938</v>
      </c>
      <c r="AC134" s="40" t="s">
        <v>490</v>
      </c>
      <c r="AD134" s="105">
        <v>0</v>
      </c>
      <c r="AE134" s="105">
        <v>0</v>
      </c>
      <c r="AF134" s="105">
        <v>0</v>
      </c>
      <c r="AG134" s="105">
        <v>0</v>
      </c>
      <c r="AH134" s="105">
        <v>0</v>
      </c>
      <c r="AI134" s="106">
        <v>0</v>
      </c>
      <c r="AJ134" s="107">
        <v>0</v>
      </c>
      <c r="AK134" s="112">
        <v>0</v>
      </c>
      <c r="AL134" s="112">
        <v>0</v>
      </c>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1"/>
      <c r="BP134" s="1"/>
    </row>
    <row r="135" spans="2:68" s="11" customFormat="1" ht="21.75" x14ac:dyDescent="0.3">
      <c r="B135" s="9"/>
      <c r="C135" s="113"/>
      <c r="D135" s="114"/>
      <c r="E135" s="98"/>
      <c r="F135" s="117"/>
      <c r="G135" s="99"/>
      <c r="H135" s="99"/>
      <c r="I135" s="99"/>
      <c r="J135" s="98"/>
      <c r="K135" s="100"/>
      <c r="L135" s="100"/>
      <c r="M135" s="100"/>
      <c r="N135" s="100"/>
      <c r="O135" s="100"/>
      <c r="P135" s="100"/>
      <c r="Q135" s="118"/>
      <c r="R135" s="98"/>
      <c r="S135" s="119"/>
      <c r="T135" s="28"/>
      <c r="U135" s="28"/>
      <c r="V135" s="28"/>
      <c r="W135" s="101"/>
      <c r="X135" s="29"/>
      <c r="Y135" s="1"/>
      <c r="Z135" s="1"/>
      <c r="AA135" s="71">
        <v>45917</v>
      </c>
      <c r="AB135" s="104">
        <v>45938</v>
      </c>
      <c r="AC135" s="40" t="s">
        <v>490</v>
      </c>
      <c r="AD135" s="105">
        <v>0</v>
      </c>
      <c r="AE135" s="105">
        <v>0</v>
      </c>
      <c r="AF135" s="105">
        <v>0</v>
      </c>
      <c r="AG135" s="105">
        <v>0</v>
      </c>
      <c r="AH135" s="105">
        <v>0</v>
      </c>
      <c r="AI135" s="106">
        <v>0</v>
      </c>
      <c r="AJ135" s="107">
        <v>0</v>
      </c>
      <c r="AK135" s="112">
        <v>0</v>
      </c>
      <c r="AL135" s="112">
        <v>0</v>
      </c>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1"/>
      <c r="BP135" s="1"/>
    </row>
    <row r="136" spans="2:68" s="11" customFormat="1" ht="21.75" x14ac:dyDescent="0.3">
      <c r="B136" s="9"/>
      <c r="C136" s="113"/>
      <c r="D136" s="114"/>
      <c r="E136" s="98"/>
      <c r="F136" s="117"/>
      <c r="G136" s="99"/>
      <c r="H136" s="99"/>
      <c r="I136" s="99"/>
      <c r="J136" s="98"/>
      <c r="K136" s="100"/>
      <c r="L136" s="100"/>
      <c r="M136" s="100"/>
      <c r="N136" s="100"/>
      <c r="O136" s="100"/>
      <c r="P136" s="100"/>
      <c r="Q136" s="118"/>
      <c r="R136" s="98"/>
      <c r="S136" s="119"/>
      <c r="T136" s="28"/>
      <c r="U136" s="28"/>
      <c r="V136" s="28"/>
      <c r="W136" s="101"/>
      <c r="X136" s="29"/>
      <c r="Y136" s="1"/>
      <c r="Z136" s="1"/>
      <c r="AA136" s="71">
        <v>45917</v>
      </c>
      <c r="AB136" s="104">
        <v>45938</v>
      </c>
      <c r="AC136" s="40" t="s">
        <v>489</v>
      </c>
      <c r="AD136" s="105">
        <v>0</v>
      </c>
      <c r="AE136" s="105">
        <v>0</v>
      </c>
      <c r="AF136" s="105">
        <v>0</v>
      </c>
      <c r="AG136" s="105">
        <v>0</v>
      </c>
      <c r="AH136" s="105">
        <v>0</v>
      </c>
      <c r="AI136" s="106">
        <v>0</v>
      </c>
      <c r="AJ136" s="107">
        <v>0</v>
      </c>
      <c r="AK136" s="112">
        <v>0</v>
      </c>
      <c r="AL136" s="112">
        <v>0</v>
      </c>
      <c r="AM136" s="45"/>
      <c r="AN136" s="45"/>
      <c r="AO136" s="45"/>
      <c r="AP136" s="45"/>
      <c r="AQ136" s="45"/>
      <c r="AR136" s="45"/>
      <c r="AS136" s="45"/>
      <c r="AT136" s="45"/>
      <c r="AU136" s="45"/>
      <c r="AV136" s="45"/>
      <c r="AW136" s="45"/>
      <c r="AX136" s="45"/>
      <c r="AY136" s="45"/>
      <c r="AZ136" s="45"/>
      <c r="BA136" s="45"/>
      <c r="BB136" s="45"/>
      <c r="BC136" s="45"/>
      <c r="BD136" s="45"/>
      <c r="BE136" s="45"/>
      <c r="BF136" s="45"/>
      <c r="BG136" s="45"/>
      <c r="BH136" s="45"/>
      <c r="BI136" s="45"/>
      <c r="BJ136" s="45"/>
      <c r="BK136" s="45"/>
      <c r="BL136" s="45"/>
      <c r="BM136" s="45"/>
      <c r="BN136" s="45"/>
      <c r="BO136" s="1"/>
      <c r="BP136" s="1"/>
    </row>
    <row r="137" spans="2:68" s="11" customFormat="1" ht="21.75" x14ac:dyDescent="0.3">
      <c r="B137" s="9"/>
      <c r="C137" s="113"/>
      <c r="D137" s="114"/>
      <c r="E137" s="98"/>
      <c r="F137" s="117"/>
      <c r="G137" s="99"/>
      <c r="H137" s="99"/>
      <c r="I137" s="99"/>
      <c r="J137" s="98"/>
      <c r="K137" s="100"/>
      <c r="L137" s="100"/>
      <c r="M137" s="100"/>
      <c r="N137" s="100"/>
      <c r="O137" s="100"/>
      <c r="P137" s="100"/>
      <c r="Q137" s="118"/>
      <c r="R137" s="98"/>
      <c r="S137" s="119"/>
      <c r="T137" s="28"/>
      <c r="U137" s="28"/>
      <c r="V137" s="28"/>
      <c r="W137" s="101"/>
      <c r="X137" s="29"/>
      <c r="Y137" s="1"/>
      <c r="Z137" s="1"/>
      <c r="AA137" s="71">
        <v>45917</v>
      </c>
      <c r="AB137" s="104">
        <v>45938</v>
      </c>
      <c r="AC137" s="40" t="s">
        <v>499</v>
      </c>
      <c r="AD137" s="105">
        <v>0</v>
      </c>
      <c r="AE137" s="105">
        <v>0</v>
      </c>
      <c r="AF137" s="105">
        <v>0</v>
      </c>
      <c r="AG137" s="105">
        <v>0</v>
      </c>
      <c r="AH137" s="105">
        <v>0</v>
      </c>
      <c r="AI137" s="106">
        <v>0</v>
      </c>
      <c r="AJ137" s="107">
        <v>0</v>
      </c>
      <c r="AK137" s="112">
        <v>0</v>
      </c>
      <c r="AL137" s="112">
        <v>0</v>
      </c>
      <c r="AM137" s="45"/>
      <c r="AN137" s="45"/>
      <c r="AO137" s="45"/>
      <c r="AP137" s="45"/>
      <c r="AQ137" s="45"/>
      <c r="AR137" s="45"/>
      <c r="AS137" s="45"/>
      <c r="AT137" s="45"/>
      <c r="AU137" s="45"/>
      <c r="AV137" s="45"/>
      <c r="AW137" s="45"/>
      <c r="AX137" s="45"/>
      <c r="AY137" s="45"/>
      <c r="AZ137" s="45"/>
      <c r="BA137" s="45"/>
      <c r="BB137" s="45"/>
      <c r="BC137" s="45"/>
      <c r="BD137" s="45"/>
      <c r="BE137" s="45"/>
      <c r="BF137" s="45"/>
      <c r="BG137" s="45"/>
      <c r="BH137" s="45"/>
      <c r="BI137" s="45"/>
      <c r="BJ137" s="45"/>
      <c r="BK137" s="45"/>
      <c r="BL137" s="45"/>
      <c r="BM137" s="45"/>
      <c r="BN137" s="45"/>
      <c r="BO137" s="1"/>
      <c r="BP137" s="1"/>
    </row>
    <row r="138" spans="2:68" s="11" customFormat="1" ht="21.75" x14ac:dyDescent="0.3">
      <c r="B138" s="9"/>
      <c r="C138" s="113"/>
      <c r="D138" s="114"/>
      <c r="E138" s="98"/>
      <c r="F138" s="117"/>
      <c r="G138" s="99"/>
      <c r="H138" s="99"/>
      <c r="I138" s="99"/>
      <c r="J138" s="98"/>
      <c r="K138" s="100"/>
      <c r="L138" s="100"/>
      <c r="M138" s="100"/>
      <c r="N138" s="100"/>
      <c r="O138" s="100"/>
      <c r="P138" s="100"/>
      <c r="Q138" s="118"/>
      <c r="R138" s="98"/>
      <c r="S138" s="119"/>
      <c r="T138" s="28"/>
      <c r="U138" s="28"/>
      <c r="V138" s="28"/>
      <c r="W138" s="101"/>
      <c r="X138" s="29"/>
      <c r="Y138" s="1"/>
      <c r="Z138" s="1"/>
      <c r="AA138" s="71">
        <v>45917</v>
      </c>
      <c r="AB138" s="104">
        <v>45938</v>
      </c>
      <c r="AC138" s="40" t="s">
        <v>499</v>
      </c>
      <c r="AD138" s="105">
        <v>0</v>
      </c>
      <c r="AE138" s="105">
        <v>0</v>
      </c>
      <c r="AF138" s="105">
        <v>0</v>
      </c>
      <c r="AG138" s="105">
        <v>0</v>
      </c>
      <c r="AH138" s="105">
        <v>0</v>
      </c>
      <c r="AI138" s="106">
        <v>0</v>
      </c>
      <c r="AJ138" s="107">
        <v>0</v>
      </c>
      <c r="AK138" s="112">
        <v>0</v>
      </c>
      <c r="AL138" s="112">
        <v>0</v>
      </c>
      <c r="AM138" s="45"/>
      <c r="AN138" s="45"/>
      <c r="AO138" s="45"/>
      <c r="AP138" s="45"/>
      <c r="AQ138" s="45"/>
      <c r="AR138" s="45"/>
      <c r="AS138" s="45"/>
      <c r="AT138" s="45"/>
      <c r="AU138" s="45"/>
      <c r="AV138" s="45"/>
      <c r="AW138" s="45"/>
      <c r="AX138" s="45"/>
      <c r="AY138" s="45"/>
      <c r="AZ138" s="45"/>
      <c r="BA138" s="45"/>
      <c r="BB138" s="45"/>
      <c r="BC138" s="45"/>
      <c r="BD138" s="45"/>
      <c r="BE138" s="45"/>
      <c r="BF138" s="45"/>
      <c r="BG138" s="45"/>
      <c r="BH138" s="45"/>
      <c r="BI138" s="45"/>
      <c r="BJ138" s="45"/>
      <c r="BK138" s="45"/>
      <c r="BL138" s="45"/>
      <c r="BM138" s="45"/>
      <c r="BN138" s="45"/>
      <c r="BO138" s="1"/>
      <c r="BP138" s="1"/>
    </row>
    <row r="139" spans="2:68" s="11" customFormat="1" ht="21.75" x14ac:dyDescent="0.3">
      <c r="B139" s="9"/>
      <c r="C139" s="113"/>
      <c r="D139" s="114"/>
      <c r="E139" s="98"/>
      <c r="F139" s="117"/>
      <c r="G139" s="99"/>
      <c r="H139" s="99"/>
      <c r="I139" s="99"/>
      <c r="J139" s="98"/>
      <c r="K139" s="100"/>
      <c r="L139" s="100"/>
      <c r="M139" s="100"/>
      <c r="N139" s="100"/>
      <c r="O139" s="100"/>
      <c r="P139" s="100"/>
      <c r="Q139" s="118"/>
      <c r="R139" s="98"/>
      <c r="S139" s="119"/>
      <c r="T139" s="28"/>
      <c r="U139" s="28"/>
      <c r="V139" s="28"/>
      <c r="W139" s="101"/>
      <c r="X139" s="29"/>
      <c r="Y139" s="1"/>
      <c r="Z139" s="1"/>
      <c r="AA139" s="71">
        <v>45922</v>
      </c>
      <c r="AB139" s="104">
        <v>45938</v>
      </c>
      <c r="AC139" s="40" t="s">
        <v>500</v>
      </c>
      <c r="AD139" s="105">
        <v>0</v>
      </c>
      <c r="AE139" s="105">
        <v>0</v>
      </c>
      <c r="AF139" s="105">
        <v>0</v>
      </c>
      <c r="AG139" s="105">
        <v>0</v>
      </c>
      <c r="AH139" s="105">
        <v>0</v>
      </c>
      <c r="AI139" s="106">
        <v>0</v>
      </c>
      <c r="AJ139" s="107">
        <v>0</v>
      </c>
      <c r="AK139" s="112">
        <v>0</v>
      </c>
      <c r="AL139" s="112">
        <v>0</v>
      </c>
      <c r="AM139" s="45"/>
      <c r="AN139" s="45"/>
      <c r="AO139" s="45"/>
      <c r="AP139" s="45"/>
      <c r="AQ139" s="45"/>
      <c r="AR139" s="45"/>
      <c r="AS139" s="45"/>
      <c r="AT139" s="45"/>
      <c r="AU139" s="45"/>
      <c r="AV139" s="45"/>
      <c r="AW139" s="45"/>
      <c r="AX139" s="45"/>
      <c r="AY139" s="45"/>
      <c r="AZ139" s="45"/>
      <c r="BA139" s="45"/>
      <c r="BB139" s="45"/>
      <c r="BC139" s="45"/>
      <c r="BD139" s="45"/>
      <c r="BE139" s="45"/>
      <c r="BF139" s="45"/>
      <c r="BG139" s="45"/>
      <c r="BH139" s="45"/>
      <c r="BI139" s="45"/>
      <c r="BJ139" s="45"/>
      <c r="BK139" s="45"/>
      <c r="BL139" s="45"/>
      <c r="BM139" s="45"/>
      <c r="BN139" s="45"/>
      <c r="BO139" s="1"/>
      <c r="BP139" s="1"/>
    </row>
    <row r="140" spans="2:68" s="11" customFormat="1" ht="21.75" x14ac:dyDescent="0.3">
      <c r="B140" s="9"/>
      <c r="C140" s="113"/>
      <c r="D140" s="114"/>
      <c r="E140" s="98"/>
      <c r="F140" s="117"/>
      <c r="G140" s="99"/>
      <c r="H140" s="99"/>
      <c r="I140" s="99"/>
      <c r="J140" s="98"/>
      <c r="K140" s="100"/>
      <c r="L140" s="100"/>
      <c r="M140" s="100"/>
      <c r="N140" s="100"/>
      <c r="O140" s="100"/>
      <c r="P140" s="100"/>
      <c r="Q140" s="118"/>
      <c r="R140" s="98"/>
      <c r="S140" s="119"/>
      <c r="T140" s="28"/>
      <c r="U140" s="28"/>
      <c r="V140" s="28"/>
      <c r="W140" s="101"/>
      <c r="X140" s="29"/>
      <c r="Y140" s="1"/>
      <c r="Z140" s="1"/>
      <c r="AA140" s="71">
        <v>45919</v>
      </c>
      <c r="AB140" s="104">
        <v>45944</v>
      </c>
      <c r="AC140" s="40" t="s">
        <v>515</v>
      </c>
      <c r="AD140" s="105">
        <v>0</v>
      </c>
      <c r="AE140" s="105">
        <v>0</v>
      </c>
      <c r="AF140" s="105">
        <v>0</v>
      </c>
      <c r="AG140" s="105">
        <v>0</v>
      </c>
      <c r="AH140" s="105">
        <v>0</v>
      </c>
      <c r="AI140" s="106">
        <v>0</v>
      </c>
      <c r="AJ140" s="107">
        <v>0</v>
      </c>
      <c r="AK140" s="112">
        <v>0</v>
      </c>
      <c r="AL140" s="112">
        <v>0</v>
      </c>
      <c r="AM140" s="45"/>
      <c r="AN140" s="45"/>
      <c r="AO140" s="45"/>
      <c r="AP140" s="45"/>
      <c r="AQ140" s="45"/>
      <c r="AR140" s="45"/>
      <c r="AS140" s="45"/>
      <c r="AT140" s="45"/>
      <c r="AU140" s="45"/>
      <c r="AV140" s="45"/>
      <c r="AW140" s="45"/>
      <c r="AX140" s="45"/>
      <c r="AY140" s="45"/>
      <c r="AZ140" s="45"/>
      <c r="BA140" s="45"/>
      <c r="BB140" s="45"/>
      <c r="BC140" s="45"/>
      <c r="BD140" s="45"/>
      <c r="BE140" s="45"/>
      <c r="BF140" s="45"/>
      <c r="BG140" s="45"/>
      <c r="BH140" s="45"/>
      <c r="BI140" s="45"/>
      <c r="BJ140" s="45"/>
      <c r="BK140" s="45"/>
      <c r="BL140" s="45"/>
      <c r="BM140" s="45"/>
      <c r="BN140" s="45"/>
      <c r="BO140" s="1"/>
      <c r="BP140" s="1"/>
    </row>
    <row r="141" spans="2:68" s="11" customFormat="1" ht="21.75" x14ac:dyDescent="0.3">
      <c r="B141" s="9"/>
      <c r="C141" s="113"/>
      <c r="D141" s="114"/>
      <c r="E141" s="98"/>
      <c r="F141" s="117"/>
      <c r="G141" s="99"/>
      <c r="H141" s="99"/>
      <c r="I141" s="99"/>
      <c r="J141" s="98"/>
      <c r="K141" s="100"/>
      <c r="L141" s="100"/>
      <c r="M141" s="100"/>
      <c r="N141" s="100"/>
      <c r="O141" s="100"/>
      <c r="P141" s="100"/>
      <c r="Q141" s="118"/>
      <c r="R141" s="98"/>
      <c r="S141" s="119"/>
      <c r="T141" s="28"/>
      <c r="U141" s="28"/>
      <c r="V141" s="28"/>
      <c r="W141" s="101"/>
      <c r="X141" s="29"/>
      <c r="Y141" s="1"/>
      <c r="Z141" s="1"/>
      <c r="AA141" s="71">
        <v>45919</v>
      </c>
      <c r="AB141" s="104">
        <v>45944</v>
      </c>
      <c r="AC141" s="40" t="s">
        <v>515</v>
      </c>
      <c r="AD141" s="105">
        <v>0</v>
      </c>
      <c r="AE141" s="105">
        <v>0</v>
      </c>
      <c r="AF141" s="105">
        <v>0</v>
      </c>
      <c r="AG141" s="105">
        <v>0</v>
      </c>
      <c r="AH141" s="105">
        <v>0</v>
      </c>
      <c r="AI141" s="106">
        <v>0</v>
      </c>
      <c r="AJ141" s="107">
        <v>0</v>
      </c>
      <c r="AK141" s="112">
        <v>0</v>
      </c>
      <c r="AL141" s="112">
        <v>0</v>
      </c>
      <c r="AM141" s="45"/>
      <c r="AN141" s="45"/>
      <c r="AO141" s="45"/>
      <c r="AP141" s="45"/>
      <c r="AQ141" s="45"/>
      <c r="AR141" s="45"/>
      <c r="AS141" s="45"/>
      <c r="AT141" s="45"/>
      <c r="AU141" s="45"/>
      <c r="AV141" s="45"/>
      <c r="AW141" s="45"/>
      <c r="AX141" s="45"/>
      <c r="AY141" s="45"/>
      <c r="AZ141" s="45"/>
      <c r="BA141" s="45"/>
      <c r="BB141" s="45"/>
      <c r="BC141" s="45"/>
      <c r="BD141" s="45"/>
      <c r="BE141" s="45"/>
      <c r="BF141" s="45"/>
      <c r="BG141" s="45"/>
      <c r="BH141" s="45"/>
      <c r="BI141" s="45"/>
      <c r="BJ141" s="45"/>
      <c r="BK141" s="45"/>
      <c r="BL141" s="45"/>
      <c r="BM141" s="45"/>
      <c r="BN141" s="45"/>
      <c r="BO141" s="1"/>
      <c r="BP141" s="1"/>
    </row>
    <row r="142" spans="2:68" s="11" customFormat="1" ht="21.75" x14ac:dyDescent="0.3">
      <c r="B142" s="9"/>
      <c r="C142" s="113"/>
      <c r="D142" s="114"/>
      <c r="E142" s="98"/>
      <c r="F142" s="117"/>
      <c r="G142" s="99"/>
      <c r="H142" s="99"/>
      <c r="I142" s="99"/>
      <c r="J142" s="98"/>
      <c r="K142" s="100"/>
      <c r="L142" s="100"/>
      <c r="M142" s="100"/>
      <c r="N142" s="100"/>
      <c r="O142" s="100"/>
      <c r="P142" s="100"/>
      <c r="Q142" s="118"/>
      <c r="R142" s="98"/>
      <c r="S142" s="119"/>
      <c r="T142" s="28"/>
      <c r="U142" s="28"/>
      <c r="V142" s="28"/>
      <c r="W142" s="101"/>
      <c r="X142" s="29"/>
      <c r="Y142" s="1"/>
      <c r="Z142" s="1"/>
      <c r="AA142" s="71">
        <v>45925</v>
      </c>
      <c r="AB142" s="104">
        <v>45946</v>
      </c>
      <c r="AC142" s="40" t="s">
        <v>517</v>
      </c>
      <c r="AD142" s="105">
        <v>0</v>
      </c>
      <c r="AE142" s="105">
        <v>0</v>
      </c>
      <c r="AF142" s="105">
        <v>0</v>
      </c>
      <c r="AG142" s="105">
        <v>0</v>
      </c>
      <c r="AH142" s="105">
        <v>0</v>
      </c>
      <c r="AI142" s="106">
        <v>0</v>
      </c>
      <c r="AJ142" s="107">
        <v>0</v>
      </c>
      <c r="AK142" s="112">
        <v>0</v>
      </c>
      <c r="AL142" s="112">
        <v>0</v>
      </c>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1"/>
      <c r="BP142" s="1"/>
    </row>
    <row r="143" spans="2:68" s="11" customFormat="1" ht="21.75" x14ac:dyDescent="0.3">
      <c r="B143" s="9"/>
      <c r="C143" s="113"/>
      <c r="D143" s="114"/>
      <c r="E143" s="98"/>
      <c r="F143" s="117"/>
      <c r="G143" s="99"/>
      <c r="H143" s="99"/>
      <c r="I143" s="99"/>
      <c r="J143" s="98"/>
      <c r="K143" s="100"/>
      <c r="L143" s="100"/>
      <c r="M143" s="100"/>
      <c r="N143" s="100"/>
      <c r="O143" s="100"/>
      <c r="P143" s="100"/>
      <c r="Q143" s="118"/>
      <c r="R143" s="98"/>
      <c r="S143" s="119"/>
      <c r="T143" s="28"/>
      <c r="U143" s="28"/>
      <c r="V143" s="28"/>
      <c r="W143" s="101"/>
      <c r="X143" s="29"/>
      <c r="Y143" s="1"/>
      <c r="Z143" s="1"/>
      <c r="AA143" s="71">
        <v>45925</v>
      </c>
      <c r="AB143" s="104">
        <v>45946</v>
      </c>
      <c r="AC143" s="40" t="s">
        <v>516</v>
      </c>
      <c r="AD143" s="105">
        <v>0</v>
      </c>
      <c r="AE143" s="105">
        <v>0</v>
      </c>
      <c r="AF143" s="105">
        <v>0</v>
      </c>
      <c r="AG143" s="105">
        <v>0</v>
      </c>
      <c r="AH143" s="105">
        <v>0</v>
      </c>
      <c r="AI143" s="106">
        <v>0</v>
      </c>
      <c r="AJ143" s="107">
        <v>0</v>
      </c>
      <c r="AK143" s="112">
        <v>0</v>
      </c>
      <c r="AL143" s="112">
        <v>0</v>
      </c>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1"/>
      <c r="BP143" s="1"/>
    </row>
    <row r="144" spans="2:68" s="11" customFormat="1" ht="21.75" x14ac:dyDescent="0.3">
      <c r="B144" s="9"/>
      <c r="C144" s="113"/>
      <c r="D144" s="114"/>
      <c r="E144" s="98"/>
      <c r="F144" s="117"/>
      <c r="G144" s="99"/>
      <c r="H144" s="99"/>
      <c r="I144" s="99"/>
      <c r="J144" s="98"/>
      <c r="K144" s="100"/>
      <c r="L144" s="100"/>
      <c r="M144" s="100"/>
      <c r="N144" s="100"/>
      <c r="O144" s="100"/>
      <c r="P144" s="100"/>
      <c r="Q144" s="118"/>
      <c r="R144" s="98"/>
      <c r="S144" s="119"/>
      <c r="T144" s="28"/>
      <c r="U144" s="28"/>
      <c r="V144" s="28"/>
      <c r="W144" s="101"/>
      <c r="X144" s="29"/>
      <c r="Y144" s="1"/>
      <c r="Z144" s="1"/>
      <c r="AA144" s="71">
        <v>45925</v>
      </c>
      <c r="AB144" s="104">
        <v>45946</v>
      </c>
      <c r="AC144" s="40" t="s">
        <v>522</v>
      </c>
      <c r="AD144" s="105">
        <v>0</v>
      </c>
      <c r="AE144" s="105">
        <v>0</v>
      </c>
      <c r="AF144" s="105">
        <v>0</v>
      </c>
      <c r="AG144" s="105">
        <v>0</v>
      </c>
      <c r="AH144" s="105">
        <v>0</v>
      </c>
      <c r="AI144" s="106">
        <v>0</v>
      </c>
      <c r="AJ144" s="107">
        <v>0</v>
      </c>
      <c r="AK144" s="112">
        <v>0</v>
      </c>
      <c r="AL144" s="112">
        <v>0</v>
      </c>
      <c r="AM144" s="45"/>
      <c r="AN144" s="45"/>
      <c r="AO144" s="45"/>
      <c r="AP144" s="45"/>
      <c r="AQ144" s="45"/>
      <c r="AR144" s="45"/>
      <c r="AS144" s="45"/>
      <c r="AT144" s="45"/>
      <c r="AU144" s="45"/>
      <c r="AV144" s="45"/>
      <c r="AW144" s="45"/>
      <c r="AX144" s="45"/>
      <c r="AY144" s="45"/>
      <c r="AZ144" s="45"/>
      <c r="BA144" s="45"/>
      <c r="BB144" s="45"/>
      <c r="BC144" s="45"/>
      <c r="BD144" s="45"/>
      <c r="BE144" s="45"/>
      <c r="BF144" s="45"/>
      <c r="BG144" s="45"/>
      <c r="BH144" s="45"/>
      <c r="BI144" s="45"/>
      <c r="BJ144" s="45"/>
      <c r="BK144" s="45"/>
      <c r="BL144" s="45"/>
      <c r="BM144" s="45"/>
      <c r="BN144" s="45"/>
      <c r="BO144" s="1"/>
      <c r="BP144" s="1"/>
    </row>
    <row r="145" spans="2:68" s="11" customFormat="1" ht="21.75" x14ac:dyDescent="0.3">
      <c r="B145" s="9"/>
      <c r="C145" s="113"/>
      <c r="D145" s="114"/>
      <c r="E145" s="98"/>
      <c r="F145" s="117"/>
      <c r="G145" s="99"/>
      <c r="H145" s="99"/>
      <c r="I145" s="99"/>
      <c r="J145" s="98"/>
      <c r="K145" s="100"/>
      <c r="L145" s="100"/>
      <c r="M145" s="100"/>
      <c r="N145" s="100"/>
      <c r="O145" s="100"/>
      <c r="P145" s="100"/>
      <c r="Q145" s="118"/>
      <c r="R145" s="98"/>
      <c r="S145" s="119"/>
      <c r="T145" s="28"/>
      <c r="U145" s="28"/>
      <c r="V145" s="28"/>
      <c r="W145" s="101"/>
      <c r="X145" s="29"/>
      <c r="Y145" s="1"/>
      <c r="Z145" s="1"/>
      <c r="AA145" s="71">
        <v>45925</v>
      </c>
      <c r="AB145" s="104">
        <v>45946</v>
      </c>
      <c r="AC145" s="40" t="s">
        <v>518</v>
      </c>
      <c r="AD145" s="105">
        <v>0</v>
      </c>
      <c r="AE145" s="105">
        <v>0</v>
      </c>
      <c r="AF145" s="105">
        <v>0</v>
      </c>
      <c r="AG145" s="105">
        <v>0</v>
      </c>
      <c r="AH145" s="105">
        <v>0</v>
      </c>
      <c r="AI145" s="106">
        <v>0</v>
      </c>
      <c r="AJ145" s="107">
        <v>0</v>
      </c>
      <c r="AK145" s="112">
        <v>0</v>
      </c>
      <c r="AL145" s="112">
        <v>0</v>
      </c>
      <c r="AM145" s="45"/>
      <c r="AN145" s="45"/>
      <c r="AO145" s="45"/>
      <c r="AP145" s="45"/>
      <c r="AQ145" s="45"/>
      <c r="AR145" s="45"/>
      <c r="AS145" s="45"/>
      <c r="AT145" s="45"/>
      <c r="AU145" s="45"/>
      <c r="AV145" s="45"/>
      <c r="AW145" s="45"/>
      <c r="AX145" s="45"/>
      <c r="AY145" s="45"/>
      <c r="AZ145" s="45"/>
      <c r="BA145" s="45"/>
      <c r="BB145" s="45"/>
      <c r="BC145" s="45"/>
      <c r="BD145" s="45"/>
      <c r="BE145" s="45"/>
      <c r="BF145" s="45"/>
      <c r="BG145" s="45"/>
      <c r="BH145" s="45"/>
      <c r="BI145" s="45"/>
      <c r="BJ145" s="45"/>
      <c r="BK145" s="45"/>
      <c r="BL145" s="45"/>
      <c r="BM145" s="45"/>
      <c r="BN145" s="45"/>
      <c r="BO145" s="1"/>
      <c r="BP145" s="1"/>
    </row>
    <row r="146" spans="2:68" s="11" customFormat="1" ht="21.75" x14ac:dyDescent="0.3">
      <c r="B146" s="9"/>
      <c r="C146" s="113"/>
      <c r="D146" s="114"/>
      <c r="E146" s="98"/>
      <c r="F146" s="117"/>
      <c r="G146" s="99"/>
      <c r="H146" s="99"/>
      <c r="I146" s="99"/>
      <c r="J146" s="98"/>
      <c r="K146" s="100"/>
      <c r="L146" s="100"/>
      <c r="M146" s="100"/>
      <c r="N146" s="100"/>
      <c r="O146" s="100"/>
      <c r="P146" s="100"/>
      <c r="Q146" s="118"/>
      <c r="R146" s="98"/>
      <c r="S146" s="119"/>
      <c r="T146" s="28"/>
      <c r="U146" s="28"/>
      <c r="V146" s="28"/>
      <c r="W146" s="101"/>
      <c r="X146" s="29"/>
      <c r="Y146" s="1"/>
      <c r="Z146" s="1"/>
      <c r="AA146" s="71">
        <v>45925</v>
      </c>
      <c r="AB146" s="104">
        <v>45946</v>
      </c>
      <c r="AC146" s="40" t="s">
        <v>520</v>
      </c>
      <c r="AD146" s="105">
        <v>0</v>
      </c>
      <c r="AE146" s="105">
        <v>0</v>
      </c>
      <c r="AF146" s="105">
        <v>0</v>
      </c>
      <c r="AG146" s="105">
        <v>0</v>
      </c>
      <c r="AH146" s="105">
        <v>0</v>
      </c>
      <c r="AI146" s="106">
        <v>0</v>
      </c>
      <c r="AJ146" s="107">
        <v>0</v>
      </c>
      <c r="AK146" s="112">
        <v>0</v>
      </c>
      <c r="AL146" s="112">
        <v>0</v>
      </c>
      <c r="AM146" s="45"/>
      <c r="AN146" s="45"/>
      <c r="AO146" s="45"/>
      <c r="AP146" s="45"/>
      <c r="AQ146" s="45"/>
      <c r="AR146" s="45"/>
      <c r="AS146" s="45"/>
      <c r="AT146" s="45"/>
      <c r="AU146" s="45"/>
      <c r="AV146" s="45"/>
      <c r="AW146" s="45"/>
      <c r="AX146" s="45"/>
      <c r="AY146" s="45"/>
      <c r="AZ146" s="45"/>
      <c r="BA146" s="45"/>
      <c r="BB146" s="45"/>
      <c r="BC146" s="45"/>
      <c r="BD146" s="45"/>
      <c r="BE146" s="45"/>
      <c r="BF146" s="45"/>
      <c r="BG146" s="45"/>
      <c r="BH146" s="45"/>
      <c r="BI146" s="45"/>
      <c r="BJ146" s="45"/>
      <c r="BK146" s="45"/>
      <c r="BL146" s="45"/>
      <c r="BM146" s="45"/>
      <c r="BN146" s="45"/>
      <c r="BO146" s="1"/>
      <c r="BP146" s="1"/>
    </row>
    <row r="147" spans="2:68" s="11" customFormat="1" ht="21.75" x14ac:dyDescent="0.3">
      <c r="B147" s="9"/>
      <c r="C147" s="113"/>
      <c r="D147" s="114"/>
      <c r="E147" s="98"/>
      <c r="F147" s="117"/>
      <c r="G147" s="99"/>
      <c r="H147" s="99"/>
      <c r="I147" s="99"/>
      <c r="J147" s="98"/>
      <c r="K147" s="100"/>
      <c r="L147" s="100"/>
      <c r="M147" s="100"/>
      <c r="N147" s="100"/>
      <c r="O147" s="100"/>
      <c r="P147" s="100"/>
      <c r="Q147" s="118"/>
      <c r="R147" s="98"/>
      <c r="S147" s="119"/>
      <c r="T147" s="28"/>
      <c r="U147" s="28"/>
      <c r="V147" s="28"/>
      <c r="W147" s="101"/>
      <c r="X147" s="29"/>
      <c r="Y147" s="1"/>
      <c r="Z147" s="1"/>
      <c r="AA147" s="71">
        <v>45925</v>
      </c>
      <c r="AB147" s="104">
        <v>45946</v>
      </c>
      <c r="AC147" s="40" t="s">
        <v>523</v>
      </c>
      <c r="AD147" s="105">
        <v>0</v>
      </c>
      <c r="AE147" s="105">
        <v>0</v>
      </c>
      <c r="AF147" s="105">
        <v>0</v>
      </c>
      <c r="AG147" s="105">
        <v>0</v>
      </c>
      <c r="AH147" s="105">
        <v>0</v>
      </c>
      <c r="AI147" s="106">
        <v>0</v>
      </c>
      <c r="AJ147" s="107">
        <v>0</v>
      </c>
      <c r="AK147" s="112">
        <v>0</v>
      </c>
      <c r="AL147" s="112">
        <v>0</v>
      </c>
      <c r="AM147" s="45"/>
      <c r="AN147" s="45"/>
      <c r="AO147" s="45"/>
      <c r="AP147" s="45"/>
      <c r="AQ147" s="45"/>
      <c r="AR147" s="45"/>
      <c r="AS147" s="45"/>
      <c r="AT147" s="45"/>
      <c r="AU147" s="45"/>
      <c r="AV147" s="45"/>
      <c r="AW147" s="45"/>
      <c r="AX147" s="45"/>
      <c r="AY147" s="45"/>
      <c r="AZ147" s="45"/>
      <c r="BA147" s="45"/>
      <c r="BB147" s="45"/>
      <c r="BC147" s="45"/>
      <c r="BD147" s="45"/>
      <c r="BE147" s="45"/>
      <c r="BF147" s="45"/>
      <c r="BG147" s="45"/>
      <c r="BH147" s="45"/>
      <c r="BI147" s="45"/>
      <c r="BJ147" s="45"/>
      <c r="BK147" s="45"/>
      <c r="BL147" s="45"/>
      <c r="BM147" s="45"/>
      <c r="BN147" s="45"/>
      <c r="BO147" s="1"/>
      <c r="BP147" s="1"/>
    </row>
    <row r="148" spans="2:68" s="11" customFormat="1" ht="21.75" x14ac:dyDescent="0.3">
      <c r="B148" s="9"/>
      <c r="C148" s="113"/>
      <c r="D148" s="114"/>
      <c r="E148" s="98"/>
      <c r="F148" s="117"/>
      <c r="G148" s="99"/>
      <c r="H148" s="99"/>
      <c r="I148" s="99"/>
      <c r="J148" s="98"/>
      <c r="K148" s="100"/>
      <c r="L148" s="100"/>
      <c r="M148" s="100"/>
      <c r="N148" s="100"/>
      <c r="O148" s="100"/>
      <c r="P148" s="100"/>
      <c r="Q148" s="118"/>
      <c r="R148" s="98"/>
      <c r="S148" s="119"/>
      <c r="T148" s="28"/>
      <c r="U148" s="28"/>
      <c r="V148" s="28"/>
      <c r="W148" s="101"/>
      <c r="X148" s="29"/>
      <c r="Y148" s="1"/>
      <c r="Z148" s="1"/>
      <c r="AA148" s="71">
        <v>45925</v>
      </c>
      <c r="AB148" s="104">
        <v>45946</v>
      </c>
      <c r="AC148" s="40" t="s">
        <v>519</v>
      </c>
      <c r="AD148" s="105">
        <v>0</v>
      </c>
      <c r="AE148" s="105">
        <v>0</v>
      </c>
      <c r="AF148" s="105">
        <v>0</v>
      </c>
      <c r="AG148" s="105">
        <v>0</v>
      </c>
      <c r="AH148" s="105">
        <v>0</v>
      </c>
      <c r="AI148" s="106">
        <v>0</v>
      </c>
      <c r="AJ148" s="107">
        <v>0</v>
      </c>
      <c r="AK148" s="112">
        <v>0</v>
      </c>
      <c r="AL148" s="112">
        <v>0</v>
      </c>
      <c r="AM148" s="45"/>
      <c r="AN148" s="45"/>
      <c r="AO148" s="45"/>
      <c r="AP148" s="45"/>
      <c r="AQ148" s="45"/>
      <c r="AR148" s="45"/>
      <c r="AS148" s="45"/>
      <c r="AT148" s="45"/>
      <c r="AU148" s="45"/>
      <c r="AV148" s="45"/>
      <c r="AW148" s="45"/>
      <c r="AX148" s="45"/>
      <c r="AY148" s="45"/>
      <c r="AZ148" s="45"/>
      <c r="BA148" s="45"/>
      <c r="BB148" s="45"/>
      <c r="BC148" s="45"/>
      <c r="BD148" s="45"/>
      <c r="BE148" s="45"/>
      <c r="BF148" s="45"/>
      <c r="BG148" s="45"/>
      <c r="BH148" s="45"/>
      <c r="BI148" s="45"/>
      <c r="BJ148" s="45"/>
      <c r="BK148" s="45"/>
      <c r="BL148" s="45"/>
      <c r="BM148" s="45"/>
      <c r="BN148" s="45"/>
      <c r="BO148" s="1"/>
      <c r="BP148" s="1"/>
    </row>
    <row r="149" spans="2:68" s="11" customFormat="1" ht="21.75" x14ac:dyDescent="0.3">
      <c r="B149" s="9"/>
      <c r="C149" s="113"/>
      <c r="D149" s="114"/>
      <c r="E149" s="98"/>
      <c r="F149" s="117"/>
      <c r="G149" s="99"/>
      <c r="H149" s="99"/>
      <c r="I149" s="99"/>
      <c r="J149" s="98"/>
      <c r="K149" s="100"/>
      <c r="L149" s="100"/>
      <c r="M149" s="100"/>
      <c r="N149" s="100"/>
      <c r="O149" s="100"/>
      <c r="P149" s="100"/>
      <c r="Q149" s="118"/>
      <c r="R149" s="98"/>
      <c r="S149" s="119"/>
      <c r="T149" s="28"/>
      <c r="U149" s="28"/>
      <c r="V149" s="28"/>
      <c r="W149" s="101"/>
      <c r="X149" s="29"/>
      <c r="Y149" s="1"/>
      <c r="Z149" s="1"/>
      <c r="AA149" s="71">
        <v>45925</v>
      </c>
      <c r="AB149" s="104">
        <v>45946</v>
      </c>
      <c r="AC149" s="40" t="s">
        <v>521</v>
      </c>
      <c r="AD149" s="105">
        <v>0</v>
      </c>
      <c r="AE149" s="105">
        <v>0</v>
      </c>
      <c r="AF149" s="105">
        <v>0</v>
      </c>
      <c r="AG149" s="105">
        <v>0</v>
      </c>
      <c r="AH149" s="105">
        <v>0</v>
      </c>
      <c r="AI149" s="106">
        <v>0</v>
      </c>
      <c r="AJ149" s="107">
        <v>0</v>
      </c>
      <c r="AK149" s="112">
        <v>0</v>
      </c>
      <c r="AL149" s="112">
        <v>0</v>
      </c>
      <c r="AM149" s="45"/>
      <c r="AN149" s="45"/>
      <c r="AO149" s="45"/>
      <c r="AP149" s="45"/>
      <c r="AQ149" s="45"/>
      <c r="AR149" s="45"/>
      <c r="AS149" s="45"/>
      <c r="AT149" s="45"/>
      <c r="AU149" s="45"/>
      <c r="AV149" s="45"/>
      <c r="AW149" s="45"/>
      <c r="AX149" s="45"/>
      <c r="AY149" s="45"/>
      <c r="AZ149" s="45"/>
      <c r="BA149" s="45"/>
      <c r="BB149" s="45"/>
      <c r="BC149" s="45"/>
      <c r="BD149" s="45"/>
      <c r="BE149" s="45"/>
      <c r="BF149" s="45"/>
      <c r="BG149" s="45"/>
      <c r="BH149" s="45"/>
      <c r="BI149" s="45"/>
      <c r="BJ149" s="45"/>
      <c r="BK149" s="45"/>
      <c r="BL149" s="45"/>
      <c r="BM149" s="45"/>
      <c r="BN149" s="45"/>
      <c r="BO149" s="1"/>
      <c r="BP149" s="1"/>
    </row>
    <row r="150" spans="2:68" s="11" customFormat="1" ht="21.75" x14ac:dyDescent="0.3">
      <c r="B150" s="9"/>
      <c r="C150" s="113"/>
      <c r="D150" s="114"/>
      <c r="E150" s="98"/>
      <c r="F150" s="117"/>
      <c r="G150" s="99"/>
      <c r="H150" s="99"/>
      <c r="I150" s="99"/>
      <c r="J150" s="98"/>
      <c r="K150" s="100"/>
      <c r="L150" s="100"/>
      <c r="M150" s="100"/>
      <c r="N150" s="100"/>
      <c r="O150" s="100"/>
      <c r="P150" s="100"/>
      <c r="Q150" s="118"/>
      <c r="R150" s="98"/>
      <c r="S150" s="119"/>
      <c r="T150" s="28"/>
      <c r="U150" s="28"/>
      <c r="V150" s="28"/>
      <c r="W150" s="101"/>
      <c r="X150" s="29"/>
      <c r="Y150" s="1"/>
      <c r="Z150" s="1"/>
      <c r="AA150" s="71">
        <v>45925</v>
      </c>
      <c r="AB150" s="104">
        <v>45946</v>
      </c>
      <c r="AC150" s="40" t="s">
        <v>519</v>
      </c>
      <c r="AD150" s="105">
        <v>0</v>
      </c>
      <c r="AE150" s="105">
        <v>0</v>
      </c>
      <c r="AF150" s="105">
        <v>0</v>
      </c>
      <c r="AG150" s="105">
        <v>0</v>
      </c>
      <c r="AH150" s="105">
        <v>0</v>
      </c>
      <c r="AI150" s="106">
        <v>0</v>
      </c>
      <c r="AJ150" s="107">
        <v>0</v>
      </c>
      <c r="AK150" s="112">
        <v>0</v>
      </c>
      <c r="AL150" s="112">
        <v>0</v>
      </c>
      <c r="AM150" s="45"/>
      <c r="AN150" s="45"/>
      <c r="AO150" s="45"/>
      <c r="AP150" s="45"/>
      <c r="AQ150" s="45"/>
      <c r="AR150" s="45"/>
      <c r="AS150" s="45"/>
      <c r="AT150" s="45"/>
      <c r="AU150" s="45"/>
      <c r="AV150" s="45"/>
      <c r="AW150" s="45"/>
      <c r="AX150" s="45"/>
      <c r="AY150" s="45"/>
      <c r="AZ150" s="45"/>
      <c r="BA150" s="45"/>
      <c r="BB150" s="45"/>
      <c r="BC150" s="45"/>
      <c r="BD150" s="45"/>
      <c r="BE150" s="45"/>
      <c r="BF150" s="45"/>
      <c r="BG150" s="45"/>
      <c r="BH150" s="45"/>
      <c r="BI150" s="45"/>
      <c r="BJ150" s="45"/>
      <c r="BK150" s="45"/>
      <c r="BL150" s="45"/>
      <c r="BM150" s="45"/>
      <c r="BN150" s="45"/>
      <c r="BO150" s="1"/>
      <c r="BP150" s="1"/>
    </row>
    <row r="151" spans="2:68" s="11" customFormat="1" ht="21.75" x14ac:dyDescent="0.3">
      <c r="B151" s="9"/>
      <c r="C151" s="113"/>
      <c r="D151" s="114"/>
      <c r="E151" s="98"/>
      <c r="F151" s="117"/>
      <c r="G151" s="99"/>
      <c r="H151" s="99"/>
      <c r="I151" s="99"/>
      <c r="J151" s="98"/>
      <c r="K151" s="100"/>
      <c r="L151" s="100"/>
      <c r="M151" s="100"/>
      <c r="N151" s="100"/>
      <c r="O151" s="100"/>
      <c r="P151" s="100"/>
      <c r="Q151" s="118"/>
      <c r="R151" s="98"/>
      <c r="S151" s="119"/>
      <c r="T151" s="28"/>
      <c r="U151" s="28"/>
      <c r="V151" s="28"/>
      <c r="W151" s="101"/>
      <c r="X151" s="29"/>
      <c r="Y151" s="1"/>
      <c r="Z151" s="1"/>
      <c r="AA151" s="71">
        <v>45937</v>
      </c>
      <c r="AB151" s="104">
        <v>45950</v>
      </c>
      <c r="AC151" s="40" t="s">
        <v>506</v>
      </c>
      <c r="AD151" s="105">
        <v>0</v>
      </c>
      <c r="AE151" s="105">
        <v>0</v>
      </c>
      <c r="AF151" s="105">
        <v>0</v>
      </c>
      <c r="AG151" s="105">
        <v>0</v>
      </c>
      <c r="AH151" s="105">
        <v>0</v>
      </c>
      <c r="AI151" s="106">
        <v>0</v>
      </c>
      <c r="AJ151" s="107">
        <v>0</v>
      </c>
      <c r="AK151" s="112">
        <v>0</v>
      </c>
      <c r="AL151" s="112">
        <v>0</v>
      </c>
      <c r="AM151" s="45"/>
      <c r="AN151" s="45"/>
      <c r="AO151" s="45"/>
      <c r="AP151" s="45"/>
      <c r="AQ151" s="45"/>
      <c r="AR151" s="45"/>
      <c r="AS151" s="45"/>
      <c r="AT151" s="45"/>
      <c r="AU151" s="45"/>
      <c r="AV151" s="45"/>
      <c r="AW151" s="45"/>
      <c r="AX151" s="45"/>
      <c r="AY151" s="45"/>
      <c r="AZ151" s="45"/>
      <c r="BA151" s="45"/>
      <c r="BB151" s="45"/>
      <c r="BC151" s="45"/>
      <c r="BD151" s="45"/>
      <c r="BE151" s="45"/>
      <c r="BF151" s="45"/>
      <c r="BG151" s="45"/>
      <c r="BH151" s="45"/>
      <c r="BI151" s="45"/>
      <c r="BJ151" s="45"/>
      <c r="BK151" s="45"/>
      <c r="BL151" s="45"/>
      <c r="BM151" s="45"/>
      <c r="BN151" s="45"/>
      <c r="BO151" s="1"/>
      <c r="BP151" s="1"/>
    </row>
    <row r="152" spans="2:68" s="11" customFormat="1" ht="21.75" x14ac:dyDescent="0.3">
      <c r="B152" s="9"/>
      <c r="C152" s="113"/>
      <c r="D152" s="114"/>
      <c r="E152" s="98"/>
      <c r="F152" s="117"/>
      <c r="G152" s="99"/>
      <c r="H152" s="99"/>
      <c r="I152" s="99"/>
      <c r="J152" s="98"/>
      <c r="K152" s="100"/>
      <c r="L152" s="100"/>
      <c r="M152" s="100"/>
      <c r="N152" s="100"/>
      <c r="O152" s="100"/>
      <c r="P152" s="100"/>
      <c r="Q152" s="118"/>
      <c r="R152" s="98"/>
      <c r="S152" s="119"/>
      <c r="T152" s="28"/>
      <c r="U152" s="28"/>
      <c r="V152" s="28"/>
      <c r="W152" s="101"/>
      <c r="X152" s="29"/>
      <c r="Y152" s="1"/>
      <c r="Z152" s="1"/>
      <c r="AA152" s="71">
        <v>45937</v>
      </c>
      <c r="AB152" s="104">
        <v>45950</v>
      </c>
      <c r="AC152" s="40" t="s">
        <v>505</v>
      </c>
      <c r="AD152" s="105">
        <v>0</v>
      </c>
      <c r="AE152" s="105">
        <v>0</v>
      </c>
      <c r="AF152" s="105">
        <v>0</v>
      </c>
      <c r="AG152" s="105">
        <v>0</v>
      </c>
      <c r="AH152" s="105">
        <v>0</v>
      </c>
      <c r="AI152" s="106">
        <v>0</v>
      </c>
      <c r="AJ152" s="107">
        <v>0</v>
      </c>
      <c r="AK152" s="112">
        <v>0</v>
      </c>
      <c r="AL152" s="112">
        <v>0</v>
      </c>
      <c r="AM152" s="45"/>
      <c r="AN152" s="45"/>
      <c r="AO152" s="45"/>
      <c r="AP152" s="45"/>
      <c r="AQ152" s="45"/>
      <c r="AR152" s="45"/>
      <c r="AS152" s="45"/>
      <c r="AT152" s="45"/>
      <c r="AU152" s="45"/>
      <c r="AV152" s="45"/>
      <c r="AW152" s="45"/>
      <c r="AX152" s="45"/>
      <c r="AY152" s="45"/>
      <c r="AZ152" s="45"/>
      <c r="BA152" s="45"/>
      <c r="BB152" s="45"/>
      <c r="BC152" s="45"/>
      <c r="BD152" s="45"/>
      <c r="BE152" s="45"/>
      <c r="BF152" s="45"/>
      <c r="BG152" s="45"/>
      <c r="BH152" s="45"/>
      <c r="BI152" s="45"/>
      <c r="BJ152" s="45"/>
      <c r="BK152" s="45"/>
      <c r="BL152" s="45"/>
      <c r="BM152" s="45"/>
      <c r="BN152" s="45"/>
      <c r="BO152" s="1"/>
      <c r="BP152" s="1"/>
    </row>
    <row r="153" spans="2:68" s="11" customFormat="1" ht="21.75" x14ac:dyDescent="0.3">
      <c r="B153" s="9"/>
      <c r="C153" s="113"/>
      <c r="D153" s="114"/>
      <c r="E153" s="98"/>
      <c r="F153" s="117"/>
      <c r="G153" s="99"/>
      <c r="H153" s="99"/>
      <c r="I153" s="99"/>
      <c r="J153" s="98"/>
      <c r="K153" s="100"/>
      <c r="L153" s="100"/>
      <c r="M153" s="100"/>
      <c r="N153" s="100"/>
      <c r="O153" s="100"/>
      <c r="P153" s="100"/>
      <c r="Q153" s="118"/>
      <c r="R153" s="98"/>
      <c r="S153" s="119"/>
      <c r="T153" s="28"/>
      <c r="U153" s="28"/>
      <c r="V153" s="28"/>
      <c r="W153" s="101"/>
      <c r="X153" s="29"/>
      <c r="Y153" s="1"/>
      <c r="Z153" s="1"/>
      <c r="AA153" s="71">
        <v>45937</v>
      </c>
      <c r="AB153" s="104">
        <v>45950</v>
      </c>
      <c r="AC153" s="40" t="s">
        <v>507</v>
      </c>
      <c r="AD153" s="105">
        <v>0</v>
      </c>
      <c r="AE153" s="105">
        <v>0</v>
      </c>
      <c r="AF153" s="105">
        <v>0</v>
      </c>
      <c r="AG153" s="105">
        <v>0</v>
      </c>
      <c r="AH153" s="105">
        <v>0</v>
      </c>
      <c r="AI153" s="106">
        <v>0</v>
      </c>
      <c r="AJ153" s="107">
        <v>0</v>
      </c>
      <c r="AK153" s="112">
        <v>0</v>
      </c>
      <c r="AL153" s="112">
        <v>0</v>
      </c>
      <c r="AM153" s="45"/>
      <c r="AN153" s="45"/>
      <c r="AO153" s="45"/>
      <c r="AP153" s="45"/>
      <c r="AQ153" s="45"/>
      <c r="AR153" s="45"/>
      <c r="AS153" s="45"/>
      <c r="AT153" s="45"/>
      <c r="AU153" s="45"/>
      <c r="AV153" s="45"/>
      <c r="AW153" s="45"/>
      <c r="AX153" s="45"/>
      <c r="AY153" s="45"/>
      <c r="AZ153" s="45"/>
      <c r="BA153" s="45"/>
      <c r="BB153" s="45"/>
      <c r="BC153" s="45"/>
      <c r="BD153" s="45"/>
      <c r="BE153" s="45"/>
      <c r="BF153" s="45"/>
      <c r="BG153" s="45"/>
      <c r="BH153" s="45"/>
      <c r="BI153" s="45"/>
      <c r="BJ153" s="45"/>
      <c r="BK153" s="45"/>
      <c r="BL153" s="45"/>
      <c r="BM153" s="45"/>
      <c r="BN153" s="45"/>
      <c r="BO153" s="1"/>
      <c r="BP153" s="1"/>
    </row>
    <row r="154" spans="2:68" s="11" customFormat="1" ht="21.75" x14ac:dyDescent="0.3">
      <c r="B154" s="9"/>
      <c r="C154" s="113"/>
      <c r="D154" s="114"/>
      <c r="E154" s="98"/>
      <c r="F154" s="117"/>
      <c r="G154" s="99"/>
      <c r="H154" s="99"/>
      <c r="I154" s="99"/>
      <c r="J154" s="98"/>
      <c r="K154" s="100"/>
      <c r="L154" s="100"/>
      <c r="M154" s="100"/>
      <c r="N154" s="100"/>
      <c r="O154" s="100"/>
      <c r="P154" s="100"/>
      <c r="Q154" s="118"/>
      <c r="R154" s="98"/>
      <c r="S154" s="119"/>
      <c r="T154" s="28"/>
      <c r="U154" s="28"/>
      <c r="V154" s="28"/>
      <c r="W154" s="101"/>
      <c r="X154" s="29"/>
      <c r="Y154" s="1"/>
      <c r="Z154" s="1"/>
      <c r="AA154" s="71">
        <v>45937</v>
      </c>
      <c r="AB154" s="104">
        <v>45950</v>
      </c>
      <c r="AC154" s="40" t="s">
        <v>508</v>
      </c>
      <c r="AD154" s="105">
        <v>0</v>
      </c>
      <c r="AE154" s="105">
        <v>0</v>
      </c>
      <c r="AF154" s="105">
        <v>0</v>
      </c>
      <c r="AG154" s="105">
        <v>0</v>
      </c>
      <c r="AH154" s="105">
        <v>0</v>
      </c>
      <c r="AI154" s="40" t="s">
        <v>645</v>
      </c>
      <c r="AJ154" s="107">
        <v>161635</v>
      </c>
      <c r="AK154" s="112">
        <v>0</v>
      </c>
      <c r="AL154" s="112">
        <v>0</v>
      </c>
      <c r="AM154" s="45"/>
      <c r="AN154" s="45"/>
      <c r="AO154" s="45"/>
      <c r="AP154" s="45"/>
      <c r="AQ154" s="45"/>
      <c r="AR154" s="45"/>
      <c r="AS154" s="45"/>
      <c r="AT154" s="45"/>
      <c r="AU154" s="45"/>
      <c r="AV154" s="45"/>
      <c r="AW154" s="45"/>
      <c r="AX154" s="45"/>
      <c r="AY154" s="45"/>
      <c r="AZ154" s="45"/>
      <c r="BA154" s="45"/>
      <c r="BB154" s="45"/>
      <c r="BC154" s="45"/>
      <c r="BD154" s="45"/>
      <c r="BE154" s="45"/>
      <c r="BF154" s="45"/>
      <c r="BG154" s="45"/>
      <c r="BH154" s="45"/>
      <c r="BI154" s="45"/>
      <c r="BJ154" s="45"/>
      <c r="BK154" s="45"/>
      <c r="BL154" s="45"/>
      <c r="BM154" s="45"/>
      <c r="BN154" s="45"/>
      <c r="BO154" s="1"/>
      <c r="BP154" s="1"/>
    </row>
    <row r="155" spans="2:68" s="11" customFormat="1" ht="21.75" x14ac:dyDescent="0.3">
      <c r="B155" s="9"/>
      <c r="C155" s="113"/>
      <c r="D155" s="114"/>
      <c r="E155" s="98"/>
      <c r="F155" s="117"/>
      <c r="G155" s="99"/>
      <c r="H155" s="99"/>
      <c r="I155" s="99"/>
      <c r="J155" s="98"/>
      <c r="K155" s="100"/>
      <c r="L155" s="100"/>
      <c r="M155" s="100"/>
      <c r="N155" s="100"/>
      <c r="O155" s="100"/>
      <c r="P155" s="100"/>
      <c r="Q155" s="118"/>
      <c r="R155" s="98"/>
      <c r="S155" s="119"/>
      <c r="T155" s="28"/>
      <c r="U155" s="28"/>
      <c r="V155" s="28"/>
      <c r="W155" s="101"/>
      <c r="X155" s="29"/>
      <c r="Y155" s="1"/>
      <c r="Z155" s="1"/>
      <c r="AA155" s="71">
        <v>45937</v>
      </c>
      <c r="AB155" s="104">
        <v>45950</v>
      </c>
      <c r="AC155" s="40" t="s">
        <v>509</v>
      </c>
      <c r="AD155" s="105">
        <v>0</v>
      </c>
      <c r="AE155" s="105">
        <v>0</v>
      </c>
      <c r="AF155" s="105">
        <v>0</v>
      </c>
      <c r="AG155" s="105">
        <v>0</v>
      </c>
      <c r="AH155" s="105">
        <v>0</v>
      </c>
      <c r="AI155" s="40" t="s">
        <v>646</v>
      </c>
      <c r="AJ155" s="107">
        <v>42800</v>
      </c>
      <c r="AK155" s="112">
        <v>0</v>
      </c>
      <c r="AL155" s="112">
        <v>0</v>
      </c>
      <c r="AM155" s="45"/>
      <c r="AN155" s="45"/>
      <c r="AO155" s="45"/>
      <c r="AP155" s="45"/>
      <c r="AQ155" s="45"/>
      <c r="AR155" s="45"/>
      <c r="AS155" s="45"/>
      <c r="AT155" s="45"/>
      <c r="AU155" s="45"/>
      <c r="AV155" s="45"/>
      <c r="AW155" s="45"/>
      <c r="AX155" s="45"/>
      <c r="AY155" s="45"/>
      <c r="AZ155" s="45"/>
      <c r="BA155" s="45"/>
      <c r="BB155" s="45"/>
      <c r="BC155" s="45"/>
      <c r="BD155" s="45"/>
      <c r="BE155" s="45"/>
      <c r="BF155" s="45"/>
      <c r="BG155" s="45"/>
      <c r="BH155" s="45"/>
      <c r="BI155" s="45"/>
      <c r="BJ155" s="45"/>
      <c r="BK155" s="45"/>
      <c r="BL155" s="45"/>
      <c r="BM155" s="45"/>
      <c r="BN155" s="45"/>
      <c r="BO155" s="1"/>
      <c r="BP155" s="1"/>
    </row>
    <row r="156" spans="2:68" s="11" customFormat="1" ht="21.75" x14ac:dyDescent="0.3">
      <c r="B156" s="9"/>
      <c r="C156" s="113"/>
      <c r="D156" s="114"/>
      <c r="E156" s="98"/>
      <c r="F156" s="117"/>
      <c r="G156" s="99"/>
      <c r="H156" s="99"/>
      <c r="I156" s="99"/>
      <c r="J156" s="98"/>
      <c r="K156" s="100"/>
      <c r="L156" s="100"/>
      <c r="M156" s="100"/>
      <c r="N156" s="100"/>
      <c r="O156" s="100"/>
      <c r="P156" s="100"/>
      <c r="Q156" s="118"/>
      <c r="R156" s="98"/>
      <c r="S156" s="119"/>
      <c r="T156" s="28"/>
      <c r="U156" s="28"/>
      <c r="V156" s="28"/>
      <c r="W156" s="101"/>
      <c r="X156" s="29"/>
      <c r="Y156" s="1"/>
      <c r="Z156" s="1"/>
      <c r="AA156" s="71">
        <v>45937</v>
      </c>
      <c r="AB156" s="104">
        <v>45950</v>
      </c>
      <c r="AC156" s="40" t="s">
        <v>510</v>
      </c>
      <c r="AD156" s="105">
        <v>0</v>
      </c>
      <c r="AE156" s="105">
        <v>0</v>
      </c>
      <c r="AF156" s="105">
        <v>0</v>
      </c>
      <c r="AG156" s="105">
        <v>0</v>
      </c>
      <c r="AH156" s="105">
        <v>0</v>
      </c>
      <c r="AI156" s="106">
        <v>0</v>
      </c>
      <c r="AJ156" s="107">
        <v>0</v>
      </c>
      <c r="AK156" s="112">
        <v>0</v>
      </c>
      <c r="AL156" s="112">
        <v>0</v>
      </c>
      <c r="AM156" s="45"/>
      <c r="AN156" s="45"/>
      <c r="AO156" s="45"/>
      <c r="AP156" s="45"/>
      <c r="AQ156" s="45"/>
      <c r="AR156" s="45"/>
      <c r="AS156" s="45"/>
      <c r="AT156" s="45"/>
      <c r="AU156" s="45"/>
      <c r="AV156" s="45"/>
      <c r="AW156" s="45"/>
      <c r="AX156" s="45"/>
      <c r="AY156" s="45"/>
      <c r="AZ156" s="45"/>
      <c r="BA156" s="45"/>
      <c r="BB156" s="45"/>
      <c r="BC156" s="45"/>
      <c r="BD156" s="45"/>
      <c r="BE156" s="45"/>
      <c r="BF156" s="45"/>
      <c r="BG156" s="45"/>
      <c r="BH156" s="45"/>
      <c r="BI156" s="45"/>
      <c r="BJ156" s="45"/>
      <c r="BK156" s="45"/>
      <c r="BL156" s="45"/>
      <c r="BM156" s="45"/>
      <c r="BN156" s="45"/>
      <c r="BO156" s="1"/>
      <c r="BP156" s="1"/>
    </row>
    <row r="157" spans="2:68" s="11" customFormat="1" ht="21.75" x14ac:dyDescent="0.3">
      <c r="B157" s="9"/>
      <c r="C157" s="113"/>
      <c r="D157" s="114"/>
      <c r="E157" s="98"/>
      <c r="F157" s="117"/>
      <c r="G157" s="99"/>
      <c r="H157" s="99"/>
      <c r="I157" s="99"/>
      <c r="J157" s="98"/>
      <c r="K157" s="100"/>
      <c r="L157" s="100"/>
      <c r="M157" s="100"/>
      <c r="N157" s="100"/>
      <c r="O157" s="100"/>
      <c r="P157" s="100"/>
      <c r="Q157" s="118"/>
      <c r="R157" s="98"/>
      <c r="S157" s="119"/>
      <c r="T157" s="28"/>
      <c r="U157" s="28"/>
      <c r="V157" s="28"/>
      <c r="W157" s="101"/>
      <c r="X157" s="29"/>
      <c r="Y157" s="1"/>
      <c r="Z157" s="1"/>
      <c r="AA157" s="71">
        <v>45937</v>
      </c>
      <c r="AB157" s="104">
        <v>45950</v>
      </c>
      <c r="AC157" s="40" t="s">
        <v>512</v>
      </c>
      <c r="AD157" s="105">
        <v>0</v>
      </c>
      <c r="AE157" s="105">
        <v>0</v>
      </c>
      <c r="AF157" s="105">
        <v>0</v>
      </c>
      <c r="AG157" s="105">
        <v>0</v>
      </c>
      <c r="AH157" s="105">
        <v>0</v>
      </c>
      <c r="AI157" s="40" t="s">
        <v>647</v>
      </c>
      <c r="AJ157" s="107">
        <v>108024</v>
      </c>
      <c r="AK157" s="112">
        <v>0</v>
      </c>
      <c r="AL157" s="112">
        <v>0</v>
      </c>
      <c r="AM157" s="45"/>
      <c r="AN157" s="45"/>
      <c r="AO157" s="45"/>
      <c r="AP157" s="45"/>
      <c r="AQ157" s="45"/>
      <c r="AR157" s="45"/>
      <c r="AS157" s="45"/>
      <c r="AT157" s="45"/>
      <c r="AU157" s="45"/>
      <c r="AV157" s="45"/>
      <c r="AW157" s="45"/>
      <c r="AX157" s="45"/>
      <c r="AY157" s="45"/>
      <c r="AZ157" s="45"/>
      <c r="BA157" s="45"/>
      <c r="BB157" s="45"/>
      <c r="BC157" s="45"/>
      <c r="BD157" s="45"/>
      <c r="BE157" s="45"/>
      <c r="BF157" s="45"/>
      <c r="BG157" s="45"/>
      <c r="BH157" s="45"/>
      <c r="BI157" s="45"/>
      <c r="BJ157" s="45"/>
      <c r="BK157" s="45"/>
      <c r="BL157" s="45"/>
      <c r="BM157" s="45"/>
      <c r="BN157" s="45"/>
      <c r="BO157" s="1"/>
      <c r="BP157" s="1"/>
    </row>
    <row r="158" spans="2:68" s="11" customFormat="1" ht="21.75" x14ac:dyDescent="0.3">
      <c r="B158" s="9"/>
      <c r="C158" s="113"/>
      <c r="D158" s="114"/>
      <c r="E158" s="98"/>
      <c r="F158" s="117"/>
      <c r="G158" s="99"/>
      <c r="H158" s="99"/>
      <c r="I158" s="99"/>
      <c r="J158" s="98"/>
      <c r="K158" s="100"/>
      <c r="L158" s="100"/>
      <c r="M158" s="100"/>
      <c r="N158" s="100"/>
      <c r="O158" s="100"/>
      <c r="P158" s="100"/>
      <c r="Q158" s="118"/>
      <c r="R158" s="98"/>
      <c r="S158" s="119"/>
      <c r="T158" s="28"/>
      <c r="U158" s="28"/>
      <c r="V158" s="28"/>
      <c r="W158" s="101"/>
      <c r="X158" s="29"/>
      <c r="Y158" s="1"/>
      <c r="Z158" s="1"/>
      <c r="AA158" s="71">
        <v>45937</v>
      </c>
      <c r="AB158" s="104">
        <v>45950</v>
      </c>
      <c r="AC158" s="40" t="s">
        <v>511</v>
      </c>
      <c r="AD158" s="105">
        <v>0</v>
      </c>
      <c r="AE158" s="105">
        <v>0</v>
      </c>
      <c r="AF158" s="105">
        <v>0</v>
      </c>
      <c r="AG158" s="105">
        <v>0</v>
      </c>
      <c r="AH158" s="105">
        <v>0</v>
      </c>
      <c r="AI158" s="40" t="s">
        <v>647</v>
      </c>
      <c r="AJ158" s="107">
        <v>108024</v>
      </c>
      <c r="AK158" s="112">
        <v>0</v>
      </c>
      <c r="AL158" s="112">
        <v>0</v>
      </c>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1"/>
      <c r="BP158" s="1"/>
    </row>
    <row r="159" spans="2:68" s="11" customFormat="1" ht="21.75" x14ac:dyDescent="0.3">
      <c r="B159" s="9"/>
      <c r="C159" s="113"/>
      <c r="D159" s="114"/>
      <c r="E159" s="98"/>
      <c r="F159" s="117"/>
      <c r="G159" s="99"/>
      <c r="H159" s="99"/>
      <c r="I159" s="99"/>
      <c r="J159" s="98"/>
      <c r="K159" s="100"/>
      <c r="L159" s="100"/>
      <c r="M159" s="100"/>
      <c r="N159" s="100"/>
      <c r="O159" s="100"/>
      <c r="P159" s="100"/>
      <c r="Q159" s="118"/>
      <c r="R159" s="98"/>
      <c r="S159" s="119"/>
      <c r="T159" s="28"/>
      <c r="U159" s="28"/>
      <c r="V159" s="28"/>
      <c r="W159" s="101"/>
      <c r="X159" s="29"/>
      <c r="Y159" s="1"/>
      <c r="Z159" s="1"/>
      <c r="AA159" s="71">
        <v>45937</v>
      </c>
      <c r="AB159" s="104">
        <v>45950</v>
      </c>
      <c r="AC159" s="40" t="s">
        <v>525</v>
      </c>
      <c r="AD159" s="105">
        <v>0</v>
      </c>
      <c r="AE159" s="105">
        <v>0</v>
      </c>
      <c r="AF159" s="105">
        <v>0</v>
      </c>
      <c r="AG159" s="105">
        <v>0</v>
      </c>
      <c r="AH159" s="105">
        <v>0</v>
      </c>
      <c r="AI159" s="106">
        <v>0</v>
      </c>
      <c r="AJ159" s="107">
        <v>0</v>
      </c>
      <c r="AK159" s="112">
        <v>0</v>
      </c>
      <c r="AL159" s="112">
        <v>0</v>
      </c>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1"/>
      <c r="BP159" s="1"/>
    </row>
    <row r="160" spans="2:68" s="11" customFormat="1" ht="21.75" x14ac:dyDescent="0.3">
      <c r="B160" s="9"/>
      <c r="C160" s="113"/>
      <c r="D160" s="114"/>
      <c r="E160" s="98"/>
      <c r="F160" s="117"/>
      <c r="G160" s="99"/>
      <c r="H160" s="99"/>
      <c r="I160" s="99"/>
      <c r="J160" s="98"/>
      <c r="K160" s="100"/>
      <c r="L160" s="100"/>
      <c r="M160" s="100"/>
      <c r="N160" s="100"/>
      <c r="O160" s="100"/>
      <c r="P160" s="100"/>
      <c r="Q160" s="118"/>
      <c r="R160" s="98"/>
      <c r="S160" s="119"/>
      <c r="T160" s="28"/>
      <c r="U160" s="28"/>
      <c r="V160" s="28"/>
      <c r="W160" s="101"/>
      <c r="X160" s="29"/>
      <c r="Y160" s="1"/>
      <c r="Z160" s="1"/>
      <c r="AA160" s="71">
        <v>45937</v>
      </c>
      <c r="AB160" s="104">
        <v>45950</v>
      </c>
      <c r="AC160" s="40" t="s">
        <v>524</v>
      </c>
      <c r="AD160" s="105">
        <v>0</v>
      </c>
      <c r="AE160" s="105">
        <v>0</v>
      </c>
      <c r="AF160" s="105">
        <v>0</v>
      </c>
      <c r="AG160" s="105">
        <v>0</v>
      </c>
      <c r="AH160" s="105">
        <v>0</v>
      </c>
      <c r="AI160" s="106">
        <v>0</v>
      </c>
      <c r="AJ160" s="107">
        <v>0</v>
      </c>
      <c r="AK160" s="112">
        <v>0</v>
      </c>
      <c r="AL160" s="112">
        <v>0</v>
      </c>
      <c r="AM160" s="45"/>
      <c r="AN160" s="45"/>
      <c r="AO160" s="45"/>
      <c r="AP160" s="45"/>
      <c r="AQ160" s="45"/>
      <c r="AR160" s="45"/>
      <c r="AS160" s="45"/>
      <c r="AT160" s="45"/>
      <c r="AU160" s="45"/>
      <c r="AV160" s="45"/>
      <c r="AW160" s="45"/>
      <c r="AX160" s="45"/>
      <c r="AY160" s="45"/>
      <c r="AZ160" s="45"/>
      <c r="BA160" s="45"/>
      <c r="BB160" s="45"/>
      <c r="BC160" s="45"/>
      <c r="BD160" s="45"/>
      <c r="BE160" s="45"/>
      <c r="BF160" s="45"/>
      <c r="BG160" s="45"/>
      <c r="BH160" s="45"/>
      <c r="BI160" s="45"/>
      <c r="BJ160" s="45"/>
      <c r="BK160" s="45"/>
      <c r="BL160" s="45"/>
      <c r="BM160" s="45"/>
      <c r="BN160" s="45"/>
      <c r="BO160" s="1"/>
      <c r="BP160" s="1"/>
    </row>
    <row r="161" spans="2:68" s="11" customFormat="1" ht="21.75" x14ac:dyDescent="0.3">
      <c r="B161" s="9"/>
      <c r="C161" s="113"/>
      <c r="D161" s="114"/>
      <c r="E161" s="98"/>
      <c r="F161" s="117"/>
      <c r="G161" s="99"/>
      <c r="H161" s="99"/>
      <c r="I161" s="99"/>
      <c r="J161" s="98"/>
      <c r="K161" s="100"/>
      <c r="L161" s="100"/>
      <c r="M161" s="100"/>
      <c r="N161" s="100"/>
      <c r="O161" s="100"/>
      <c r="P161" s="100"/>
      <c r="Q161" s="118"/>
      <c r="R161" s="98"/>
      <c r="S161" s="119"/>
      <c r="T161" s="28"/>
      <c r="U161" s="28"/>
      <c r="V161" s="28"/>
      <c r="W161" s="101"/>
      <c r="X161" s="29"/>
      <c r="Y161" s="1"/>
      <c r="Z161" s="1"/>
      <c r="AA161" s="71">
        <v>45937</v>
      </c>
      <c r="AB161" s="104">
        <v>45953</v>
      </c>
      <c r="AC161" s="40" t="s">
        <v>629</v>
      </c>
      <c r="AD161" s="105">
        <v>0</v>
      </c>
      <c r="AE161" s="105">
        <v>0</v>
      </c>
      <c r="AF161" s="105">
        <v>0</v>
      </c>
      <c r="AG161" s="105">
        <v>0</v>
      </c>
      <c r="AH161" s="105">
        <v>0</v>
      </c>
      <c r="AI161" s="40" t="s">
        <v>648</v>
      </c>
      <c r="AJ161" s="107">
        <v>1594320</v>
      </c>
      <c r="AK161" s="112">
        <v>0</v>
      </c>
      <c r="AL161" s="112">
        <v>0</v>
      </c>
      <c r="AM161" s="45"/>
      <c r="AN161" s="45"/>
      <c r="AO161" s="45"/>
      <c r="AP161" s="45"/>
      <c r="AQ161" s="45"/>
      <c r="AR161" s="45"/>
      <c r="AS161" s="45"/>
      <c r="AT161" s="45"/>
      <c r="AU161" s="45"/>
      <c r="AV161" s="45"/>
      <c r="AW161" s="45"/>
      <c r="AX161" s="45"/>
      <c r="AY161" s="45"/>
      <c r="AZ161" s="45"/>
      <c r="BA161" s="45"/>
      <c r="BB161" s="45"/>
      <c r="BC161" s="45"/>
      <c r="BD161" s="45"/>
      <c r="BE161" s="45"/>
      <c r="BF161" s="45"/>
      <c r="BG161" s="45"/>
      <c r="BH161" s="45"/>
      <c r="BI161" s="45"/>
      <c r="BJ161" s="45"/>
      <c r="BK161" s="45"/>
      <c r="BL161" s="45"/>
      <c r="BM161" s="45"/>
      <c r="BN161" s="45"/>
      <c r="BO161" s="1"/>
      <c r="BP161" s="1"/>
    </row>
    <row r="162" spans="2:68" s="11" customFormat="1" ht="21.75" x14ac:dyDescent="0.3">
      <c r="B162" s="9"/>
      <c r="C162" s="113"/>
      <c r="D162" s="114"/>
      <c r="E162" s="109"/>
      <c r="F162" s="117"/>
      <c r="G162" s="99"/>
      <c r="H162" s="99"/>
      <c r="I162" s="99"/>
      <c r="J162" s="98"/>
      <c r="K162" s="100"/>
      <c r="L162" s="100"/>
      <c r="M162" s="100"/>
      <c r="N162" s="110"/>
      <c r="O162" s="110"/>
      <c r="P162" s="100"/>
      <c r="Q162" s="118"/>
      <c r="R162" s="98"/>
      <c r="S162" s="119"/>
      <c r="T162" s="28"/>
      <c r="U162" s="28"/>
      <c r="V162" s="28"/>
      <c r="W162" s="101"/>
      <c r="X162" s="29"/>
      <c r="Y162" s="1"/>
      <c r="Z162" s="1"/>
      <c r="AA162" s="71">
        <v>45937</v>
      </c>
      <c r="AB162" s="104">
        <v>45953</v>
      </c>
      <c r="AC162" s="40" t="s">
        <v>514</v>
      </c>
      <c r="AD162" s="105">
        <v>0</v>
      </c>
      <c r="AE162" s="105">
        <v>0</v>
      </c>
      <c r="AF162" s="105">
        <v>0</v>
      </c>
      <c r="AG162" s="105">
        <v>0</v>
      </c>
      <c r="AH162" s="105">
        <v>0</v>
      </c>
      <c r="AI162" s="40" t="s">
        <v>648</v>
      </c>
      <c r="AJ162" s="107">
        <v>1594320</v>
      </c>
      <c r="AK162" s="112">
        <v>0</v>
      </c>
      <c r="AL162" s="112">
        <v>0</v>
      </c>
      <c r="AM162" s="45"/>
      <c r="AN162" s="45"/>
      <c r="AO162" s="45"/>
      <c r="AP162" s="45"/>
      <c r="AQ162" s="45"/>
      <c r="AR162" s="45"/>
      <c r="AS162" s="45"/>
      <c r="AT162" s="45"/>
      <c r="AU162" s="45"/>
      <c r="AV162" s="45"/>
      <c r="AW162" s="45"/>
      <c r="AX162" s="45"/>
      <c r="AY162" s="45"/>
      <c r="AZ162" s="45"/>
      <c r="BA162" s="45"/>
      <c r="BB162" s="45"/>
      <c r="BC162" s="45"/>
      <c r="BD162" s="45"/>
      <c r="BE162" s="45"/>
      <c r="BF162" s="45"/>
      <c r="BG162" s="45"/>
      <c r="BH162" s="45"/>
      <c r="BI162" s="45"/>
      <c r="BJ162" s="45"/>
      <c r="BK162" s="45"/>
      <c r="BL162" s="45"/>
      <c r="BM162" s="45"/>
      <c r="BN162" s="45"/>
      <c r="BO162" s="1"/>
      <c r="BP162" s="1"/>
    </row>
    <row r="163" spans="2:68" s="11" customFormat="1" ht="21.75" x14ac:dyDescent="0.3">
      <c r="B163" s="9"/>
      <c r="C163" s="113"/>
      <c r="D163" s="114"/>
      <c r="E163" s="109"/>
      <c r="F163" s="117"/>
      <c r="G163" s="99"/>
      <c r="H163" s="99"/>
      <c r="I163" s="99"/>
      <c r="J163" s="98"/>
      <c r="K163" s="100"/>
      <c r="L163" s="100"/>
      <c r="M163" s="100"/>
      <c r="N163" s="110"/>
      <c r="O163" s="110"/>
      <c r="P163" s="100"/>
      <c r="Q163" s="118"/>
      <c r="R163" s="98"/>
      <c r="S163" s="119"/>
      <c r="T163" s="28"/>
      <c r="U163" s="28"/>
      <c r="V163" s="28"/>
      <c r="W163" s="101"/>
      <c r="X163" s="29"/>
      <c r="Y163" s="1"/>
      <c r="Z163" s="1"/>
      <c r="AA163" s="71">
        <v>45968</v>
      </c>
      <c r="AB163" s="104">
        <v>45972</v>
      </c>
      <c r="AC163" s="40" t="s">
        <v>566</v>
      </c>
      <c r="AD163" s="105">
        <v>0</v>
      </c>
      <c r="AE163" s="105">
        <v>0</v>
      </c>
      <c r="AF163" s="105">
        <v>0</v>
      </c>
      <c r="AG163" s="105">
        <v>0</v>
      </c>
      <c r="AH163" s="105">
        <v>0</v>
      </c>
      <c r="AI163" s="106">
        <v>0</v>
      </c>
      <c r="AJ163" s="107">
        <v>0</v>
      </c>
      <c r="AK163" s="112">
        <v>0</v>
      </c>
      <c r="AL163" s="112">
        <v>0</v>
      </c>
      <c r="AM163" s="45"/>
      <c r="AN163" s="45"/>
      <c r="AO163" s="45"/>
      <c r="AP163" s="45"/>
      <c r="AQ163" s="45"/>
      <c r="AR163" s="45"/>
      <c r="AS163" s="45"/>
      <c r="AT163" s="45"/>
      <c r="AU163" s="45"/>
      <c r="AV163" s="45"/>
      <c r="AW163" s="45"/>
      <c r="AX163" s="45"/>
      <c r="AY163" s="45"/>
      <c r="AZ163" s="45"/>
      <c r="BA163" s="45"/>
      <c r="BB163" s="45"/>
      <c r="BC163" s="45"/>
      <c r="BD163" s="45"/>
      <c r="BE163" s="45"/>
      <c r="BF163" s="45"/>
      <c r="BG163" s="45"/>
      <c r="BH163" s="45"/>
      <c r="BI163" s="45"/>
      <c r="BJ163" s="45"/>
      <c r="BK163" s="45"/>
      <c r="BL163" s="45"/>
      <c r="BM163" s="45"/>
      <c r="BN163" s="45"/>
      <c r="BO163" s="1"/>
      <c r="BP163" s="1"/>
    </row>
    <row r="164" spans="2:68" s="11" customFormat="1" ht="21.75" x14ac:dyDescent="0.3">
      <c r="B164" s="9"/>
      <c r="C164" s="113"/>
      <c r="D164" s="114"/>
      <c r="E164" s="109"/>
      <c r="F164" s="117"/>
      <c r="G164" s="99"/>
      <c r="H164" s="99"/>
      <c r="I164" s="99"/>
      <c r="J164" s="98"/>
      <c r="K164" s="100"/>
      <c r="L164" s="100"/>
      <c r="M164" s="100"/>
      <c r="N164" s="110"/>
      <c r="O164" s="110"/>
      <c r="P164" s="100"/>
      <c r="Q164" s="118"/>
      <c r="R164" s="98"/>
      <c r="S164" s="119"/>
      <c r="T164" s="28"/>
      <c r="U164" s="28"/>
      <c r="V164" s="28"/>
      <c r="W164" s="101"/>
      <c r="X164" s="29"/>
      <c r="Y164" s="1"/>
      <c r="Z164" s="1"/>
      <c r="AA164" s="71">
        <v>45968</v>
      </c>
      <c r="AB164" s="104">
        <v>45972</v>
      </c>
      <c r="AC164" s="40" t="s">
        <v>568</v>
      </c>
      <c r="AD164" s="105">
        <v>0</v>
      </c>
      <c r="AE164" s="105">
        <v>0</v>
      </c>
      <c r="AF164" s="105">
        <v>0</v>
      </c>
      <c r="AG164" s="105">
        <v>0</v>
      </c>
      <c r="AH164" s="105">
        <v>0</v>
      </c>
      <c r="AI164" s="106">
        <v>0</v>
      </c>
      <c r="AJ164" s="107">
        <v>0</v>
      </c>
      <c r="AK164" s="112">
        <v>0</v>
      </c>
      <c r="AL164" s="112">
        <v>0</v>
      </c>
      <c r="AM164" s="45"/>
      <c r="AN164" s="45"/>
      <c r="AO164" s="45"/>
      <c r="AP164" s="45"/>
      <c r="AQ164" s="45"/>
      <c r="AR164" s="45"/>
      <c r="AS164" s="45"/>
      <c r="AT164" s="45"/>
      <c r="AU164" s="45"/>
      <c r="AV164" s="45"/>
      <c r="AW164" s="45"/>
      <c r="AX164" s="45"/>
      <c r="AY164" s="45"/>
      <c r="AZ164" s="45"/>
      <c r="BA164" s="45"/>
      <c r="BB164" s="45"/>
      <c r="BC164" s="45"/>
      <c r="BD164" s="45"/>
      <c r="BE164" s="45"/>
      <c r="BF164" s="45"/>
      <c r="BG164" s="45"/>
      <c r="BH164" s="45"/>
      <c r="BI164" s="45"/>
      <c r="BJ164" s="45"/>
      <c r="BK164" s="45"/>
      <c r="BL164" s="45"/>
      <c r="BM164" s="45"/>
      <c r="BN164" s="45"/>
      <c r="BO164" s="1"/>
      <c r="BP164" s="1"/>
    </row>
    <row r="165" spans="2:68" s="11" customFormat="1" ht="21.75" x14ac:dyDescent="0.3">
      <c r="B165" s="9"/>
      <c r="C165" s="113"/>
      <c r="D165" s="114"/>
      <c r="E165" s="109"/>
      <c r="F165" s="117"/>
      <c r="G165" s="99"/>
      <c r="H165" s="99"/>
      <c r="I165" s="99"/>
      <c r="J165" s="98"/>
      <c r="K165" s="100"/>
      <c r="L165" s="100"/>
      <c r="M165" s="100"/>
      <c r="N165" s="110"/>
      <c r="O165" s="110"/>
      <c r="P165" s="100"/>
      <c r="Q165" s="118"/>
      <c r="R165" s="98"/>
      <c r="S165" s="119"/>
      <c r="T165" s="28"/>
      <c r="U165" s="28"/>
      <c r="V165" s="28"/>
      <c r="W165" s="101"/>
      <c r="X165" s="29"/>
      <c r="Y165" s="1"/>
      <c r="Z165" s="1"/>
      <c r="AA165" s="71">
        <v>45974</v>
      </c>
      <c r="AB165" s="104">
        <v>45979</v>
      </c>
      <c r="AC165" s="40" t="s">
        <v>591</v>
      </c>
      <c r="AD165" s="105">
        <v>0</v>
      </c>
      <c r="AE165" s="105">
        <v>0</v>
      </c>
      <c r="AF165" s="105">
        <v>0</v>
      </c>
      <c r="AG165" s="105">
        <v>0</v>
      </c>
      <c r="AH165" s="105">
        <v>0</v>
      </c>
      <c r="AI165" s="106">
        <v>0</v>
      </c>
      <c r="AJ165" s="107">
        <v>0</v>
      </c>
      <c r="AK165" s="112">
        <v>0</v>
      </c>
      <c r="AL165" s="112">
        <v>0</v>
      </c>
      <c r="AM165" s="45"/>
      <c r="AN165" s="45"/>
      <c r="AO165" s="45"/>
      <c r="AP165" s="45"/>
      <c r="AQ165" s="45"/>
      <c r="AR165" s="45"/>
      <c r="AS165" s="45"/>
      <c r="AT165" s="45"/>
      <c r="AU165" s="45"/>
      <c r="AV165" s="45"/>
      <c r="AW165" s="45"/>
      <c r="AX165" s="45"/>
      <c r="AY165" s="45"/>
      <c r="AZ165" s="45"/>
      <c r="BA165" s="45"/>
      <c r="BB165" s="45"/>
      <c r="BC165" s="45"/>
      <c r="BD165" s="45"/>
      <c r="BE165" s="45"/>
      <c r="BF165" s="45"/>
      <c r="BG165" s="45"/>
      <c r="BH165" s="45"/>
      <c r="BI165" s="45"/>
      <c r="BJ165" s="45"/>
      <c r="BK165" s="45"/>
      <c r="BL165" s="45"/>
      <c r="BM165" s="45"/>
      <c r="BN165" s="45"/>
      <c r="BO165" s="1"/>
      <c r="BP165" s="1"/>
    </row>
    <row r="166" spans="2:68" s="11" customFormat="1" ht="21.75" x14ac:dyDescent="0.3">
      <c r="B166" s="9"/>
      <c r="C166" s="113"/>
      <c r="D166" s="114"/>
      <c r="E166" s="109"/>
      <c r="F166" s="117"/>
      <c r="G166" s="99"/>
      <c r="H166" s="99"/>
      <c r="I166" s="99"/>
      <c r="J166" s="98"/>
      <c r="K166" s="100"/>
      <c r="L166" s="100"/>
      <c r="M166" s="100"/>
      <c r="N166" s="110"/>
      <c r="O166" s="110"/>
      <c r="P166" s="100"/>
      <c r="Q166" s="118"/>
      <c r="R166" s="98"/>
      <c r="S166" s="119"/>
      <c r="T166" s="28"/>
      <c r="U166" s="28"/>
      <c r="V166" s="28"/>
      <c r="W166" s="101"/>
      <c r="X166" s="29"/>
      <c r="Y166" s="1"/>
      <c r="Z166" s="1"/>
      <c r="AA166" s="71">
        <v>45973</v>
      </c>
      <c r="AB166" s="104">
        <v>45981</v>
      </c>
      <c r="AC166" s="40" t="s">
        <v>606</v>
      </c>
      <c r="AD166" s="105">
        <v>0</v>
      </c>
      <c r="AE166" s="105">
        <v>0</v>
      </c>
      <c r="AF166" s="105">
        <v>0</v>
      </c>
      <c r="AG166" s="105">
        <v>0</v>
      </c>
      <c r="AH166" s="105">
        <v>0</v>
      </c>
      <c r="AI166" s="106">
        <v>0</v>
      </c>
      <c r="AJ166" s="107">
        <v>0</v>
      </c>
      <c r="AK166" s="112">
        <v>0</v>
      </c>
      <c r="AL166" s="112">
        <v>0</v>
      </c>
      <c r="AM166" s="45"/>
      <c r="AN166" s="45"/>
      <c r="AO166" s="45"/>
      <c r="AP166" s="45"/>
      <c r="AQ166" s="45"/>
      <c r="AR166" s="45"/>
      <c r="AS166" s="45"/>
      <c r="AT166" s="45"/>
      <c r="AU166" s="45"/>
      <c r="AV166" s="45"/>
      <c r="AW166" s="45"/>
      <c r="AX166" s="45"/>
      <c r="AY166" s="45"/>
      <c r="AZ166" s="45"/>
      <c r="BA166" s="45"/>
      <c r="BB166" s="45"/>
      <c r="BC166" s="45"/>
      <c r="BD166" s="45"/>
      <c r="BE166" s="45"/>
      <c r="BF166" s="45"/>
      <c r="BG166" s="45"/>
      <c r="BH166" s="45"/>
      <c r="BI166" s="45"/>
      <c r="BJ166" s="45"/>
      <c r="BK166" s="45"/>
      <c r="BL166" s="45"/>
      <c r="BM166" s="45"/>
      <c r="BN166" s="45"/>
      <c r="BO166" s="1"/>
      <c r="BP166" s="1"/>
    </row>
    <row r="167" spans="2:68" s="11" customFormat="1" ht="21.75" x14ac:dyDescent="0.3">
      <c r="B167" s="9"/>
      <c r="C167" s="113"/>
      <c r="D167" s="114"/>
      <c r="E167" s="109"/>
      <c r="F167" s="117"/>
      <c r="G167" s="99"/>
      <c r="H167" s="99"/>
      <c r="I167" s="99"/>
      <c r="J167" s="98"/>
      <c r="K167" s="100"/>
      <c r="L167" s="100"/>
      <c r="M167" s="100"/>
      <c r="N167" s="110"/>
      <c r="O167" s="110"/>
      <c r="P167" s="100"/>
      <c r="Q167" s="118"/>
      <c r="R167" s="98"/>
      <c r="S167" s="119"/>
      <c r="T167" s="28"/>
      <c r="U167" s="28"/>
      <c r="V167" s="28"/>
      <c r="W167" s="101"/>
      <c r="X167" s="29"/>
      <c r="Y167" s="1"/>
      <c r="Z167" s="1"/>
      <c r="AA167" s="71">
        <v>45979</v>
      </c>
      <c r="AB167" s="104">
        <v>45982</v>
      </c>
      <c r="AC167" s="40" t="s">
        <v>607</v>
      </c>
      <c r="AD167" s="105">
        <v>0</v>
      </c>
      <c r="AE167" s="105">
        <v>0</v>
      </c>
      <c r="AF167" s="105">
        <v>0</v>
      </c>
      <c r="AG167" s="105">
        <v>0</v>
      </c>
      <c r="AH167" s="105">
        <v>0</v>
      </c>
      <c r="AI167" s="106">
        <v>0</v>
      </c>
      <c r="AJ167" s="107">
        <v>0</v>
      </c>
      <c r="AK167" s="112">
        <v>0</v>
      </c>
      <c r="AL167" s="112">
        <v>0</v>
      </c>
      <c r="AM167" s="45"/>
      <c r="AN167" s="45"/>
      <c r="AO167" s="45"/>
      <c r="AP167" s="45"/>
      <c r="AQ167" s="45"/>
      <c r="AR167" s="45"/>
      <c r="AS167" s="45"/>
      <c r="AT167" s="45"/>
      <c r="AU167" s="45"/>
      <c r="AV167" s="45"/>
      <c r="AW167" s="45"/>
      <c r="AX167" s="45"/>
      <c r="AY167" s="45"/>
      <c r="AZ167" s="45"/>
      <c r="BA167" s="45"/>
      <c r="BB167" s="45"/>
      <c r="BC167" s="45"/>
      <c r="BD167" s="45"/>
      <c r="BE167" s="45"/>
      <c r="BF167" s="45"/>
      <c r="BG167" s="45"/>
      <c r="BH167" s="45"/>
      <c r="BI167" s="45"/>
      <c r="BJ167" s="45"/>
      <c r="BK167" s="45"/>
      <c r="BL167" s="45"/>
      <c r="BM167" s="45"/>
      <c r="BN167" s="45"/>
      <c r="BO167" s="1"/>
      <c r="BP167" s="1"/>
    </row>
    <row r="168" spans="2:68" s="11" customFormat="1" ht="21.75" x14ac:dyDescent="0.3">
      <c r="B168" s="9"/>
      <c r="C168" s="113"/>
      <c r="D168" s="114"/>
      <c r="E168" s="109"/>
      <c r="F168" s="117"/>
      <c r="G168" s="99"/>
      <c r="H168" s="99"/>
      <c r="I168" s="99"/>
      <c r="J168" s="98"/>
      <c r="K168" s="100"/>
      <c r="L168" s="100"/>
      <c r="M168" s="100"/>
      <c r="N168" s="110"/>
      <c r="O168" s="110"/>
      <c r="P168" s="100"/>
      <c r="Q168" s="118"/>
      <c r="R168" s="98"/>
      <c r="S168" s="119"/>
      <c r="T168" s="28"/>
      <c r="U168" s="28"/>
      <c r="V168" s="28"/>
      <c r="W168" s="101"/>
      <c r="X168" s="29"/>
      <c r="Y168" s="1"/>
      <c r="Z168" s="1"/>
      <c r="AA168" s="71">
        <v>45979</v>
      </c>
      <c r="AB168" s="104">
        <v>45982</v>
      </c>
      <c r="AC168" s="40" t="s">
        <v>607</v>
      </c>
      <c r="AD168" s="105">
        <v>0</v>
      </c>
      <c r="AE168" s="105">
        <v>0</v>
      </c>
      <c r="AF168" s="105">
        <v>0</v>
      </c>
      <c r="AG168" s="105">
        <v>0</v>
      </c>
      <c r="AH168" s="105">
        <v>0</v>
      </c>
      <c r="AI168" s="106">
        <v>0</v>
      </c>
      <c r="AJ168" s="107">
        <v>0</v>
      </c>
      <c r="AK168" s="112">
        <v>0</v>
      </c>
      <c r="AL168" s="112">
        <v>0</v>
      </c>
      <c r="AM168" s="45"/>
      <c r="AN168" s="45"/>
      <c r="AO168" s="45"/>
      <c r="AP168" s="45"/>
      <c r="AQ168" s="45"/>
      <c r="AR168" s="45"/>
      <c r="AS168" s="45"/>
      <c r="AT168" s="45"/>
      <c r="AU168" s="45"/>
      <c r="AV168" s="45"/>
      <c r="AW168" s="45"/>
      <c r="AX168" s="45"/>
      <c r="AY168" s="45"/>
      <c r="AZ168" s="45"/>
      <c r="BA168" s="45"/>
      <c r="BB168" s="45"/>
      <c r="BC168" s="45"/>
      <c r="BD168" s="45"/>
      <c r="BE168" s="45"/>
      <c r="BF168" s="45"/>
      <c r="BG168" s="45"/>
      <c r="BH168" s="45"/>
      <c r="BI168" s="45"/>
      <c r="BJ168" s="45"/>
      <c r="BK168" s="45"/>
      <c r="BL168" s="45"/>
      <c r="BM168" s="45"/>
      <c r="BN168" s="45"/>
      <c r="BO168" s="1"/>
      <c r="BP168" s="1"/>
    </row>
    <row r="169" spans="2:68" s="11" customFormat="1" ht="21.75" x14ac:dyDescent="0.3">
      <c r="B169" s="9"/>
      <c r="C169" s="113"/>
      <c r="D169" s="114"/>
      <c r="E169" s="109"/>
      <c r="F169" s="117"/>
      <c r="G169" s="99"/>
      <c r="H169" s="99"/>
      <c r="I169" s="99"/>
      <c r="J169" s="98"/>
      <c r="K169" s="100"/>
      <c r="L169" s="100"/>
      <c r="M169" s="100"/>
      <c r="N169" s="110"/>
      <c r="O169" s="110"/>
      <c r="P169" s="100"/>
      <c r="Q169" s="118"/>
      <c r="R169" s="98"/>
      <c r="S169" s="119"/>
      <c r="T169" s="28"/>
      <c r="U169" s="28"/>
      <c r="V169" s="28"/>
      <c r="W169" s="101"/>
      <c r="X169" s="29"/>
      <c r="Y169" s="1"/>
      <c r="Z169" s="1"/>
      <c r="AA169" s="71">
        <v>45979</v>
      </c>
      <c r="AB169" s="104">
        <v>45982</v>
      </c>
      <c r="AC169" s="40" t="s">
        <v>607</v>
      </c>
      <c r="AD169" s="105">
        <v>0</v>
      </c>
      <c r="AE169" s="105">
        <v>0</v>
      </c>
      <c r="AF169" s="105">
        <v>0</v>
      </c>
      <c r="AG169" s="105">
        <v>0</v>
      </c>
      <c r="AH169" s="105">
        <v>0</v>
      </c>
      <c r="AI169" s="106">
        <v>0</v>
      </c>
      <c r="AJ169" s="107">
        <v>0</v>
      </c>
      <c r="AK169" s="112">
        <v>0</v>
      </c>
      <c r="AL169" s="112">
        <v>0</v>
      </c>
      <c r="AM169" s="45"/>
      <c r="AN169" s="45"/>
      <c r="AO169" s="45"/>
      <c r="AP169" s="45"/>
      <c r="AQ169" s="45"/>
      <c r="AR169" s="45"/>
      <c r="AS169" s="45"/>
      <c r="AT169" s="45"/>
      <c r="AU169" s="45"/>
      <c r="AV169" s="45"/>
      <c r="AW169" s="45"/>
      <c r="AX169" s="45"/>
      <c r="AY169" s="45"/>
      <c r="AZ169" s="45"/>
      <c r="BA169" s="45"/>
      <c r="BB169" s="45"/>
      <c r="BC169" s="45"/>
      <c r="BD169" s="45"/>
      <c r="BE169" s="45"/>
      <c r="BF169" s="45"/>
      <c r="BG169" s="45"/>
      <c r="BH169" s="45"/>
      <c r="BI169" s="45"/>
      <c r="BJ169" s="45"/>
      <c r="BK169" s="45"/>
      <c r="BL169" s="45"/>
      <c r="BM169" s="45"/>
      <c r="BN169" s="45"/>
      <c r="BO169" s="1"/>
      <c r="BP169" s="1"/>
    </row>
    <row r="170" spans="2:68" s="11" customFormat="1" ht="21.75" x14ac:dyDescent="0.3">
      <c r="B170" s="9"/>
      <c r="C170" s="113"/>
      <c r="D170" s="114"/>
      <c r="E170" s="109"/>
      <c r="F170" s="117"/>
      <c r="G170" s="99"/>
      <c r="H170" s="99"/>
      <c r="I170" s="99"/>
      <c r="J170" s="98"/>
      <c r="K170" s="100"/>
      <c r="L170" s="100"/>
      <c r="M170" s="100"/>
      <c r="N170" s="110"/>
      <c r="O170" s="110"/>
      <c r="P170" s="100"/>
      <c r="Q170" s="118"/>
      <c r="R170" s="98"/>
      <c r="S170" s="119"/>
      <c r="T170" s="28"/>
      <c r="U170" s="28"/>
      <c r="V170" s="28"/>
      <c r="W170" s="101"/>
      <c r="X170" s="29"/>
      <c r="Y170" s="1"/>
      <c r="Z170" s="1"/>
      <c r="AA170" s="71">
        <v>45968</v>
      </c>
      <c r="AB170" s="104">
        <v>45972</v>
      </c>
      <c r="AC170" s="40" t="s">
        <v>566</v>
      </c>
      <c r="AD170" s="105">
        <v>0</v>
      </c>
      <c r="AE170" s="105">
        <v>0</v>
      </c>
      <c r="AF170" s="105">
        <v>0</v>
      </c>
      <c r="AG170" s="105">
        <v>0</v>
      </c>
      <c r="AH170" s="105">
        <v>0</v>
      </c>
      <c r="AI170" s="106">
        <v>0</v>
      </c>
      <c r="AJ170" s="107">
        <v>0</v>
      </c>
      <c r="AK170" s="112">
        <v>0</v>
      </c>
      <c r="AL170" s="112">
        <v>0</v>
      </c>
      <c r="AM170" s="45"/>
      <c r="AN170" s="45"/>
      <c r="AO170" s="45"/>
      <c r="AP170" s="45"/>
      <c r="AQ170" s="45"/>
      <c r="AR170" s="45"/>
      <c r="AS170" s="45"/>
      <c r="AT170" s="45"/>
      <c r="AU170" s="45"/>
      <c r="AV170" s="45"/>
      <c r="AW170" s="45"/>
      <c r="AX170" s="45"/>
      <c r="AY170" s="45"/>
      <c r="AZ170" s="45"/>
      <c r="BA170" s="45"/>
      <c r="BB170" s="45"/>
      <c r="BC170" s="45"/>
      <c r="BD170" s="45"/>
      <c r="BE170" s="45"/>
      <c r="BF170" s="45"/>
      <c r="BG170" s="45"/>
      <c r="BH170" s="45"/>
      <c r="BI170" s="45"/>
      <c r="BJ170" s="45"/>
      <c r="BK170" s="45"/>
      <c r="BL170" s="45"/>
      <c r="BM170" s="45"/>
      <c r="BN170" s="45"/>
      <c r="BO170" s="1"/>
      <c r="BP170" s="1"/>
    </row>
    <row r="171" spans="2:68" s="11" customFormat="1" ht="21.75" x14ac:dyDescent="0.3">
      <c r="B171" s="9"/>
      <c r="C171" s="113"/>
      <c r="D171" s="114"/>
      <c r="E171" s="109"/>
      <c r="F171" s="117"/>
      <c r="G171" s="99"/>
      <c r="H171" s="99"/>
      <c r="I171" s="99"/>
      <c r="J171" s="98"/>
      <c r="K171" s="100"/>
      <c r="L171" s="100"/>
      <c r="M171" s="100"/>
      <c r="N171" s="110"/>
      <c r="O171" s="110"/>
      <c r="P171" s="100"/>
      <c r="Q171" s="118"/>
      <c r="R171" s="98"/>
      <c r="S171" s="119"/>
      <c r="T171" s="28"/>
      <c r="U171" s="28"/>
      <c r="V171" s="28"/>
      <c r="W171" s="101"/>
      <c r="X171" s="29"/>
      <c r="Y171" s="1"/>
      <c r="Z171" s="1"/>
      <c r="AA171" s="71">
        <v>45968</v>
      </c>
      <c r="AB171" s="104">
        <v>45972</v>
      </c>
      <c r="AC171" s="40" t="s">
        <v>567</v>
      </c>
      <c r="AD171" s="105">
        <v>0</v>
      </c>
      <c r="AE171" s="105">
        <v>0</v>
      </c>
      <c r="AF171" s="105">
        <v>0</v>
      </c>
      <c r="AG171" s="105">
        <v>0</v>
      </c>
      <c r="AH171" s="105">
        <v>0</v>
      </c>
      <c r="AI171" s="106">
        <v>0</v>
      </c>
      <c r="AJ171" s="107">
        <v>0</v>
      </c>
      <c r="AK171" s="112">
        <v>0</v>
      </c>
      <c r="AL171" s="112">
        <v>0</v>
      </c>
      <c r="AM171" s="45"/>
      <c r="AN171" s="45"/>
      <c r="AO171" s="45"/>
      <c r="AP171" s="45"/>
      <c r="AQ171" s="45"/>
      <c r="AR171" s="45"/>
      <c r="AS171" s="45"/>
      <c r="AT171" s="45"/>
      <c r="AU171" s="45"/>
      <c r="AV171" s="45"/>
      <c r="AW171" s="45"/>
      <c r="AX171" s="45"/>
      <c r="AY171" s="45"/>
      <c r="AZ171" s="45"/>
      <c r="BA171" s="45"/>
      <c r="BB171" s="45"/>
      <c r="BC171" s="45"/>
      <c r="BD171" s="45"/>
      <c r="BE171" s="45"/>
      <c r="BF171" s="45"/>
      <c r="BG171" s="45"/>
      <c r="BH171" s="45"/>
      <c r="BI171" s="45"/>
      <c r="BJ171" s="45"/>
      <c r="BK171" s="45"/>
      <c r="BL171" s="45"/>
      <c r="BM171" s="45"/>
      <c r="BN171" s="45"/>
      <c r="BO171" s="1"/>
      <c r="BP171" s="1"/>
    </row>
    <row r="172" spans="2:68" s="11" customFormat="1" ht="21.75" x14ac:dyDescent="0.3">
      <c r="B172" s="9"/>
      <c r="C172" s="113"/>
      <c r="D172" s="114"/>
      <c r="E172" s="109"/>
      <c r="F172" s="117"/>
      <c r="G172" s="99"/>
      <c r="H172" s="99"/>
      <c r="I172" s="99"/>
      <c r="J172" s="98"/>
      <c r="K172" s="100"/>
      <c r="L172" s="100"/>
      <c r="M172" s="100"/>
      <c r="N172" s="110"/>
      <c r="O172" s="110"/>
      <c r="P172" s="100"/>
      <c r="Q172" s="118"/>
      <c r="R172" s="98"/>
      <c r="S172" s="119"/>
      <c r="T172" s="28"/>
      <c r="U172" s="28"/>
      <c r="V172" s="28"/>
      <c r="W172" s="101"/>
      <c r="X172" s="29"/>
      <c r="Y172" s="1"/>
      <c r="Z172" s="1"/>
      <c r="AA172" s="71">
        <v>45974</v>
      </c>
      <c r="AB172" s="104">
        <v>45979</v>
      </c>
      <c r="AC172" s="40" t="s">
        <v>589</v>
      </c>
      <c r="AD172" s="105">
        <v>0</v>
      </c>
      <c r="AE172" s="105">
        <v>0</v>
      </c>
      <c r="AF172" s="105">
        <v>0</v>
      </c>
      <c r="AG172" s="105">
        <v>0</v>
      </c>
      <c r="AH172" s="105">
        <v>0</v>
      </c>
      <c r="AI172" s="106">
        <v>0</v>
      </c>
      <c r="AJ172" s="107">
        <v>0</v>
      </c>
      <c r="AK172" s="112">
        <v>0</v>
      </c>
      <c r="AL172" s="112">
        <v>0</v>
      </c>
      <c r="AM172" s="45"/>
      <c r="AN172" s="45"/>
      <c r="AO172" s="45"/>
      <c r="AP172" s="45"/>
      <c r="AQ172" s="45"/>
      <c r="AR172" s="45"/>
      <c r="AS172" s="45"/>
      <c r="AT172" s="45"/>
      <c r="AU172" s="45"/>
      <c r="AV172" s="45"/>
      <c r="AW172" s="45"/>
      <c r="AX172" s="45"/>
      <c r="AY172" s="45"/>
      <c r="AZ172" s="45"/>
      <c r="BA172" s="45"/>
      <c r="BB172" s="45"/>
      <c r="BC172" s="45"/>
      <c r="BD172" s="45"/>
      <c r="BE172" s="45"/>
      <c r="BF172" s="45"/>
      <c r="BG172" s="45"/>
      <c r="BH172" s="45"/>
      <c r="BI172" s="45"/>
      <c r="BJ172" s="45"/>
      <c r="BK172" s="45"/>
      <c r="BL172" s="45"/>
      <c r="BM172" s="45"/>
      <c r="BN172" s="45"/>
      <c r="BO172" s="1"/>
      <c r="BP172" s="1"/>
    </row>
    <row r="173" spans="2:68" s="11" customFormat="1" ht="21.75" x14ac:dyDescent="0.3">
      <c r="B173" s="9"/>
      <c r="C173" s="113"/>
      <c r="D173" s="114"/>
      <c r="E173" s="109"/>
      <c r="F173" s="117"/>
      <c r="G173" s="99"/>
      <c r="H173" s="99"/>
      <c r="I173" s="99"/>
      <c r="J173" s="98"/>
      <c r="K173" s="100"/>
      <c r="L173" s="100"/>
      <c r="M173" s="100"/>
      <c r="N173" s="110"/>
      <c r="O173" s="110"/>
      <c r="P173" s="100"/>
      <c r="Q173" s="118"/>
      <c r="R173" s="98"/>
      <c r="S173" s="119"/>
      <c r="T173" s="28"/>
      <c r="U173" s="28"/>
      <c r="V173" s="28"/>
      <c r="W173" s="101"/>
      <c r="X173" s="29"/>
      <c r="Y173" s="1"/>
      <c r="Z173" s="1"/>
      <c r="AA173" s="71">
        <v>45974</v>
      </c>
      <c r="AB173" s="104">
        <v>45979</v>
      </c>
      <c r="AC173" s="40" t="s">
        <v>589</v>
      </c>
      <c r="AD173" s="105">
        <v>0</v>
      </c>
      <c r="AE173" s="105">
        <v>0</v>
      </c>
      <c r="AF173" s="105">
        <v>0</v>
      </c>
      <c r="AG173" s="105">
        <v>0</v>
      </c>
      <c r="AH173" s="105">
        <v>0</v>
      </c>
      <c r="AI173" s="106">
        <v>0</v>
      </c>
      <c r="AJ173" s="107">
        <v>0</v>
      </c>
      <c r="AK173" s="112">
        <v>0</v>
      </c>
      <c r="AL173" s="112">
        <v>0</v>
      </c>
      <c r="AM173" s="45"/>
      <c r="AN173" s="45"/>
      <c r="AO173" s="45"/>
      <c r="AP173" s="45"/>
      <c r="AQ173" s="45"/>
      <c r="AR173" s="45"/>
      <c r="AS173" s="45"/>
      <c r="AT173" s="45"/>
      <c r="AU173" s="45"/>
      <c r="AV173" s="45"/>
      <c r="AW173" s="45"/>
      <c r="AX173" s="45"/>
      <c r="AY173" s="45"/>
      <c r="AZ173" s="45"/>
      <c r="BA173" s="45"/>
      <c r="BB173" s="45"/>
      <c r="BC173" s="45"/>
      <c r="BD173" s="45"/>
      <c r="BE173" s="45"/>
      <c r="BF173" s="45"/>
      <c r="BG173" s="45"/>
      <c r="BH173" s="45"/>
      <c r="BI173" s="45"/>
      <c r="BJ173" s="45"/>
      <c r="BK173" s="45"/>
      <c r="BL173" s="45"/>
      <c r="BM173" s="45"/>
      <c r="BN173" s="45"/>
      <c r="BO173" s="1"/>
      <c r="BP173" s="1"/>
    </row>
    <row r="174" spans="2:68" s="11" customFormat="1" ht="21.75" x14ac:dyDescent="0.3">
      <c r="B174" s="9"/>
      <c r="C174" s="113"/>
      <c r="D174" s="114"/>
      <c r="E174" s="109"/>
      <c r="F174" s="117"/>
      <c r="G174" s="99"/>
      <c r="H174" s="99"/>
      <c r="I174" s="99"/>
      <c r="J174" s="98"/>
      <c r="K174" s="100"/>
      <c r="L174" s="100"/>
      <c r="M174" s="100"/>
      <c r="N174" s="110"/>
      <c r="O174" s="110"/>
      <c r="P174" s="100"/>
      <c r="Q174" s="118"/>
      <c r="R174" s="98"/>
      <c r="S174" s="119"/>
      <c r="T174" s="28"/>
      <c r="U174" s="28"/>
      <c r="V174" s="28"/>
      <c r="W174" s="101"/>
      <c r="X174" s="29"/>
      <c r="Y174" s="1"/>
      <c r="Z174" s="1"/>
      <c r="AA174" s="71">
        <v>45973</v>
      </c>
      <c r="AB174" s="104">
        <v>45981</v>
      </c>
      <c r="AC174" s="40" t="s">
        <v>607</v>
      </c>
      <c r="AD174" s="105">
        <v>0</v>
      </c>
      <c r="AE174" s="105">
        <v>0</v>
      </c>
      <c r="AF174" s="105">
        <v>0</v>
      </c>
      <c r="AG174" s="105">
        <v>0</v>
      </c>
      <c r="AH174" s="105">
        <v>0</v>
      </c>
      <c r="AI174" s="106">
        <v>0</v>
      </c>
      <c r="AJ174" s="107">
        <v>0</v>
      </c>
      <c r="AK174" s="112">
        <v>0</v>
      </c>
      <c r="AL174" s="112">
        <v>0</v>
      </c>
      <c r="AM174" s="45"/>
      <c r="AN174" s="45"/>
      <c r="AO174" s="45"/>
      <c r="AP174" s="45"/>
      <c r="AQ174" s="45"/>
      <c r="AR174" s="45"/>
      <c r="AS174" s="45"/>
      <c r="AT174" s="45"/>
      <c r="AU174" s="45"/>
      <c r="AV174" s="45"/>
      <c r="AW174" s="45"/>
      <c r="AX174" s="45"/>
      <c r="AY174" s="45"/>
      <c r="AZ174" s="45"/>
      <c r="BA174" s="45"/>
      <c r="BB174" s="45"/>
      <c r="BC174" s="45"/>
      <c r="BD174" s="45"/>
      <c r="BE174" s="45"/>
      <c r="BF174" s="45"/>
      <c r="BG174" s="45"/>
      <c r="BH174" s="45"/>
      <c r="BI174" s="45"/>
      <c r="BJ174" s="45"/>
      <c r="BK174" s="45"/>
      <c r="BL174" s="45"/>
      <c r="BM174" s="45"/>
      <c r="BN174" s="45"/>
      <c r="BO174" s="1"/>
      <c r="BP174" s="1"/>
    </row>
    <row r="175" spans="2:68" s="11" customFormat="1" ht="21.75" x14ac:dyDescent="0.3">
      <c r="B175" s="9"/>
      <c r="C175" s="113"/>
      <c r="D175" s="114"/>
      <c r="E175" s="109"/>
      <c r="F175" s="117"/>
      <c r="G175" s="99"/>
      <c r="H175" s="99"/>
      <c r="I175" s="99"/>
      <c r="J175" s="98"/>
      <c r="K175" s="100"/>
      <c r="L175" s="100"/>
      <c r="M175" s="100"/>
      <c r="N175" s="110"/>
      <c r="O175" s="110"/>
      <c r="P175" s="100"/>
      <c r="Q175" s="118"/>
      <c r="R175" s="98"/>
      <c r="S175" s="119"/>
      <c r="T175" s="28"/>
      <c r="U175" s="28"/>
      <c r="V175" s="28"/>
      <c r="W175" s="101"/>
      <c r="X175" s="29"/>
      <c r="Y175" s="1"/>
      <c r="Z175" s="1"/>
      <c r="AA175" s="71">
        <v>45979</v>
      </c>
      <c r="AB175" s="104">
        <v>45982</v>
      </c>
      <c r="AC175" s="40" t="s">
        <v>607</v>
      </c>
      <c r="AD175" s="105">
        <v>0</v>
      </c>
      <c r="AE175" s="105">
        <v>0</v>
      </c>
      <c r="AF175" s="105">
        <v>0</v>
      </c>
      <c r="AG175" s="105">
        <v>0</v>
      </c>
      <c r="AH175" s="105">
        <v>0</v>
      </c>
      <c r="AI175" s="106">
        <v>0</v>
      </c>
      <c r="AJ175" s="107">
        <v>0</v>
      </c>
      <c r="AK175" s="112">
        <v>0</v>
      </c>
      <c r="AL175" s="112">
        <v>0</v>
      </c>
      <c r="AM175" s="45"/>
      <c r="AN175" s="45"/>
      <c r="AO175" s="45"/>
      <c r="AP175" s="45"/>
      <c r="AQ175" s="45"/>
      <c r="AR175" s="45"/>
      <c r="AS175" s="45"/>
      <c r="AT175" s="45"/>
      <c r="AU175" s="45"/>
      <c r="AV175" s="45"/>
      <c r="AW175" s="45"/>
      <c r="AX175" s="45"/>
      <c r="AY175" s="45"/>
      <c r="AZ175" s="45"/>
      <c r="BA175" s="45"/>
      <c r="BB175" s="45"/>
      <c r="BC175" s="45"/>
      <c r="BD175" s="45"/>
      <c r="BE175" s="45"/>
      <c r="BF175" s="45"/>
      <c r="BG175" s="45"/>
      <c r="BH175" s="45"/>
      <c r="BI175" s="45"/>
      <c r="BJ175" s="45"/>
      <c r="BK175" s="45"/>
      <c r="BL175" s="45"/>
      <c r="BM175" s="45"/>
      <c r="BN175" s="45"/>
      <c r="BO175" s="1"/>
      <c r="BP175" s="1"/>
    </row>
    <row r="176" spans="2:68" s="11" customFormat="1" ht="21.75" x14ac:dyDescent="0.3">
      <c r="B176" s="9"/>
      <c r="C176" s="113"/>
      <c r="D176" s="114"/>
      <c r="E176" s="109"/>
      <c r="F176" s="117"/>
      <c r="G176" s="99"/>
      <c r="H176" s="99"/>
      <c r="I176" s="99"/>
      <c r="J176" s="98"/>
      <c r="K176" s="100"/>
      <c r="L176" s="100"/>
      <c r="M176" s="100"/>
      <c r="N176" s="110"/>
      <c r="O176" s="110"/>
      <c r="P176" s="100"/>
      <c r="Q176" s="118"/>
      <c r="R176" s="98"/>
      <c r="S176" s="119"/>
      <c r="T176" s="28"/>
      <c r="U176" s="28"/>
      <c r="V176" s="28"/>
      <c r="W176" s="101"/>
      <c r="X176" s="29"/>
      <c r="Y176" s="1"/>
      <c r="Z176" s="1"/>
      <c r="AA176" s="71">
        <v>45965</v>
      </c>
      <c r="AB176" s="104">
        <v>45971</v>
      </c>
      <c r="AC176" s="40" t="s">
        <v>555</v>
      </c>
      <c r="AD176" s="105">
        <v>0</v>
      </c>
      <c r="AE176" s="105">
        <v>0</v>
      </c>
      <c r="AF176" s="105">
        <v>0</v>
      </c>
      <c r="AG176" s="105">
        <v>0</v>
      </c>
      <c r="AH176" s="105">
        <v>0</v>
      </c>
      <c r="AI176" s="106">
        <v>0</v>
      </c>
      <c r="AJ176" s="107">
        <v>0</v>
      </c>
      <c r="AK176" s="112">
        <v>0</v>
      </c>
      <c r="AL176" s="112">
        <v>0</v>
      </c>
      <c r="AM176" s="45"/>
      <c r="AN176" s="45"/>
      <c r="AO176" s="45"/>
      <c r="AP176" s="45"/>
      <c r="AQ176" s="45"/>
      <c r="AR176" s="45"/>
      <c r="AS176" s="45"/>
      <c r="AT176" s="45"/>
      <c r="AU176" s="45"/>
      <c r="AV176" s="45"/>
      <c r="AW176" s="45"/>
      <c r="AX176" s="45"/>
      <c r="AY176" s="45"/>
      <c r="AZ176" s="45"/>
      <c r="BA176" s="45"/>
      <c r="BB176" s="45"/>
      <c r="BC176" s="45"/>
      <c r="BD176" s="45"/>
      <c r="BE176" s="45"/>
      <c r="BF176" s="45"/>
      <c r="BG176" s="45"/>
      <c r="BH176" s="45"/>
      <c r="BI176" s="45"/>
      <c r="BJ176" s="45"/>
      <c r="BK176" s="45"/>
      <c r="BL176" s="45"/>
      <c r="BM176" s="45"/>
      <c r="BN176" s="45"/>
      <c r="BO176" s="1"/>
      <c r="BP176" s="1"/>
    </row>
    <row r="177" spans="2:68" s="11" customFormat="1" ht="21.75" x14ac:dyDescent="0.3">
      <c r="B177" s="9"/>
      <c r="C177" s="113"/>
      <c r="D177" s="114"/>
      <c r="E177" s="109"/>
      <c r="F177" s="117"/>
      <c r="G177" s="99"/>
      <c r="H177" s="99"/>
      <c r="I177" s="99"/>
      <c r="J177" s="98"/>
      <c r="K177" s="100"/>
      <c r="L177" s="100"/>
      <c r="M177" s="100"/>
      <c r="N177" s="110"/>
      <c r="O177" s="110"/>
      <c r="P177" s="100"/>
      <c r="Q177" s="118"/>
      <c r="R177" s="98"/>
      <c r="S177" s="119"/>
      <c r="T177" s="28"/>
      <c r="U177" s="28"/>
      <c r="V177" s="28"/>
      <c r="W177" s="101"/>
      <c r="X177" s="29"/>
      <c r="Y177" s="1"/>
      <c r="Z177" s="1"/>
      <c r="AA177" s="71">
        <v>45973</v>
      </c>
      <c r="AB177" s="104">
        <v>45975</v>
      </c>
      <c r="AC177" s="40" t="s">
        <v>586</v>
      </c>
      <c r="AD177" s="105">
        <v>0</v>
      </c>
      <c r="AE177" s="105">
        <v>0</v>
      </c>
      <c r="AF177" s="105">
        <v>0</v>
      </c>
      <c r="AG177" s="105">
        <v>0</v>
      </c>
      <c r="AH177" s="105">
        <v>0</v>
      </c>
      <c r="AI177" s="106">
        <v>0</v>
      </c>
      <c r="AJ177" s="107">
        <v>0</v>
      </c>
      <c r="AK177" s="112">
        <v>0</v>
      </c>
      <c r="AL177" s="112">
        <v>0</v>
      </c>
      <c r="AM177" s="45"/>
      <c r="AN177" s="45"/>
      <c r="AO177" s="45"/>
      <c r="AP177" s="45"/>
      <c r="AQ177" s="45"/>
      <c r="AR177" s="45"/>
      <c r="AS177" s="45"/>
      <c r="AT177" s="45"/>
      <c r="AU177" s="45"/>
      <c r="AV177" s="45"/>
      <c r="AW177" s="45"/>
      <c r="AX177" s="45"/>
      <c r="AY177" s="45"/>
      <c r="AZ177" s="45"/>
      <c r="BA177" s="45"/>
      <c r="BB177" s="45"/>
      <c r="BC177" s="45"/>
      <c r="BD177" s="45"/>
      <c r="BE177" s="45"/>
      <c r="BF177" s="45"/>
      <c r="BG177" s="45"/>
      <c r="BH177" s="45"/>
      <c r="BI177" s="45"/>
      <c r="BJ177" s="45"/>
      <c r="BK177" s="45"/>
      <c r="BL177" s="45"/>
      <c r="BM177" s="45"/>
      <c r="BN177" s="45"/>
      <c r="BO177" s="1"/>
      <c r="BP177" s="1"/>
    </row>
    <row r="178" spans="2:68" s="11" customFormat="1" ht="21.75" x14ac:dyDescent="0.3">
      <c r="B178" s="9"/>
      <c r="C178" s="113"/>
      <c r="D178" s="114"/>
      <c r="E178" s="109"/>
      <c r="F178" s="117"/>
      <c r="G178" s="99"/>
      <c r="H178" s="99"/>
      <c r="I178" s="99"/>
      <c r="J178" s="98"/>
      <c r="K178" s="100"/>
      <c r="L178" s="100"/>
      <c r="M178" s="100"/>
      <c r="N178" s="110"/>
      <c r="O178" s="110"/>
      <c r="P178" s="100"/>
      <c r="Q178" s="118"/>
      <c r="R178" s="98"/>
      <c r="S178" s="119"/>
      <c r="T178" s="28"/>
      <c r="U178" s="28"/>
      <c r="V178" s="28"/>
      <c r="W178" s="101"/>
      <c r="X178" s="29"/>
      <c r="Y178" s="1"/>
      <c r="Z178" s="1"/>
      <c r="AA178" s="71">
        <v>45968</v>
      </c>
      <c r="AB178" s="104">
        <v>45979</v>
      </c>
      <c r="AC178" s="40" t="s">
        <v>600</v>
      </c>
      <c r="AD178" s="105">
        <v>0</v>
      </c>
      <c r="AE178" s="105">
        <v>0</v>
      </c>
      <c r="AF178" s="105">
        <v>0</v>
      </c>
      <c r="AG178" s="105">
        <v>0</v>
      </c>
      <c r="AH178" s="105">
        <v>0</v>
      </c>
      <c r="AI178" s="106">
        <v>0</v>
      </c>
      <c r="AJ178" s="107">
        <v>0</v>
      </c>
      <c r="AK178" s="112">
        <v>0</v>
      </c>
      <c r="AL178" s="112">
        <v>0</v>
      </c>
      <c r="AM178" s="45"/>
      <c r="AN178" s="45"/>
      <c r="AO178" s="45"/>
      <c r="AP178" s="45"/>
      <c r="AQ178" s="45"/>
      <c r="AR178" s="45"/>
      <c r="AS178" s="45"/>
      <c r="AT178" s="45"/>
      <c r="AU178" s="45"/>
      <c r="AV178" s="45"/>
      <c r="AW178" s="45"/>
      <c r="AX178" s="45"/>
      <c r="AY178" s="45"/>
      <c r="AZ178" s="45"/>
      <c r="BA178" s="45"/>
      <c r="BB178" s="45"/>
      <c r="BC178" s="45"/>
      <c r="BD178" s="45"/>
      <c r="BE178" s="45"/>
      <c r="BF178" s="45"/>
      <c r="BG178" s="45"/>
      <c r="BH178" s="45"/>
      <c r="BI178" s="45"/>
      <c r="BJ178" s="45"/>
      <c r="BK178" s="45"/>
      <c r="BL178" s="45"/>
      <c r="BM178" s="45"/>
      <c r="BN178" s="45"/>
      <c r="BO178" s="1"/>
      <c r="BP178" s="1"/>
    </row>
    <row r="179" spans="2:68" s="11" customFormat="1" ht="21.75" x14ac:dyDescent="0.3">
      <c r="B179" s="9"/>
      <c r="C179" s="113"/>
      <c r="D179" s="114"/>
      <c r="E179" s="109"/>
      <c r="F179" s="117"/>
      <c r="G179" s="99"/>
      <c r="H179" s="99"/>
      <c r="I179" s="99"/>
      <c r="J179" s="98"/>
      <c r="K179" s="100"/>
      <c r="L179" s="100"/>
      <c r="M179" s="100"/>
      <c r="N179" s="110"/>
      <c r="O179" s="110"/>
      <c r="P179" s="100"/>
      <c r="Q179" s="118"/>
      <c r="R179" s="98"/>
      <c r="S179" s="119"/>
      <c r="T179" s="28"/>
      <c r="U179" s="28"/>
      <c r="V179" s="28"/>
      <c r="W179" s="101"/>
      <c r="X179" s="29"/>
      <c r="Y179" s="1"/>
      <c r="Z179" s="1"/>
      <c r="AA179" s="71">
        <v>45968</v>
      </c>
      <c r="AB179" s="104">
        <v>45972</v>
      </c>
      <c r="AC179" s="40" t="s">
        <v>568</v>
      </c>
      <c r="AD179" s="105">
        <v>0</v>
      </c>
      <c r="AE179" s="105">
        <v>0</v>
      </c>
      <c r="AF179" s="105">
        <v>0</v>
      </c>
      <c r="AG179" s="105">
        <v>0</v>
      </c>
      <c r="AH179" s="105">
        <v>0</v>
      </c>
      <c r="AI179" s="106">
        <v>0</v>
      </c>
      <c r="AJ179" s="107">
        <v>0</v>
      </c>
      <c r="AK179" s="112">
        <v>0</v>
      </c>
      <c r="AL179" s="112">
        <v>0</v>
      </c>
      <c r="AM179" s="45"/>
      <c r="AN179" s="45"/>
      <c r="AO179" s="45"/>
      <c r="AP179" s="45"/>
      <c r="AQ179" s="45"/>
      <c r="AR179" s="45"/>
      <c r="AS179" s="45"/>
      <c r="AT179" s="45"/>
      <c r="AU179" s="45"/>
      <c r="AV179" s="45"/>
      <c r="AW179" s="45"/>
      <c r="AX179" s="45"/>
      <c r="AY179" s="45"/>
      <c r="AZ179" s="45"/>
      <c r="BA179" s="45"/>
      <c r="BB179" s="45"/>
      <c r="BC179" s="45"/>
      <c r="BD179" s="45"/>
      <c r="BE179" s="45"/>
      <c r="BF179" s="45"/>
      <c r="BG179" s="45"/>
      <c r="BH179" s="45"/>
      <c r="BI179" s="45"/>
      <c r="BJ179" s="45"/>
      <c r="BK179" s="45"/>
      <c r="BL179" s="45"/>
      <c r="BM179" s="45"/>
      <c r="BN179" s="45"/>
      <c r="BO179" s="1"/>
      <c r="BP179" s="1"/>
    </row>
    <row r="180" spans="2:68" s="11" customFormat="1" ht="21.75" x14ac:dyDescent="0.3">
      <c r="B180" s="9"/>
      <c r="C180" s="113"/>
      <c r="D180" s="114"/>
      <c r="E180" s="109"/>
      <c r="F180" s="117"/>
      <c r="G180" s="99"/>
      <c r="H180" s="99"/>
      <c r="I180" s="99"/>
      <c r="J180" s="98"/>
      <c r="K180" s="100"/>
      <c r="L180" s="100"/>
      <c r="M180" s="100"/>
      <c r="N180" s="110"/>
      <c r="O180" s="110"/>
      <c r="P180" s="100"/>
      <c r="Q180" s="118"/>
      <c r="R180" s="98"/>
      <c r="S180" s="119"/>
      <c r="T180" s="28"/>
      <c r="U180" s="28"/>
      <c r="V180" s="28"/>
      <c r="W180" s="101"/>
      <c r="X180" s="29"/>
      <c r="Y180" s="1"/>
      <c r="Z180" s="1"/>
      <c r="AA180" s="71">
        <v>45880</v>
      </c>
      <c r="AB180" s="104">
        <v>45980</v>
      </c>
      <c r="AC180" s="40" t="s">
        <v>604</v>
      </c>
      <c r="AD180" s="105">
        <v>0</v>
      </c>
      <c r="AE180" s="105">
        <v>0</v>
      </c>
      <c r="AF180" s="105">
        <v>0</v>
      </c>
      <c r="AG180" s="105">
        <v>0</v>
      </c>
      <c r="AH180" s="105">
        <v>0</v>
      </c>
      <c r="AI180" s="106">
        <v>0</v>
      </c>
      <c r="AJ180" s="107">
        <v>0</v>
      </c>
      <c r="AK180" s="112">
        <v>0</v>
      </c>
      <c r="AL180" s="112">
        <v>0</v>
      </c>
      <c r="AM180" s="45"/>
      <c r="AN180" s="45"/>
      <c r="AO180" s="45"/>
      <c r="AP180" s="45"/>
      <c r="AQ180" s="45"/>
      <c r="AR180" s="45"/>
      <c r="AS180" s="45"/>
      <c r="AT180" s="45"/>
      <c r="AU180" s="45"/>
      <c r="AV180" s="45"/>
      <c r="AW180" s="45"/>
      <c r="AX180" s="45"/>
      <c r="AY180" s="45"/>
      <c r="AZ180" s="45"/>
      <c r="BA180" s="45"/>
      <c r="BB180" s="45"/>
      <c r="BC180" s="45"/>
      <c r="BD180" s="45"/>
      <c r="BE180" s="45"/>
      <c r="BF180" s="45"/>
      <c r="BG180" s="45"/>
      <c r="BH180" s="45"/>
      <c r="BI180" s="45"/>
      <c r="BJ180" s="45"/>
      <c r="BK180" s="45"/>
      <c r="BL180" s="45"/>
      <c r="BM180" s="45"/>
      <c r="BN180" s="45"/>
      <c r="BO180" s="1"/>
      <c r="BP180" s="1"/>
    </row>
    <row r="181" spans="2:68" s="11" customFormat="1" ht="21.75" x14ac:dyDescent="0.3">
      <c r="B181" s="9"/>
      <c r="C181" s="113"/>
      <c r="D181" s="114"/>
      <c r="E181" s="109"/>
      <c r="F181" s="117"/>
      <c r="G181" s="99"/>
      <c r="H181" s="99"/>
      <c r="I181" s="99"/>
      <c r="J181" s="98"/>
      <c r="K181" s="100"/>
      <c r="L181" s="100"/>
      <c r="M181" s="100"/>
      <c r="N181" s="110"/>
      <c r="O181" s="110"/>
      <c r="P181" s="100"/>
      <c r="Q181" s="118"/>
      <c r="R181" s="98"/>
      <c r="S181" s="119"/>
      <c r="T181" s="28"/>
      <c r="U181" s="28"/>
      <c r="V181" s="28"/>
      <c r="W181" s="101"/>
      <c r="X181" s="29"/>
      <c r="Y181" s="1"/>
      <c r="Z181" s="1"/>
      <c r="AA181" s="71">
        <v>45973</v>
      </c>
      <c r="AB181" s="104">
        <v>45975</v>
      </c>
      <c r="AC181" s="40" t="s">
        <v>588</v>
      </c>
      <c r="AD181" s="105">
        <v>0</v>
      </c>
      <c r="AE181" s="105">
        <v>0</v>
      </c>
      <c r="AF181" s="105">
        <v>0</v>
      </c>
      <c r="AG181" s="105">
        <v>0</v>
      </c>
      <c r="AH181" s="105">
        <v>0</v>
      </c>
      <c r="AI181" s="106">
        <v>0</v>
      </c>
      <c r="AJ181" s="107">
        <v>0</v>
      </c>
      <c r="AK181" s="112">
        <v>0</v>
      </c>
      <c r="AL181" s="112">
        <v>0</v>
      </c>
      <c r="AM181" s="45"/>
      <c r="AN181" s="45"/>
      <c r="AO181" s="45"/>
      <c r="AP181" s="45"/>
      <c r="AQ181" s="45"/>
      <c r="AR181" s="45"/>
      <c r="AS181" s="45"/>
      <c r="AT181" s="45"/>
      <c r="AU181" s="45"/>
      <c r="AV181" s="45"/>
      <c r="AW181" s="45"/>
      <c r="AX181" s="45"/>
      <c r="AY181" s="45"/>
      <c r="AZ181" s="45"/>
      <c r="BA181" s="45"/>
      <c r="BB181" s="45"/>
      <c r="BC181" s="45"/>
      <c r="BD181" s="45"/>
      <c r="BE181" s="45"/>
      <c r="BF181" s="45"/>
      <c r="BG181" s="45"/>
      <c r="BH181" s="45"/>
      <c r="BI181" s="45"/>
      <c r="BJ181" s="45"/>
      <c r="BK181" s="45"/>
      <c r="BL181" s="45"/>
      <c r="BM181" s="45"/>
      <c r="BN181" s="45"/>
      <c r="BO181" s="1"/>
      <c r="BP181" s="1"/>
    </row>
    <row r="182" spans="2:68" s="11" customFormat="1" ht="21.75" x14ac:dyDescent="0.3">
      <c r="B182" s="9"/>
      <c r="C182" s="113"/>
      <c r="D182" s="114"/>
      <c r="E182" s="109"/>
      <c r="F182" s="117"/>
      <c r="G182" s="99"/>
      <c r="H182" s="99"/>
      <c r="I182" s="99"/>
      <c r="J182" s="98"/>
      <c r="K182" s="100"/>
      <c r="L182" s="100"/>
      <c r="M182" s="100"/>
      <c r="N182" s="110"/>
      <c r="O182" s="110"/>
      <c r="P182" s="100"/>
      <c r="Q182" s="118"/>
      <c r="R182" s="98"/>
      <c r="S182" s="119"/>
      <c r="T182" s="28"/>
      <c r="U182" s="28"/>
      <c r="V182" s="28"/>
      <c r="W182" s="101"/>
      <c r="X182" s="29"/>
      <c r="Y182" s="1"/>
      <c r="Z182" s="1"/>
      <c r="AA182" s="71">
        <v>45973</v>
      </c>
      <c r="AB182" s="104">
        <v>45975</v>
      </c>
      <c r="AC182" s="40" t="s">
        <v>585</v>
      </c>
      <c r="AD182" s="105">
        <v>0</v>
      </c>
      <c r="AE182" s="105">
        <v>0</v>
      </c>
      <c r="AF182" s="105">
        <v>0</v>
      </c>
      <c r="AG182" s="105">
        <v>0</v>
      </c>
      <c r="AH182" s="105">
        <v>0</v>
      </c>
      <c r="AI182" s="106">
        <v>0</v>
      </c>
      <c r="AJ182" s="107">
        <v>0</v>
      </c>
      <c r="AK182" s="112">
        <v>0</v>
      </c>
      <c r="AL182" s="112">
        <v>0</v>
      </c>
      <c r="AM182" s="45"/>
      <c r="AN182" s="45"/>
      <c r="AO182" s="45"/>
      <c r="AP182" s="45"/>
      <c r="AQ182" s="45"/>
      <c r="AR182" s="45"/>
      <c r="AS182" s="45"/>
      <c r="AT182" s="45"/>
      <c r="AU182" s="45"/>
      <c r="AV182" s="45"/>
      <c r="AW182" s="45"/>
      <c r="AX182" s="45"/>
      <c r="AY182" s="45"/>
      <c r="AZ182" s="45"/>
      <c r="BA182" s="45"/>
      <c r="BB182" s="45"/>
      <c r="BC182" s="45"/>
      <c r="BD182" s="45"/>
      <c r="BE182" s="45"/>
      <c r="BF182" s="45"/>
      <c r="BG182" s="45"/>
      <c r="BH182" s="45"/>
      <c r="BI182" s="45"/>
      <c r="BJ182" s="45"/>
      <c r="BK182" s="45"/>
      <c r="BL182" s="45"/>
      <c r="BM182" s="45"/>
      <c r="BN182" s="45"/>
      <c r="BO182" s="1"/>
      <c r="BP182" s="1"/>
    </row>
    <row r="183" spans="2:68" s="11" customFormat="1" ht="21.75" x14ac:dyDescent="0.3">
      <c r="B183" s="9"/>
      <c r="C183" s="113"/>
      <c r="D183" s="114"/>
      <c r="E183" s="109"/>
      <c r="F183" s="117"/>
      <c r="G183" s="99"/>
      <c r="H183" s="99"/>
      <c r="I183" s="99"/>
      <c r="J183" s="98"/>
      <c r="K183" s="100"/>
      <c r="L183" s="100"/>
      <c r="M183" s="100"/>
      <c r="N183" s="110"/>
      <c r="O183" s="110"/>
      <c r="P183" s="100"/>
      <c r="Q183" s="118"/>
      <c r="R183" s="98"/>
      <c r="S183" s="119"/>
      <c r="T183" s="28"/>
      <c r="U183" s="28"/>
      <c r="V183" s="28"/>
      <c r="W183" s="101"/>
      <c r="X183" s="29"/>
      <c r="Y183" s="1"/>
      <c r="Z183" s="1"/>
      <c r="AA183" s="71">
        <v>45944</v>
      </c>
      <c r="AB183" s="104">
        <v>45965</v>
      </c>
      <c r="AC183" s="40" t="s">
        <v>535</v>
      </c>
      <c r="AD183" s="105">
        <v>0</v>
      </c>
      <c r="AE183" s="105">
        <v>0</v>
      </c>
      <c r="AF183" s="105">
        <v>0</v>
      </c>
      <c r="AG183" s="105">
        <v>0</v>
      </c>
      <c r="AH183" s="105">
        <v>0</v>
      </c>
      <c r="AI183" s="106">
        <v>0</v>
      </c>
      <c r="AJ183" s="107">
        <v>0</v>
      </c>
      <c r="AK183" s="112">
        <v>0</v>
      </c>
      <c r="AL183" s="112">
        <v>0</v>
      </c>
      <c r="AM183" s="45"/>
      <c r="AN183" s="45"/>
      <c r="AO183" s="45"/>
      <c r="AP183" s="45"/>
      <c r="AQ183" s="45"/>
      <c r="AR183" s="45"/>
      <c r="AS183" s="45"/>
      <c r="AT183" s="45"/>
      <c r="AU183" s="45"/>
      <c r="AV183" s="45"/>
      <c r="AW183" s="45"/>
      <c r="AX183" s="45"/>
      <c r="AY183" s="45"/>
      <c r="AZ183" s="45"/>
      <c r="BA183" s="45"/>
      <c r="BB183" s="45"/>
      <c r="BC183" s="45"/>
      <c r="BD183" s="45"/>
      <c r="BE183" s="45"/>
      <c r="BF183" s="45"/>
      <c r="BG183" s="45"/>
      <c r="BH183" s="45"/>
      <c r="BI183" s="45"/>
      <c r="BJ183" s="45"/>
      <c r="BK183" s="45"/>
      <c r="BL183" s="45"/>
      <c r="BM183" s="45"/>
      <c r="BN183" s="45"/>
      <c r="BO183" s="1"/>
      <c r="BP183" s="1"/>
    </row>
    <row r="184" spans="2:68" s="11" customFormat="1" ht="21.75" x14ac:dyDescent="0.3">
      <c r="B184" s="9"/>
      <c r="C184" s="113"/>
      <c r="D184" s="114"/>
      <c r="E184" s="109"/>
      <c r="F184" s="117"/>
      <c r="G184" s="99"/>
      <c r="H184" s="99"/>
      <c r="I184" s="99"/>
      <c r="J184" s="98"/>
      <c r="K184" s="100"/>
      <c r="L184" s="100"/>
      <c r="M184" s="100"/>
      <c r="N184" s="110"/>
      <c r="O184" s="110"/>
      <c r="P184" s="100"/>
      <c r="Q184" s="118"/>
      <c r="R184" s="98"/>
      <c r="S184" s="119"/>
      <c r="T184" s="28"/>
      <c r="U184" s="28"/>
      <c r="V184" s="28"/>
      <c r="W184" s="101"/>
      <c r="X184" s="29"/>
      <c r="Y184" s="1"/>
      <c r="Z184" s="1"/>
      <c r="AA184" s="71">
        <v>45944</v>
      </c>
      <c r="AB184" s="104">
        <v>45965</v>
      </c>
      <c r="AC184" s="40" t="s">
        <v>526</v>
      </c>
      <c r="AD184" s="105">
        <v>0</v>
      </c>
      <c r="AE184" s="105">
        <v>0</v>
      </c>
      <c r="AF184" s="105">
        <v>0</v>
      </c>
      <c r="AG184" s="105">
        <v>0</v>
      </c>
      <c r="AH184" s="105">
        <v>0</v>
      </c>
      <c r="AI184" s="106">
        <v>0</v>
      </c>
      <c r="AJ184" s="107">
        <v>0</v>
      </c>
      <c r="AK184" s="112">
        <v>0</v>
      </c>
      <c r="AL184" s="112">
        <v>0</v>
      </c>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1"/>
      <c r="BP184" s="1"/>
    </row>
    <row r="185" spans="2:68" s="11" customFormat="1" ht="21.75" x14ac:dyDescent="0.3">
      <c r="B185" s="9"/>
      <c r="C185" s="113"/>
      <c r="D185" s="114"/>
      <c r="E185" s="109"/>
      <c r="F185" s="117"/>
      <c r="G185" s="99"/>
      <c r="H185" s="99"/>
      <c r="I185" s="99"/>
      <c r="J185" s="98"/>
      <c r="K185" s="100"/>
      <c r="L185" s="100"/>
      <c r="M185" s="100"/>
      <c r="N185" s="110"/>
      <c r="O185" s="110"/>
      <c r="P185" s="100"/>
      <c r="Q185" s="118"/>
      <c r="R185" s="98"/>
      <c r="S185" s="119"/>
      <c r="T185" s="28"/>
      <c r="U185" s="28"/>
      <c r="V185" s="28"/>
      <c r="W185" s="101"/>
      <c r="X185" s="29"/>
      <c r="Y185" s="1"/>
      <c r="Z185" s="1"/>
      <c r="AA185" s="71">
        <v>45944</v>
      </c>
      <c r="AB185" s="104">
        <v>45965</v>
      </c>
      <c r="AC185" s="40" t="s">
        <v>527</v>
      </c>
      <c r="AD185" s="105">
        <v>0</v>
      </c>
      <c r="AE185" s="105">
        <v>0</v>
      </c>
      <c r="AF185" s="105">
        <v>0</v>
      </c>
      <c r="AG185" s="105">
        <v>0</v>
      </c>
      <c r="AH185" s="105">
        <v>0</v>
      </c>
      <c r="AI185" s="106">
        <v>0</v>
      </c>
      <c r="AJ185" s="107">
        <v>0</v>
      </c>
      <c r="AK185" s="112">
        <v>0</v>
      </c>
      <c r="AL185" s="112">
        <v>0</v>
      </c>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1"/>
      <c r="BP185" s="1"/>
    </row>
    <row r="186" spans="2:68" s="11" customFormat="1" ht="21.75" x14ac:dyDescent="0.3">
      <c r="B186" s="9"/>
      <c r="C186" s="113"/>
      <c r="D186" s="114"/>
      <c r="E186" s="109"/>
      <c r="F186" s="117"/>
      <c r="G186" s="99"/>
      <c r="H186" s="99"/>
      <c r="I186" s="99"/>
      <c r="J186" s="98"/>
      <c r="K186" s="100"/>
      <c r="L186" s="100"/>
      <c r="M186" s="100"/>
      <c r="N186" s="110"/>
      <c r="O186" s="110"/>
      <c r="P186" s="100"/>
      <c r="Q186" s="118"/>
      <c r="R186" s="98"/>
      <c r="S186" s="119"/>
      <c r="T186" s="28"/>
      <c r="U186" s="28"/>
      <c r="V186" s="28"/>
      <c r="W186" s="101"/>
      <c r="X186" s="29"/>
      <c r="Y186" s="1"/>
      <c r="Z186" s="1"/>
      <c r="AA186" s="71">
        <v>45944</v>
      </c>
      <c r="AB186" s="104">
        <v>45965</v>
      </c>
      <c r="AC186" s="40" t="s">
        <v>527</v>
      </c>
      <c r="AD186" s="105">
        <v>0</v>
      </c>
      <c r="AE186" s="105">
        <v>0</v>
      </c>
      <c r="AF186" s="105">
        <v>0</v>
      </c>
      <c r="AG186" s="105">
        <v>0</v>
      </c>
      <c r="AH186" s="105">
        <v>0</v>
      </c>
      <c r="AI186" s="106">
        <v>0</v>
      </c>
      <c r="AJ186" s="107">
        <v>0</v>
      </c>
      <c r="AK186" s="112">
        <v>0</v>
      </c>
      <c r="AL186" s="112">
        <v>0</v>
      </c>
      <c r="AM186" s="45"/>
      <c r="AN186" s="45"/>
      <c r="AO186" s="45"/>
      <c r="AP186" s="45"/>
      <c r="AQ186" s="45"/>
      <c r="AR186" s="45"/>
      <c r="AS186" s="45"/>
      <c r="AT186" s="45"/>
      <c r="AU186" s="45"/>
      <c r="AV186" s="45"/>
      <c r="AW186" s="45"/>
      <c r="AX186" s="45"/>
      <c r="AY186" s="45"/>
      <c r="AZ186" s="45"/>
      <c r="BA186" s="45"/>
      <c r="BB186" s="45"/>
      <c r="BC186" s="45"/>
      <c r="BD186" s="45"/>
      <c r="BE186" s="45"/>
      <c r="BF186" s="45"/>
      <c r="BG186" s="45"/>
      <c r="BH186" s="45"/>
      <c r="BI186" s="45"/>
      <c r="BJ186" s="45"/>
      <c r="BK186" s="45"/>
      <c r="BL186" s="45"/>
      <c r="BM186" s="45"/>
      <c r="BN186" s="45"/>
      <c r="BO186" s="1"/>
      <c r="BP186" s="1"/>
    </row>
    <row r="187" spans="2:68" s="11" customFormat="1" ht="21.75" x14ac:dyDescent="0.3">
      <c r="B187" s="9"/>
      <c r="C187" s="113"/>
      <c r="D187" s="114"/>
      <c r="E187" s="109"/>
      <c r="F187" s="117"/>
      <c r="G187" s="99"/>
      <c r="H187" s="99"/>
      <c r="I187" s="99"/>
      <c r="J187" s="98"/>
      <c r="K187" s="100"/>
      <c r="L187" s="100"/>
      <c r="M187" s="100"/>
      <c r="N187" s="110"/>
      <c r="O187" s="110"/>
      <c r="P187" s="100"/>
      <c r="Q187" s="118"/>
      <c r="R187" s="98"/>
      <c r="S187" s="119"/>
      <c r="T187" s="28"/>
      <c r="U187" s="28"/>
      <c r="V187" s="28"/>
      <c r="W187" s="101"/>
      <c r="X187" s="29"/>
      <c r="Y187" s="1"/>
      <c r="Z187" s="1"/>
      <c r="AA187" s="71">
        <v>45944</v>
      </c>
      <c r="AB187" s="104">
        <v>45965</v>
      </c>
      <c r="AC187" s="40" t="s">
        <v>544</v>
      </c>
      <c r="AD187" s="105">
        <v>0</v>
      </c>
      <c r="AE187" s="105">
        <v>0</v>
      </c>
      <c r="AF187" s="105">
        <v>0</v>
      </c>
      <c r="AG187" s="105">
        <v>0</v>
      </c>
      <c r="AH187" s="105">
        <v>0</v>
      </c>
      <c r="AI187" s="106">
        <v>0</v>
      </c>
      <c r="AJ187" s="107">
        <v>0</v>
      </c>
      <c r="AK187" s="112">
        <v>0</v>
      </c>
      <c r="AL187" s="112">
        <v>0</v>
      </c>
      <c r="AM187" s="45"/>
      <c r="AN187" s="45"/>
      <c r="AO187" s="45"/>
      <c r="AP187" s="45"/>
      <c r="AQ187" s="45"/>
      <c r="AR187" s="45"/>
      <c r="AS187" s="45"/>
      <c r="AT187" s="45"/>
      <c r="AU187" s="45"/>
      <c r="AV187" s="45"/>
      <c r="AW187" s="45"/>
      <c r="AX187" s="45"/>
      <c r="AY187" s="45"/>
      <c r="AZ187" s="45"/>
      <c r="BA187" s="45"/>
      <c r="BB187" s="45"/>
      <c r="BC187" s="45"/>
      <c r="BD187" s="45"/>
      <c r="BE187" s="45"/>
      <c r="BF187" s="45"/>
      <c r="BG187" s="45"/>
      <c r="BH187" s="45"/>
      <c r="BI187" s="45"/>
      <c r="BJ187" s="45"/>
      <c r="BK187" s="45"/>
      <c r="BL187" s="45"/>
      <c r="BM187" s="45"/>
      <c r="BN187" s="45"/>
      <c r="BO187" s="1"/>
      <c r="BP187" s="1"/>
    </row>
    <row r="188" spans="2:68" s="11" customFormat="1" ht="21.75" x14ac:dyDescent="0.3">
      <c r="B188" s="9"/>
      <c r="C188" s="113"/>
      <c r="D188" s="114"/>
      <c r="E188" s="109"/>
      <c r="F188" s="117"/>
      <c r="G188" s="99"/>
      <c r="H188" s="99"/>
      <c r="I188" s="99"/>
      <c r="J188" s="98"/>
      <c r="K188" s="100"/>
      <c r="L188" s="100"/>
      <c r="M188" s="100"/>
      <c r="N188" s="110"/>
      <c r="O188" s="110"/>
      <c r="P188" s="100"/>
      <c r="Q188" s="118"/>
      <c r="R188" s="98"/>
      <c r="S188" s="119"/>
      <c r="T188" s="28"/>
      <c r="U188" s="28"/>
      <c r="V188" s="28"/>
      <c r="W188" s="101"/>
      <c r="X188" s="29"/>
      <c r="Y188" s="1"/>
      <c r="Z188" s="1"/>
      <c r="AA188" s="71">
        <v>45944</v>
      </c>
      <c r="AB188" s="104">
        <v>45965</v>
      </c>
      <c r="AC188" s="40" t="s">
        <v>529</v>
      </c>
      <c r="AD188" s="105">
        <v>0</v>
      </c>
      <c r="AE188" s="105">
        <v>0</v>
      </c>
      <c r="AF188" s="105">
        <v>0</v>
      </c>
      <c r="AG188" s="105">
        <v>0</v>
      </c>
      <c r="AH188" s="105">
        <v>0</v>
      </c>
      <c r="AI188" s="40" t="s">
        <v>649</v>
      </c>
      <c r="AJ188" s="107">
        <v>398580</v>
      </c>
      <c r="AK188" s="112">
        <v>0</v>
      </c>
      <c r="AL188" s="112">
        <v>0</v>
      </c>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1"/>
      <c r="BP188" s="1"/>
    </row>
    <row r="189" spans="2:68" s="11" customFormat="1" ht="21.75" x14ac:dyDescent="0.3">
      <c r="B189" s="9"/>
      <c r="C189" s="113"/>
      <c r="D189" s="114"/>
      <c r="E189" s="109"/>
      <c r="F189" s="117"/>
      <c r="G189" s="99"/>
      <c r="H189" s="99"/>
      <c r="I189" s="99"/>
      <c r="J189" s="98"/>
      <c r="K189" s="100"/>
      <c r="L189" s="100"/>
      <c r="M189" s="100"/>
      <c r="N189" s="110"/>
      <c r="O189" s="110"/>
      <c r="P189" s="100"/>
      <c r="Q189" s="118"/>
      <c r="R189" s="98"/>
      <c r="S189" s="119"/>
      <c r="T189" s="28"/>
      <c r="U189" s="28"/>
      <c r="V189" s="28"/>
      <c r="W189" s="101"/>
      <c r="X189" s="29"/>
      <c r="Y189" s="1"/>
      <c r="Z189" s="1"/>
      <c r="AA189" s="71">
        <v>45944</v>
      </c>
      <c r="AB189" s="104">
        <v>45965</v>
      </c>
      <c r="AC189" s="40" t="s">
        <v>528</v>
      </c>
      <c r="AD189" s="105">
        <v>0</v>
      </c>
      <c r="AE189" s="105">
        <v>0</v>
      </c>
      <c r="AF189" s="105">
        <v>0</v>
      </c>
      <c r="AG189" s="105">
        <v>0</v>
      </c>
      <c r="AH189" s="105">
        <v>0</v>
      </c>
      <c r="AI189" s="40" t="s">
        <v>649</v>
      </c>
      <c r="AJ189" s="107">
        <v>398580</v>
      </c>
      <c r="AK189" s="112">
        <v>0</v>
      </c>
      <c r="AL189" s="112">
        <v>0</v>
      </c>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1"/>
      <c r="BP189" s="1"/>
    </row>
    <row r="190" spans="2:68" s="11" customFormat="1" ht="21.75" x14ac:dyDescent="0.3">
      <c r="B190" s="9"/>
      <c r="C190" s="113"/>
      <c r="D190" s="114"/>
      <c r="E190" s="109"/>
      <c r="F190" s="117"/>
      <c r="G190" s="99"/>
      <c r="H190" s="99"/>
      <c r="I190" s="99"/>
      <c r="J190" s="98"/>
      <c r="K190" s="100"/>
      <c r="L190" s="100"/>
      <c r="M190" s="100"/>
      <c r="N190" s="110"/>
      <c r="O190" s="110"/>
      <c r="P190" s="100"/>
      <c r="Q190" s="118"/>
      <c r="R190" s="98"/>
      <c r="S190" s="119"/>
      <c r="T190" s="28"/>
      <c r="U190" s="28"/>
      <c r="V190" s="28"/>
      <c r="W190" s="101"/>
      <c r="X190" s="29"/>
      <c r="Y190" s="1"/>
      <c r="Z190" s="1"/>
      <c r="AA190" s="71">
        <v>45950</v>
      </c>
      <c r="AB190" s="104">
        <v>45965</v>
      </c>
      <c r="AC190" s="40" t="s">
        <v>525</v>
      </c>
      <c r="AD190" s="105">
        <v>0</v>
      </c>
      <c r="AE190" s="105">
        <v>0</v>
      </c>
      <c r="AF190" s="105">
        <v>0</v>
      </c>
      <c r="AG190" s="105">
        <v>0</v>
      </c>
      <c r="AH190" s="105">
        <v>0</v>
      </c>
      <c r="AI190" s="106">
        <v>0</v>
      </c>
      <c r="AJ190" s="107">
        <v>0</v>
      </c>
      <c r="AK190" s="112">
        <v>0</v>
      </c>
      <c r="AL190" s="112">
        <v>0</v>
      </c>
      <c r="AM190" s="45"/>
      <c r="AN190" s="45"/>
      <c r="AO190" s="45"/>
      <c r="AP190" s="45"/>
      <c r="AQ190" s="45"/>
      <c r="AR190" s="45"/>
      <c r="AS190" s="45"/>
      <c r="AT190" s="45"/>
      <c r="AU190" s="45"/>
      <c r="AV190" s="45"/>
      <c r="AW190" s="45"/>
      <c r="AX190" s="45"/>
      <c r="AY190" s="45"/>
      <c r="AZ190" s="45"/>
      <c r="BA190" s="45"/>
      <c r="BB190" s="45"/>
      <c r="BC190" s="45"/>
      <c r="BD190" s="45"/>
      <c r="BE190" s="45"/>
      <c r="BF190" s="45"/>
      <c r="BG190" s="45"/>
      <c r="BH190" s="45"/>
      <c r="BI190" s="45"/>
      <c r="BJ190" s="45"/>
      <c r="BK190" s="45"/>
      <c r="BL190" s="45"/>
      <c r="BM190" s="45"/>
      <c r="BN190" s="45"/>
      <c r="BO190" s="1"/>
      <c r="BP190" s="1"/>
    </row>
    <row r="191" spans="2:68" s="11" customFormat="1" ht="21.75" x14ac:dyDescent="0.3">
      <c r="B191" s="9"/>
      <c r="C191" s="113"/>
      <c r="D191" s="114"/>
      <c r="E191" s="109"/>
      <c r="F191" s="117"/>
      <c r="G191" s="99"/>
      <c r="H191" s="99"/>
      <c r="I191" s="99"/>
      <c r="J191" s="98"/>
      <c r="K191" s="100"/>
      <c r="L191" s="100"/>
      <c r="M191" s="100"/>
      <c r="N191" s="110"/>
      <c r="O191" s="110"/>
      <c r="P191" s="100"/>
      <c r="Q191" s="118"/>
      <c r="R191" s="98"/>
      <c r="S191" s="119"/>
      <c r="T191" s="28"/>
      <c r="U191" s="28"/>
      <c r="V191" s="28"/>
      <c r="W191" s="101"/>
      <c r="X191" s="29"/>
      <c r="Y191" s="1"/>
      <c r="Z191" s="1"/>
      <c r="AA191" s="71">
        <v>45950</v>
      </c>
      <c r="AB191" s="104">
        <v>45965</v>
      </c>
      <c r="AC191" s="40" t="s">
        <v>536</v>
      </c>
      <c r="AD191" s="105">
        <v>0</v>
      </c>
      <c r="AE191" s="105">
        <v>0</v>
      </c>
      <c r="AF191" s="105">
        <v>0</v>
      </c>
      <c r="AG191" s="105">
        <v>0</v>
      </c>
      <c r="AH191" s="105">
        <v>0</v>
      </c>
      <c r="AI191" s="106">
        <v>0</v>
      </c>
      <c r="AJ191" s="107">
        <v>0</v>
      </c>
      <c r="AK191" s="112">
        <v>0</v>
      </c>
      <c r="AL191" s="112">
        <v>0</v>
      </c>
      <c r="AM191" s="45"/>
      <c r="AN191" s="45"/>
      <c r="AO191" s="45"/>
      <c r="AP191" s="45"/>
      <c r="AQ191" s="45"/>
      <c r="AR191" s="45"/>
      <c r="AS191" s="45"/>
      <c r="AT191" s="45"/>
      <c r="AU191" s="45"/>
      <c r="AV191" s="45"/>
      <c r="AW191" s="45"/>
      <c r="AX191" s="45"/>
      <c r="AY191" s="45"/>
      <c r="AZ191" s="45"/>
      <c r="BA191" s="45"/>
      <c r="BB191" s="45"/>
      <c r="BC191" s="45"/>
      <c r="BD191" s="45"/>
      <c r="BE191" s="45"/>
      <c r="BF191" s="45"/>
      <c r="BG191" s="45"/>
      <c r="BH191" s="45"/>
      <c r="BI191" s="45"/>
      <c r="BJ191" s="45"/>
      <c r="BK191" s="45"/>
      <c r="BL191" s="45"/>
      <c r="BM191" s="45"/>
      <c r="BN191" s="45"/>
      <c r="BO191" s="1"/>
      <c r="BP191" s="1"/>
    </row>
    <row r="192" spans="2:68" s="11" customFormat="1" ht="21.75" x14ac:dyDescent="0.3">
      <c r="B192" s="9"/>
      <c r="C192" s="113"/>
      <c r="D192" s="114"/>
      <c r="E192" s="109"/>
      <c r="F192" s="117"/>
      <c r="G192" s="99"/>
      <c r="H192" s="99"/>
      <c r="I192" s="99"/>
      <c r="J192" s="98"/>
      <c r="K192" s="100"/>
      <c r="L192" s="100"/>
      <c r="M192" s="100"/>
      <c r="N192" s="110"/>
      <c r="O192" s="110"/>
      <c r="P192" s="100"/>
      <c r="Q192" s="118"/>
      <c r="R192" s="98"/>
      <c r="S192" s="119"/>
      <c r="T192" s="28"/>
      <c r="U192" s="28"/>
      <c r="V192" s="28"/>
      <c r="W192" s="101"/>
      <c r="X192" s="29"/>
      <c r="Y192" s="1"/>
      <c r="Z192" s="1"/>
      <c r="AA192" s="71">
        <v>45950</v>
      </c>
      <c r="AB192" s="104">
        <v>45965</v>
      </c>
      <c r="AC192" s="40" t="s">
        <v>538</v>
      </c>
      <c r="AD192" s="105">
        <v>0</v>
      </c>
      <c r="AE192" s="105">
        <v>0</v>
      </c>
      <c r="AF192" s="105">
        <v>0</v>
      </c>
      <c r="AG192" s="105">
        <v>0</v>
      </c>
      <c r="AH192" s="105">
        <v>0</v>
      </c>
      <c r="AI192" s="106">
        <v>0</v>
      </c>
      <c r="AJ192" s="107">
        <v>0</v>
      </c>
      <c r="AK192" s="112">
        <v>0</v>
      </c>
      <c r="AL192" s="112">
        <v>0</v>
      </c>
      <c r="AM192" s="45"/>
      <c r="AN192" s="45"/>
      <c r="AO192" s="45"/>
      <c r="AP192" s="45"/>
      <c r="AQ192" s="45"/>
      <c r="AR192" s="45"/>
      <c r="AS192" s="45"/>
      <c r="AT192" s="45"/>
      <c r="AU192" s="45"/>
      <c r="AV192" s="45"/>
      <c r="AW192" s="45"/>
      <c r="AX192" s="45"/>
      <c r="AY192" s="45"/>
      <c r="AZ192" s="45"/>
      <c r="BA192" s="45"/>
      <c r="BB192" s="45"/>
      <c r="BC192" s="45"/>
      <c r="BD192" s="45"/>
      <c r="BE192" s="45"/>
      <c r="BF192" s="45"/>
      <c r="BG192" s="45"/>
      <c r="BH192" s="45"/>
      <c r="BI192" s="45"/>
      <c r="BJ192" s="45"/>
      <c r="BK192" s="45"/>
      <c r="BL192" s="45"/>
      <c r="BM192" s="45"/>
      <c r="BN192" s="45"/>
      <c r="BO192" s="1"/>
      <c r="BP192" s="1"/>
    </row>
    <row r="193" spans="2:68" s="11" customFormat="1" ht="21.75" x14ac:dyDescent="0.3">
      <c r="B193" s="9"/>
      <c r="C193" s="113"/>
      <c r="D193" s="114"/>
      <c r="E193" s="109"/>
      <c r="F193" s="117"/>
      <c r="G193" s="99"/>
      <c r="H193" s="99"/>
      <c r="I193" s="99"/>
      <c r="J193" s="98"/>
      <c r="K193" s="100"/>
      <c r="L193" s="100"/>
      <c r="M193" s="100"/>
      <c r="N193" s="110"/>
      <c r="O193" s="110"/>
      <c r="P193" s="100"/>
      <c r="Q193" s="118"/>
      <c r="R193" s="98"/>
      <c r="S193" s="119"/>
      <c r="T193" s="28"/>
      <c r="U193" s="28"/>
      <c r="V193" s="28"/>
      <c r="W193" s="101"/>
      <c r="X193" s="29"/>
      <c r="Y193" s="1"/>
      <c r="Z193" s="1"/>
      <c r="AA193" s="71">
        <v>45950</v>
      </c>
      <c r="AB193" s="104">
        <v>45965</v>
      </c>
      <c r="AC193" s="40" t="s">
        <v>537</v>
      </c>
      <c r="AD193" s="105">
        <v>0</v>
      </c>
      <c r="AE193" s="105">
        <v>0</v>
      </c>
      <c r="AF193" s="105">
        <v>0</v>
      </c>
      <c r="AG193" s="105">
        <v>0</v>
      </c>
      <c r="AH193" s="105">
        <v>0</v>
      </c>
      <c r="AI193" s="106">
        <v>0</v>
      </c>
      <c r="AJ193" s="107">
        <v>0</v>
      </c>
      <c r="AK193" s="112">
        <v>0</v>
      </c>
      <c r="AL193" s="112">
        <v>0</v>
      </c>
      <c r="AM193" s="45"/>
      <c r="AN193" s="45"/>
      <c r="AO193" s="45"/>
      <c r="AP193" s="45"/>
      <c r="AQ193" s="45"/>
      <c r="AR193" s="45"/>
      <c r="AS193" s="45"/>
      <c r="AT193" s="45"/>
      <c r="AU193" s="45"/>
      <c r="AV193" s="45"/>
      <c r="AW193" s="45"/>
      <c r="AX193" s="45"/>
      <c r="AY193" s="45"/>
      <c r="AZ193" s="45"/>
      <c r="BA193" s="45"/>
      <c r="BB193" s="45"/>
      <c r="BC193" s="45"/>
      <c r="BD193" s="45"/>
      <c r="BE193" s="45"/>
      <c r="BF193" s="45"/>
      <c r="BG193" s="45"/>
      <c r="BH193" s="45"/>
      <c r="BI193" s="45"/>
      <c r="BJ193" s="45"/>
      <c r="BK193" s="45"/>
      <c r="BL193" s="45"/>
      <c r="BM193" s="45"/>
      <c r="BN193" s="45"/>
      <c r="BO193" s="1"/>
      <c r="BP193" s="1"/>
    </row>
    <row r="194" spans="2:68" s="11" customFormat="1" ht="21.75" x14ac:dyDescent="0.3">
      <c r="B194" s="9"/>
      <c r="C194" s="113"/>
      <c r="D194" s="114"/>
      <c r="E194" s="109"/>
      <c r="F194" s="117"/>
      <c r="G194" s="99"/>
      <c r="H194" s="99"/>
      <c r="I194" s="99"/>
      <c r="J194" s="98"/>
      <c r="K194" s="100"/>
      <c r="L194" s="100"/>
      <c r="M194" s="100"/>
      <c r="N194" s="110"/>
      <c r="O194" s="110"/>
      <c r="P194" s="100"/>
      <c r="Q194" s="118"/>
      <c r="R194" s="98"/>
      <c r="S194" s="119"/>
      <c r="T194" s="28"/>
      <c r="U194" s="28"/>
      <c r="V194" s="28"/>
      <c r="W194" s="101"/>
      <c r="X194" s="29"/>
      <c r="Y194" s="1"/>
      <c r="Z194" s="1"/>
      <c r="AA194" s="71">
        <v>45950</v>
      </c>
      <c r="AB194" s="104">
        <v>45965</v>
      </c>
      <c r="AC194" s="40" t="s">
        <v>538</v>
      </c>
      <c r="AD194" s="105">
        <v>0</v>
      </c>
      <c r="AE194" s="105">
        <v>0</v>
      </c>
      <c r="AF194" s="105">
        <v>0</v>
      </c>
      <c r="AG194" s="105">
        <v>0</v>
      </c>
      <c r="AH194" s="105">
        <v>0</v>
      </c>
      <c r="AI194" s="106">
        <v>0</v>
      </c>
      <c r="AJ194" s="107">
        <v>0</v>
      </c>
      <c r="AK194" s="112">
        <v>0</v>
      </c>
      <c r="AL194" s="112">
        <v>0</v>
      </c>
      <c r="AM194" s="45"/>
      <c r="AN194" s="45"/>
      <c r="AO194" s="45"/>
      <c r="AP194" s="45"/>
      <c r="AQ194" s="45"/>
      <c r="AR194" s="45"/>
      <c r="AS194" s="45"/>
      <c r="AT194" s="45"/>
      <c r="AU194" s="45"/>
      <c r="AV194" s="45"/>
      <c r="AW194" s="45"/>
      <c r="AX194" s="45"/>
      <c r="AY194" s="45"/>
      <c r="AZ194" s="45"/>
      <c r="BA194" s="45"/>
      <c r="BB194" s="45"/>
      <c r="BC194" s="45"/>
      <c r="BD194" s="45"/>
      <c r="BE194" s="45"/>
      <c r="BF194" s="45"/>
      <c r="BG194" s="45"/>
      <c r="BH194" s="45"/>
      <c r="BI194" s="45"/>
      <c r="BJ194" s="45"/>
      <c r="BK194" s="45"/>
      <c r="BL194" s="45"/>
      <c r="BM194" s="45"/>
      <c r="BN194" s="45"/>
      <c r="BO194" s="1"/>
      <c r="BP194" s="1"/>
    </row>
    <row r="195" spans="2:68" s="11" customFormat="1" ht="21.75" x14ac:dyDescent="0.3">
      <c r="B195" s="9"/>
      <c r="C195" s="113"/>
      <c r="D195" s="114"/>
      <c r="E195" s="109"/>
      <c r="F195" s="117"/>
      <c r="G195" s="99"/>
      <c r="H195" s="99"/>
      <c r="I195" s="99"/>
      <c r="J195" s="98"/>
      <c r="K195" s="100"/>
      <c r="L195" s="100"/>
      <c r="M195" s="100"/>
      <c r="N195" s="110"/>
      <c r="O195" s="110"/>
      <c r="P195" s="100"/>
      <c r="Q195" s="118"/>
      <c r="R195" s="98"/>
      <c r="S195" s="119"/>
      <c r="T195" s="28"/>
      <c r="U195" s="28"/>
      <c r="V195" s="28"/>
      <c r="W195" s="101"/>
      <c r="X195" s="29"/>
      <c r="Y195" s="1"/>
      <c r="Z195" s="1"/>
      <c r="AA195" s="71">
        <v>45951</v>
      </c>
      <c r="AB195" s="104">
        <v>45965</v>
      </c>
      <c r="AC195" s="40" t="s">
        <v>539</v>
      </c>
      <c r="AD195" s="105">
        <v>0</v>
      </c>
      <c r="AE195" s="105">
        <v>0</v>
      </c>
      <c r="AF195" s="105">
        <v>0</v>
      </c>
      <c r="AG195" s="105">
        <v>0</v>
      </c>
      <c r="AH195" s="105">
        <v>0</v>
      </c>
      <c r="AI195" s="106">
        <v>0</v>
      </c>
      <c r="AJ195" s="107">
        <v>0</v>
      </c>
      <c r="AK195" s="112">
        <v>0</v>
      </c>
      <c r="AL195" s="112">
        <v>0</v>
      </c>
      <c r="AM195" s="45"/>
      <c r="AN195" s="45"/>
      <c r="AO195" s="45"/>
      <c r="AP195" s="45"/>
      <c r="AQ195" s="45"/>
      <c r="AR195" s="45"/>
      <c r="AS195" s="45"/>
      <c r="AT195" s="45"/>
      <c r="AU195" s="45"/>
      <c r="AV195" s="45"/>
      <c r="AW195" s="45"/>
      <c r="AX195" s="45"/>
      <c r="AY195" s="45"/>
      <c r="AZ195" s="45"/>
      <c r="BA195" s="45"/>
      <c r="BB195" s="45"/>
      <c r="BC195" s="45"/>
      <c r="BD195" s="45"/>
      <c r="BE195" s="45"/>
      <c r="BF195" s="45"/>
      <c r="BG195" s="45"/>
      <c r="BH195" s="45"/>
      <c r="BI195" s="45"/>
      <c r="BJ195" s="45"/>
      <c r="BK195" s="45"/>
      <c r="BL195" s="45"/>
      <c r="BM195" s="45"/>
      <c r="BN195" s="45"/>
      <c r="BO195" s="1"/>
      <c r="BP195" s="1"/>
    </row>
    <row r="196" spans="2:68" s="11" customFormat="1" ht="21.75" x14ac:dyDescent="0.3">
      <c r="B196" s="9"/>
      <c r="C196" s="113"/>
      <c r="D196" s="114"/>
      <c r="E196" s="109"/>
      <c r="F196" s="117"/>
      <c r="G196" s="99"/>
      <c r="H196" s="99"/>
      <c r="I196" s="99"/>
      <c r="J196" s="98"/>
      <c r="K196" s="100"/>
      <c r="L196" s="100"/>
      <c r="M196" s="100"/>
      <c r="N196" s="110"/>
      <c r="O196" s="110"/>
      <c r="P196" s="100"/>
      <c r="Q196" s="118"/>
      <c r="R196" s="98"/>
      <c r="S196" s="119"/>
      <c r="T196" s="28"/>
      <c r="U196" s="28"/>
      <c r="V196" s="28"/>
      <c r="W196" s="101"/>
      <c r="X196" s="29"/>
      <c r="Y196" s="1"/>
      <c r="Z196" s="1"/>
      <c r="AA196" s="71">
        <v>45951</v>
      </c>
      <c r="AB196" s="104">
        <v>45965</v>
      </c>
      <c r="AC196" s="40" t="s">
        <v>539</v>
      </c>
      <c r="AD196" s="105">
        <v>0</v>
      </c>
      <c r="AE196" s="105">
        <v>0</v>
      </c>
      <c r="AF196" s="105">
        <v>0</v>
      </c>
      <c r="AG196" s="105">
        <v>0</v>
      </c>
      <c r="AH196" s="105">
        <v>0</v>
      </c>
      <c r="AI196" s="106">
        <v>0</v>
      </c>
      <c r="AJ196" s="107">
        <v>0</v>
      </c>
      <c r="AK196" s="112">
        <v>0</v>
      </c>
      <c r="AL196" s="112">
        <v>0</v>
      </c>
      <c r="AM196" s="45"/>
      <c r="AN196" s="45"/>
      <c r="AO196" s="45"/>
      <c r="AP196" s="45"/>
      <c r="AQ196" s="45"/>
      <c r="AR196" s="45"/>
      <c r="AS196" s="45"/>
      <c r="AT196" s="45"/>
      <c r="AU196" s="45"/>
      <c r="AV196" s="45"/>
      <c r="AW196" s="45"/>
      <c r="AX196" s="45"/>
      <c r="AY196" s="45"/>
      <c r="AZ196" s="45"/>
      <c r="BA196" s="45"/>
      <c r="BB196" s="45"/>
      <c r="BC196" s="45"/>
      <c r="BD196" s="45"/>
      <c r="BE196" s="45"/>
      <c r="BF196" s="45"/>
      <c r="BG196" s="45"/>
      <c r="BH196" s="45"/>
      <c r="BI196" s="45"/>
      <c r="BJ196" s="45"/>
      <c r="BK196" s="45"/>
      <c r="BL196" s="45"/>
      <c r="BM196" s="45"/>
      <c r="BN196" s="45"/>
      <c r="BO196" s="1"/>
      <c r="BP196" s="1"/>
    </row>
    <row r="197" spans="2:68" s="11" customFormat="1" ht="21.75" x14ac:dyDescent="0.3">
      <c r="B197" s="9"/>
      <c r="C197" s="113"/>
      <c r="D197" s="114"/>
      <c r="E197" s="109"/>
      <c r="F197" s="117"/>
      <c r="G197" s="99"/>
      <c r="H197" s="99"/>
      <c r="I197" s="99"/>
      <c r="J197" s="98"/>
      <c r="K197" s="100"/>
      <c r="L197" s="100"/>
      <c r="M197" s="100"/>
      <c r="N197" s="110"/>
      <c r="O197" s="110"/>
      <c r="P197" s="100"/>
      <c r="Q197" s="118"/>
      <c r="R197" s="98"/>
      <c r="S197" s="119"/>
      <c r="T197" s="28"/>
      <c r="U197" s="28"/>
      <c r="V197" s="28"/>
      <c r="W197" s="101"/>
      <c r="X197" s="29"/>
      <c r="Y197" s="1"/>
      <c r="Z197" s="1"/>
      <c r="AA197" s="71">
        <v>45951</v>
      </c>
      <c r="AB197" s="104">
        <v>45965</v>
      </c>
      <c r="AC197" s="40" t="s">
        <v>540</v>
      </c>
      <c r="AD197" s="105">
        <v>0</v>
      </c>
      <c r="AE197" s="105">
        <v>0</v>
      </c>
      <c r="AF197" s="105">
        <v>0</v>
      </c>
      <c r="AG197" s="105">
        <v>0</v>
      </c>
      <c r="AH197" s="105">
        <v>0</v>
      </c>
      <c r="AI197" s="106">
        <v>0</v>
      </c>
      <c r="AJ197" s="107">
        <v>0</v>
      </c>
      <c r="AK197" s="112">
        <v>0</v>
      </c>
      <c r="AL197" s="112">
        <v>0</v>
      </c>
      <c r="AM197" s="45"/>
      <c r="AN197" s="45"/>
      <c r="AO197" s="45"/>
      <c r="AP197" s="45"/>
      <c r="AQ197" s="45"/>
      <c r="AR197" s="45"/>
      <c r="AS197" s="45"/>
      <c r="AT197" s="45"/>
      <c r="AU197" s="45"/>
      <c r="AV197" s="45"/>
      <c r="AW197" s="45"/>
      <c r="AX197" s="45"/>
      <c r="AY197" s="45"/>
      <c r="AZ197" s="45"/>
      <c r="BA197" s="45"/>
      <c r="BB197" s="45"/>
      <c r="BC197" s="45"/>
      <c r="BD197" s="45"/>
      <c r="BE197" s="45"/>
      <c r="BF197" s="45"/>
      <c r="BG197" s="45"/>
      <c r="BH197" s="45"/>
      <c r="BI197" s="45"/>
      <c r="BJ197" s="45"/>
      <c r="BK197" s="45"/>
      <c r="BL197" s="45"/>
      <c r="BM197" s="45"/>
      <c r="BN197" s="45"/>
      <c r="BO197" s="1"/>
      <c r="BP197" s="1"/>
    </row>
    <row r="198" spans="2:68" s="11" customFormat="1" ht="21.75" x14ac:dyDescent="0.3">
      <c r="B198" s="9"/>
      <c r="C198" s="113"/>
      <c r="D198" s="114"/>
      <c r="E198" s="120"/>
      <c r="F198" s="117"/>
      <c r="G198" s="99"/>
      <c r="H198" s="99"/>
      <c r="I198" s="99"/>
      <c r="J198" s="98"/>
      <c r="K198" s="100"/>
      <c r="L198" s="100"/>
      <c r="M198" s="100"/>
      <c r="N198" s="110"/>
      <c r="O198" s="110"/>
      <c r="P198" s="100"/>
      <c r="Q198" s="118"/>
      <c r="R198" s="98"/>
      <c r="S198" s="119"/>
      <c r="T198" s="28"/>
      <c r="U198" s="28"/>
      <c r="V198" s="28"/>
      <c r="W198" s="101"/>
      <c r="X198" s="29"/>
      <c r="Y198" s="1"/>
      <c r="Z198" s="1"/>
      <c r="AA198" s="71">
        <v>45951</v>
      </c>
      <c r="AB198" s="104">
        <v>45965</v>
      </c>
      <c r="AC198" s="40" t="s">
        <v>541</v>
      </c>
      <c r="AD198" s="105">
        <v>0</v>
      </c>
      <c r="AE198" s="105">
        <v>0</v>
      </c>
      <c r="AF198" s="105">
        <v>0</v>
      </c>
      <c r="AG198" s="105">
        <v>0</v>
      </c>
      <c r="AH198" s="105">
        <v>0</v>
      </c>
      <c r="AI198" s="106">
        <v>0</v>
      </c>
      <c r="AJ198" s="107">
        <v>0</v>
      </c>
      <c r="AK198" s="112">
        <v>0</v>
      </c>
      <c r="AL198" s="112">
        <v>0</v>
      </c>
      <c r="AM198" s="45"/>
      <c r="AN198" s="45"/>
      <c r="AO198" s="45"/>
      <c r="AP198" s="45"/>
      <c r="AQ198" s="45"/>
      <c r="AR198" s="45"/>
      <c r="AS198" s="45"/>
      <c r="AT198" s="45"/>
      <c r="AU198" s="45"/>
      <c r="AV198" s="45"/>
      <c r="AW198" s="45"/>
      <c r="AX198" s="45"/>
      <c r="AY198" s="45"/>
      <c r="AZ198" s="45"/>
      <c r="BA198" s="45"/>
      <c r="BB198" s="45"/>
      <c r="BC198" s="45"/>
      <c r="BD198" s="45"/>
      <c r="BE198" s="45"/>
      <c r="BF198" s="45"/>
      <c r="BG198" s="45"/>
      <c r="BH198" s="45"/>
      <c r="BI198" s="45"/>
      <c r="BJ198" s="45"/>
      <c r="BK198" s="45"/>
      <c r="BL198" s="45"/>
      <c r="BM198" s="45"/>
      <c r="BN198" s="45"/>
      <c r="BO198" s="1"/>
      <c r="BP198" s="1"/>
    </row>
    <row r="199" spans="2:68" s="11" customFormat="1" ht="21.75" x14ac:dyDescent="0.3">
      <c r="B199" s="9"/>
      <c r="C199" s="113"/>
      <c r="D199" s="114"/>
      <c r="E199" s="109"/>
      <c r="F199" s="117"/>
      <c r="G199" s="99"/>
      <c r="H199" s="99"/>
      <c r="I199" s="99"/>
      <c r="J199" s="98"/>
      <c r="K199" s="100"/>
      <c r="L199" s="100"/>
      <c r="M199" s="100"/>
      <c r="N199" s="110"/>
      <c r="O199" s="110"/>
      <c r="P199" s="100"/>
      <c r="Q199" s="118"/>
      <c r="R199" s="98"/>
      <c r="S199" s="119"/>
      <c r="T199" s="28"/>
      <c r="U199" s="28"/>
      <c r="V199" s="28"/>
      <c r="W199" s="101"/>
      <c r="X199" s="29"/>
      <c r="Y199" s="1"/>
      <c r="Z199" s="1"/>
      <c r="AA199" s="71">
        <v>45951</v>
      </c>
      <c r="AB199" s="104">
        <v>45965</v>
      </c>
      <c r="AC199" s="40" t="s">
        <v>542</v>
      </c>
      <c r="AD199" s="105">
        <v>0</v>
      </c>
      <c r="AE199" s="105">
        <v>0</v>
      </c>
      <c r="AF199" s="105">
        <v>0</v>
      </c>
      <c r="AG199" s="105">
        <v>0</v>
      </c>
      <c r="AH199" s="105">
        <v>0</v>
      </c>
      <c r="AI199" s="106">
        <v>0</v>
      </c>
      <c r="AJ199" s="107">
        <v>0</v>
      </c>
      <c r="AK199" s="112">
        <v>0</v>
      </c>
      <c r="AL199" s="112">
        <v>0</v>
      </c>
      <c r="AM199" s="45"/>
      <c r="AN199" s="45"/>
      <c r="AO199" s="45"/>
      <c r="AP199" s="45"/>
      <c r="AQ199" s="45"/>
      <c r="AR199" s="45"/>
      <c r="AS199" s="45"/>
      <c r="AT199" s="45"/>
      <c r="AU199" s="45"/>
      <c r="AV199" s="45"/>
      <c r="AW199" s="45"/>
      <c r="AX199" s="45"/>
      <c r="AY199" s="45"/>
      <c r="AZ199" s="45"/>
      <c r="BA199" s="45"/>
      <c r="BB199" s="45"/>
      <c r="BC199" s="45"/>
      <c r="BD199" s="45"/>
      <c r="BE199" s="45"/>
      <c r="BF199" s="45"/>
      <c r="BG199" s="45"/>
      <c r="BH199" s="45"/>
      <c r="BI199" s="45"/>
      <c r="BJ199" s="45"/>
      <c r="BK199" s="45"/>
      <c r="BL199" s="45"/>
      <c r="BM199" s="45"/>
      <c r="BN199" s="45"/>
      <c r="BO199" s="1"/>
      <c r="BP199" s="1"/>
    </row>
    <row r="200" spans="2:68" s="11" customFormat="1" ht="21.75" x14ac:dyDescent="0.3">
      <c r="B200" s="9"/>
      <c r="C200" s="113"/>
      <c r="D200" s="114"/>
      <c r="E200" s="109"/>
      <c r="F200" s="117"/>
      <c r="G200" s="99"/>
      <c r="H200" s="99"/>
      <c r="I200" s="99"/>
      <c r="J200" s="98"/>
      <c r="K200" s="100"/>
      <c r="L200" s="100"/>
      <c r="M200" s="100"/>
      <c r="N200" s="110"/>
      <c r="O200" s="110"/>
      <c r="P200" s="100"/>
      <c r="Q200" s="118"/>
      <c r="R200" s="98"/>
      <c r="S200" s="119"/>
      <c r="T200" s="28"/>
      <c r="U200" s="28"/>
      <c r="V200" s="28"/>
      <c r="W200" s="101"/>
      <c r="X200" s="29"/>
      <c r="Y200" s="1"/>
      <c r="Z200" s="1"/>
      <c r="AA200" s="71">
        <v>45951</v>
      </c>
      <c r="AB200" s="104">
        <v>45965</v>
      </c>
      <c r="AC200" s="40" t="s">
        <v>540</v>
      </c>
      <c r="AD200" s="105">
        <v>0</v>
      </c>
      <c r="AE200" s="105">
        <v>0</v>
      </c>
      <c r="AF200" s="105">
        <v>0</v>
      </c>
      <c r="AG200" s="105">
        <v>0</v>
      </c>
      <c r="AH200" s="105">
        <v>0</v>
      </c>
      <c r="AI200" s="106">
        <v>0</v>
      </c>
      <c r="AJ200" s="107">
        <v>0</v>
      </c>
      <c r="AK200" s="112">
        <v>0</v>
      </c>
      <c r="AL200" s="112">
        <v>0</v>
      </c>
      <c r="AM200" s="45"/>
      <c r="AN200" s="45"/>
      <c r="AO200" s="45"/>
      <c r="AP200" s="45"/>
      <c r="AQ200" s="45"/>
      <c r="AR200" s="45"/>
      <c r="AS200" s="45"/>
      <c r="AT200" s="45"/>
      <c r="AU200" s="45"/>
      <c r="AV200" s="45"/>
      <c r="AW200" s="45"/>
      <c r="AX200" s="45"/>
      <c r="AY200" s="45"/>
      <c r="AZ200" s="45"/>
      <c r="BA200" s="45"/>
      <c r="BB200" s="45"/>
      <c r="BC200" s="45"/>
      <c r="BD200" s="45"/>
      <c r="BE200" s="45"/>
      <c r="BF200" s="45"/>
      <c r="BG200" s="45"/>
      <c r="BH200" s="45"/>
      <c r="BI200" s="45"/>
      <c r="BJ200" s="45"/>
      <c r="BK200" s="45"/>
      <c r="BL200" s="45"/>
      <c r="BM200" s="45"/>
      <c r="BN200" s="45"/>
      <c r="BO200" s="1"/>
      <c r="BP200" s="1"/>
    </row>
    <row r="201" spans="2:68" s="11" customFormat="1" ht="21.75" x14ac:dyDescent="0.3">
      <c r="B201" s="9"/>
      <c r="C201" s="113"/>
      <c r="D201" s="114"/>
      <c r="E201" s="115"/>
      <c r="F201" s="117"/>
      <c r="G201" s="99"/>
      <c r="H201" s="99"/>
      <c r="I201" s="99"/>
      <c r="J201" s="98"/>
      <c r="K201" s="100"/>
      <c r="L201" s="100"/>
      <c r="M201" s="100"/>
      <c r="N201" s="110"/>
      <c r="O201" s="110"/>
      <c r="P201" s="100"/>
      <c r="Q201" s="118"/>
      <c r="R201" s="98"/>
      <c r="S201" s="119"/>
      <c r="T201" s="28"/>
      <c r="U201" s="28"/>
      <c r="V201" s="28"/>
      <c r="W201" s="101"/>
      <c r="X201" s="29"/>
      <c r="Y201" s="1"/>
      <c r="Z201" s="1"/>
      <c r="AA201" s="71">
        <v>45951</v>
      </c>
      <c r="AB201" s="104">
        <v>45965</v>
      </c>
      <c r="AC201" s="40" t="s">
        <v>543</v>
      </c>
      <c r="AD201" s="105">
        <v>0</v>
      </c>
      <c r="AE201" s="105">
        <v>0</v>
      </c>
      <c r="AF201" s="105">
        <v>0</v>
      </c>
      <c r="AG201" s="105">
        <v>0</v>
      </c>
      <c r="AH201" s="105">
        <v>0</v>
      </c>
      <c r="AI201" s="106">
        <v>0</v>
      </c>
      <c r="AJ201" s="107">
        <v>0</v>
      </c>
      <c r="AK201" s="112">
        <v>0</v>
      </c>
      <c r="AL201" s="112">
        <v>0</v>
      </c>
      <c r="AM201" s="45"/>
      <c r="AN201" s="45"/>
      <c r="AO201" s="45"/>
      <c r="AP201" s="45"/>
      <c r="AQ201" s="45"/>
      <c r="AR201" s="45"/>
      <c r="AS201" s="45"/>
      <c r="AT201" s="45"/>
      <c r="AU201" s="45"/>
      <c r="AV201" s="45"/>
      <c r="AW201" s="45"/>
      <c r="AX201" s="45"/>
      <c r="AY201" s="45"/>
      <c r="AZ201" s="45"/>
      <c r="BA201" s="45"/>
      <c r="BB201" s="45"/>
      <c r="BC201" s="45"/>
      <c r="BD201" s="45"/>
      <c r="BE201" s="45"/>
      <c r="BF201" s="45"/>
      <c r="BG201" s="45"/>
      <c r="BH201" s="45"/>
      <c r="BI201" s="45"/>
      <c r="BJ201" s="45"/>
      <c r="BK201" s="45"/>
      <c r="BL201" s="45"/>
      <c r="BM201" s="45"/>
      <c r="BN201" s="45"/>
      <c r="BO201" s="1"/>
      <c r="BP201" s="1"/>
    </row>
    <row r="202" spans="2:68" s="11" customFormat="1" ht="21.75" x14ac:dyDescent="0.3">
      <c r="B202" s="9"/>
      <c r="C202" s="113"/>
      <c r="D202" s="114"/>
      <c r="E202" s="115"/>
      <c r="F202" s="117"/>
      <c r="G202" s="99"/>
      <c r="H202" s="99"/>
      <c r="I202" s="99"/>
      <c r="J202" s="98"/>
      <c r="K202" s="100"/>
      <c r="L202" s="100"/>
      <c r="M202" s="100"/>
      <c r="N202" s="110"/>
      <c r="O202" s="110"/>
      <c r="P202" s="100"/>
      <c r="Q202" s="118"/>
      <c r="R202" s="98"/>
      <c r="S202" s="119"/>
      <c r="T202" s="28"/>
      <c r="U202" s="28"/>
      <c r="V202" s="28"/>
      <c r="W202" s="101"/>
      <c r="X202" s="29"/>
      <c r="Y202" s="1"/>
      <c r="Z202" s="1"/>
      <c r="AA202" s="71">
        <v>45968</v>
      </c>
      <c r="AB202" s="104">
        <v>45979</v>
      </c>
      <c r="AC202" s="40" t="s">
        <v>601</v>
      </c>
      <c r="AD202" s="105">
        <v>0</v>
      </c>
      <c r="AE202" s="105">
        <v>0</v>
      </c>
      <c r="AF202" s="105">
        <v>0</v>
      </c>
      <c r="AG202" s="105">
        <v>0</v>
      </c>
      <c r="AH202" s="105">
        <v>0</v>
      </c>
      <c r="AI202" s="106">
        <v>0</v>
      </c>
      <c r="AJ202" s="107">
        <v>0</v>
      </c>
      <c r="AK202" s="112">
        <v>0</v>
      </c>
      <c r="AL202" s="112">
        <v>0</v>
      </c>
      <c r="AM202" s="45"/>
      <c r="AN202" s="45"/>
      <c r="AO202" s="45"/>
      <c r="AP202" s="45"/>
      <c r="AQ202" s="45"/>
      <c r="AR202" s="45"/>
      <c r="AS202" s="45"/>
      <c r="AT202" s="45"/>
      <c r="AU202" s="45"/>
      <c r="AV202" s="45"/>
      <c r="AW202" s="45"/>
      <c r="AX202" s="45"/>
      <c r="AY202" s="45"/>
      <c r="AZ202" s="45"/>
      <c r="BA202" s="45"/>
      <c r="BB202" s="45"/>
      <c r="BC202" s="45"/>
      <c r="BD202" s="45"/>
      <c r="BE202" s="45"/>
      <c r="BF202" s="45"/>
      <c r="BG202" s="45"/>
      <c r="BH202" s="45"/>
      <c r="BI202" s="45"/>
      <c r="BJ202" s="45"/>
      <c r="BK202" s="45"/>
      <c r="BL202" s="45"/>
      <c r="BM202" s="45"/>
      <c r="BN202" s="45"/>
      <c r="BO202" s="1"/>
      <c r="BP202" s="1"/>
    </row>
    <row r="203" spans="2:68" s="11" customFormat="1" ht="21.75" x14ac:dyDescent="0.3">
      <c r="B203" s="9"/>
      <c r="C203" s="113"/>
      <c r="D203" s="114"/>
      <c r="E203" s="115"/>
      <c r="F203" s="117"/>
      <c r="G203" s="99"/>
      <c r="H203" s="99"/>
      <c r="I203" s="99"/>
      <c r="J203" s="98"/>
      <c r="K203" s="100"/>
      <c r="L203" s="100"/>
      <c r="M203" s="100"/>
      <c r="N203" s="110"/>
      <c r="O203" s="110"/>
      <c r="P203" s="100"/>
      <c r="Q203" s="118"/>
      <c r="R203" s="98"/>
      <c r="S203" s="119"/>
      <c r="T203" s="28"/>
      <c r="U203" s="28"/>
      <c r="V203" s="28"/>
      <c r="W203" s="101"/>
      <c r="X203" s="29"/>
      <c r="Y203" s="1"/>
      <c r="Z203" s="1"/>
      <c r="AA203" s="71">
        <v>45951</v>
      </c>
      <c r="AB203" s="104">
        <v>45967</v>
      </c>
      <c r="AC203" s="40" t="s">
        <v>554</v>
      </c>
      <c r="AD203" s="105">
        <v>0</v>
      </c>
      <c r="AE203" s="105">
        <v>0</v>
      </c>
      <c r="AF203" s="105">
        <v>0</v>
      </c>
      <c r="AG203" s="105">
        <v>0</v>
      </c>
      <c r="AH203" s="105">
        <v>0</v>
      </c>
      <c r="AI203" s="106">
        <v>0</v>
      </c>
      <c r="AJ203" s="107">
        <v>0</v>
      </c>
      <c r="AK203" s="112">
        <v>0</v>
      </c>
      <c r="AL203" s="112">
        <v>0</v>
      </c>
      <c r="AM203" s="45"/>
      <c r="AN203" s="45"/>
      <c r="AO203" s="45"/>
      <c r="AP203" s="45"/>
      <c r="AQ203" s="45"/>
      <c r="AR203" s="45"/>
      <c r="AS203" s="45"/>
      <c r="AT203" s="45"/>
      <c r="AU203" s="45"/>
      <c r="AV203" s="45"/>
      <c r="AW203" s="45"/>
      <c r="AX203" s="45"/>
      <c r="AY203" s="45"/>
      <c r="AZ203" s="45"/>
      <c r="BA203" s="45"/>
      <c r="BB203" s="45"/>
      <c r="BC203" s="45"/>
      <c r="BD203" s="45"/>
      <c r="BE203" s="45"/>
      <c r="BF203" s="45"/>
      <c r="BG203" s="45"/>
      <c r="BH203" s="45"/>
      <c r="BI203" s="45"/>
      <c r="BJ203" s="45"/>
      <c r="BK203" s="45"/>
      <c r="BL203" s="45"/>
      <c r="BM203" s="45"/>
      <c r="BN203" s="45"/>
      <c r="BO203" s="1"/>
      <c r="BP203" s="1"/>
    </row>
    <row r="204" spans="2:68" s="11" customFormat="1" ht="21.75" x14ac:dyDescent="0.3">
      <c r="B204" s="9"/>
      <c r="C204" s="113"/>
      <c r="D204" s="114"/>
      <c r="E204" s="115"/>
      <c r="F204" s="117"/>
      <c r="G204" s="99"/>
      <c r="H204" s="99"/>
      <c r="I204" s="99"/>
      <c r="J204" s="98"/>
      <c r="K204" s="100"/>
      <c r="L204" s="100"/>
      <c r="M204" s="100"/>
      <c r="N204" s="110"/>
      <c r="O204" s="110"/>
      <c r="P204" s="100"/>
      <c r="Q204" s="118"/>
      <c r="R204" s="98"/>
      <c r="S204" s="119"/>
      <c r="T204" s="28"/>
      <c r="U204" s="28"/>
      <c r="V204" s="28"/>
      <c r="W204" s="101"/>
      <c r="X204" s="29"/>
      <c r="Y204" s="1"/>
      <c r="Z204" s="1"/>
      <c r="AA204" s="71">
        <v>45950</v>
      </c>
      <c r="AB204" s="104">
        <v>45968</v>
      </c>
      <c r="AC204" s="40" t="s">
        <v>610</v>
      </c>
      <c r="AD204" s="105">
        <v>0</v>
      </c>
      <c r="AE204" s="105">
        <v>0</v>
      </c>
      <c r="AF204" s="105">
        <v>0</v>
      </c>
      <c r="AG204" s="105">
        <v>0</v>
      </c>
      <c r="AH204" s="105">
        <v>0</v>
      </c>
      <c r="AI204" s="106">
        <v>0</v>
      </c>
      <c r="AJ204" s="107">
        <v>0</v>
      </c>
      <c r="AK204" s="112">
        <v>0</v>
      </c>
      <c r="AL204" s="112">
        <v>0</v>
      </c>
      <c r="AM204" s="45"/>
      <c r="AN204" s="45"/>
      <c r="AO204" s="45"/>
      <c r="AP204" s="45"/>
      <c r="AQ204" s="45"/>
      <c r="AR204" s="45"/>
      <c r="AS204" s="45"/>
      <c r="AT204" s="45"/>
      <c r="AU204" s="45"/>
      <c r="AV204" s="45"/>
      <c r="AW204" s="45"/>
      <c r="AX204" s="45"/>
      <c r="AY204" s="45"/>
      <c r="AZ204" s="45"/>
      <c r="BA204" s="45"/>
      <c r="BB204" s="45"/>
      <c r="BC204" s="45"/>
      <c r="BD204" s="45"/>
      <c r="BE204" s="45"/>
      <c r="BF204" s="45"/>
      <c r="BG204" s="45"/>
      <c r="BH204" s="45"/>
      <c r="BI204" s="45"/>
      <c r="BJ204" s="45"/>
      <c r="BK204" s="45"/>
      <c r="BL204" s="45"/>
      <c r="BM204" s="45"/>
      <c r="BN204" s="45"/>
      <c r="BO204" s="1"/>
      <c r="BP204" s="1"/>
    </row>
    <row r="205" spans="2:68" s="11" customFormat="1" ht="21.75" x14ac:dyDescent="0.3">
      <c r="B205" s="9"/>
      <c r="C205" s="113"/>
      <c r="D205" s="114"/>
      <c r="E205" s="115"/>
      <c r="F205" s="117"/>
      <c r="G205" s="99"/>
      <c r="H205" s="99"/>
      <c r="I205" s="99"/>
      <c r="J205" s="98"/>
      <c r="K205" s="100"/>
      <c r="L205" s="100"/>
      <c r="M205" s="100"/>
      <c r="N205" s="110"/>
      <c r="O205" s="110"/>
      <c r="P205" s="100"/>
      <c r="Q205" s="118"/>
      <c r="R205" s="98"/>
      <c r="S205" s="119"/>
      <c r="T205" s="28"/>
      <c r="U205" s="28"/>
      <c r="V205" s="28"/>
      <c r="W205" s="101"/>
      <c r="X205" s="29"/>
      <c r="Y205" s="1"/>
      <c r="Z205" s="1"/>
      <c r="AA205" s="71">
        <v>45950</v>
      </c>
      <c r="AB205" s="104">
        <v>45968</v>
      </c>
      <c r="AC205" s="40" t="s">
        <v>611</v>
      </c>
      <c r="AD205" s="105">
        <v>0</v>
      </c>
      <c r="AE205" s="105">
        <v>0</v>
      </c>
      <c r="AF205" s="105">
        <v>0</v>
      </c>
      <c r="AG205" s="105">
        <v>0</v>
      </c>
      <c r="AH205" s="105">
        <v>0</v>
      </c>
      <c r="AI205" s="106">
        <v>0</v>
      </c>
      <c r="AJ205" s="107">
        <v>0</v>
      </c>
      <c r="AK205" s="112">
        <v>0</v>
      </c>
      <c r="AL205" s="112">
        <v>0</v>
      </c>
      <c r="AM205" s="45"/>
      <c r="AN205" s="45"/>
      <c r="AO205" s="45"/>
      <c r="AP205" s="45"/>
      <c r="AQ205" s="45"/>
      <c r="AR205" s="45"/>
      <c r="AS205" s="45"/>
      <c r="AT205" s="45"/>
      <c r="AU205" s="45"/>
      <c r="AV205" s="45"/>
      <c r="AW205" s="45"/>
      <c r="AX205" s="45"/>
      <c r="AY205" s="45"/>
      <c r="AZ205" s="45"/>
      <c r="BA205" s="45"/>
      <c r="BB205" s="45"/>
      <c r="BC205" s="45"/>
      <c r="BD205" s="45"/>
      <c r="BE205" s="45"/>
      <c r="BF205" s="45"/>
      <c r="BG205" s="45"/>
      <c r="BH205" s="45"/>
      <c r="BI205" s="45"/>
      <c r="BJ205" s="45"/>
      <c r="BK205" s="45"/>
      <c r="BL205" s="45"/>
      <c r="BM205" s="45"/>
      <c r="BN205" s="45"/>
      <c r="BO205" s="1"/>
      <c r="BP205" s="1"/>
    </row>
    <row r="206" spans="2:68" s="11" customFormat="1" ht="21.75" x14ac:dyDescent="0.3">
      <c r="B206" s="9"/>
      <c r="C206" s="113"/>
      <c r="D206" s="114"/>
      <c r="E206" s="115"/>
      <c r="F206" s="117"/>
      <c r="G206" s="99"/>
      <c r="H206" s="99"/>
      <c r="I206" s="99"/>
      <c r="J206" s="98"/>
      <c r="K206" s="100"/>
      <c r="L206" s="100"/>
      <c r="M206" s="100"/>
      <c r="N206" s="110"/>
      <c r="O206" s="110"/>
      <c r="P206" s="100"/>
      <c r="Q206" s="118"/>
      <c r="R206" s="98"/>
      <c r="S206" s="119"/>
      <c r="T206" s="28"/>
      <c r="U206" s="28"/>
      <c r="V206" s="28"/>
      <c r="W206" s="101"/>
      <c r="X206" s="29"/>
      <c r="Y206" s="1"/>
      <c r="Z206" s="1"/>
      <c r="AA206" s="71">
        <v>45944</v>
      </c>
      <c r="AB206" s="104">
        <v>45971</v>
      </c>
      <c r="AC206" s="40" t="s">
        <v>531</v>
      </c>
      <c r="AD206" s="105">
        <v>0</v>
      </c>
      <c r="AE206" s="105">
        <v>0</v>
      </c>
      <c r="AF206" s="105">
        <v>0</v>
      </c>
      <c r="AG206" s="105">
        <v>0</v>
      </c>
      <c r="AH206" s="105">
        <v>0</v>
      </c>
      <c r="AI206" s="106">
        <v>0</v>
      </c>
      <c r="AJ206" s="107">
        <v>0</v>
      </c>
      <c r="AK206" s="112">
        <v>0</v>
      </c>
      <c r="AL206" s="112">
        <v>0</v>
      </c>
      <c r="AM206" s="45"/>
      <c r="AN206" s="45"/>
      <c r="AO206" s="45"/>
      <c r="AP206" s="45"/>
      <c r="AQ206" s="45"/>
      <c r="AR206" s="45"/>
      <c r="AS206" s="45"/>
      <c r="AT206" s="45"/>
      <c r="AU206" s="45"/>
      <c r="AV206" s="45"/>
      <c r="AW206" s="45"/>
      <c r="AX206" s="45"/>
      <c r="AY206" s="45"/>
      <c r="AZ206" s="45"/>
      <c r="BA206" s="45"/>
      <c r="BB206" s="45"/>
      <c r="BC206" s="45"/>
      <c r="BD206" s="45"/>
      <c r="BE206" s="45"/>
      <c r="BF206" s="45"/>
      <c r="BG206" s="45"/>
      <c r="BH206" s="45"/>
      <c r="BI206" s="45"/>
      <c r="BJ206" s="45"/>
      <c r="BK206" s="45"/>
      <c r="BL206" s="45"/>
      <c r="BM206" s="45"/>
      <c r="BN206" s="45"/>
      <c r="BO206" s="1"/>
      <c r="BP206" s="1"/>
    </row>
    <row r="207" spans="2:68" s="11" customFormat="1" ht="21.75" x14ac:dyDescent="0.3">
      <c r="B207" s="9"/>
      <c r="C207" s="113"/>
      <c r="D207" s="114"/>
      <c r="E207" s="115"/>
      <c r="F207" s="117"/>
      <c r="G207" s="99"/>
      <c r="H207" s="99"/>
      <c r="I207" s="99"/>
      <c r="J207" s="98"/>
      <c r="K207" s="100"/>
      <c r="L207" s="100"/>
      <c r="M207" s="100"/>
      <c r="N207" s="110"/>
      <c r="O207" s="110"/>
      <c r="P207" s="100"/>
      <c r="Q207" s="118"/>
      <c r="R207" s="98"/>
      <c r="S207" s="119"/>
      <c r="T207" s="28"/>
      <c r="U207" s="28"/>
      <c r="V207" s="28"/>
      <c r="W207" s="101"/>
      <c r="X207" s="29"/>
      <c r="Y207" s="1"/>
      <c r="Z207" s="1"/>
      <c r="AA207" s="71">
        <v>45944</v>
      </c>
      <c r="AB207" s="104">
        <v>45971</v>
      </c>
      <c r="AC207" s="40" t="s">
        <v>530</v>
      </c>
      <c r="AD207" s="105">
        <v>0</v>
      </c>
      <c r="AE207" s="105">
        <v>0</v>
      </c>
      <c r="AF207" s="105">
        <v>0</v>
      </c>
      <c r="AG207" s="105">
        <v>0</v>
      </c>
      <c r="AH207" s="105">
        <v>0</v>
      </c>
      <c r="AI207" s="106">
        <v>0</v>
      </c>
      <c r="AJ207" s="107">
        <v>0</v>
      </c>
      <c r="AK207" s="112">
        <v>0</v>
      </c>
      <c r="AL207" s="112">
        <v>0</v>
      </c>
      <c r="AM207" s="45"/>
      <c r="AN207" s="45"/>
      <c r="AO207" s="45"/>
      <c r="AP207" s="45"/>
      <c r="AQ207" s="45"/>
      <c r="AR207" s="45"/>
      <c r="AS207" s="45"/>
      <c r="AT207" s="45"/>
      <c r="AU207" s="45"/>
      <c r="AV207" s="45"/>
      <c r="AW207" s="45"/>
      <c r="AX207" s="45"/>
      <c r="AY207" s="45"/>
      <c r="AZ207" s="45"/>
      <c r="BA207" s="45"/>
      <c r="BB207" s="45"/>
      <c r="BC207" s="45"/>
      <c r="BD207" s="45"/>
      <c r="BE207" s="45"/>
      <c r="BF207" s="45"/>
      <c r="BG207" s="45"/>
      <c r="BH207" s="45"/>
      <c r="BI207" s="45"/>
      <c r="BJ207" s="45"/>
      <c r="BK207" s="45"/>
      <c r="BL207" s="45"/>
      <c r="BM207" s="45"/>
      <c r="BN207" s="45"/>
      <c r="BO207" s="1"/>
      <c r="BP207" s="1"/>
    </row>
    <row r="208" spans="2:68" s="11" customFormat="1" ht="21.75" x14ac:dyDescent="0.3">
      <c r="B208" s="9"/>
      <c r="C208" s="113"/>
      <c r="D208" s="114"/>
      <c r="E208" s="115"/>
      <c r="F208" s="117"/>
      <c r="G208" s="99"/>
      <c r="H208" s="99"/>
      <c r="I208" s="99"/>
      <c r="J208" s="98"/>
      <c r="K208" s="100"/>
      <c r="L208" s="100"/>
      <c r="M208" s="100"/>
      <c r="N208" s="110"/>
      <c r="O208" s="110"/>
      <c r="P208" s="100"/>
      <c r="Q208" s="118"/>
      <c r="R208" s="98"/>
      <c r="S208" s="119"/>
      <c r="T208" s="28"/>
      <c r="U208" s="28"/>
      <c r="V208" s="28"/>
      <c r="W208" s="101"/>
      <c r="X208" s="29"/>
      <c r="Y208" s="1"/>
      <c r="Z208" s="1"/>
      <c r="AA208" s="71">
        <v>45944</v>
      </c>
      <c r="AB208" s="104">
        <v>45971</v>
      </c>
      <c r="AC208" s="40" t="s">
        <v>532</v>
      </c>
      <c r="AD208" s="105">
        <v>0</v>
      </c>
      <c r="AE208" s="105">
        <v>0</v>
      </c>
      <c r="AF208" s="105">
        <v>0</v>
      </c>
      <c r="AG208" s="105">
        <v>0</v>
      </c>
      <c r="AH208" s="105">
        <v>0</v>
      </c>
      <c r="AI208" s="106">
        <v>0</v>
      </c>
      <c r="AJ208" s="107">
        <v>0</v>
      </c>
      <c r="AK208" s="112">
        <v>0</v>
      </c>
      <c r="AL208" s="112">
        <v>0</v>
      </c>
      <c r="AM208" s="45"/>
      <c r="AN208" s="45"/>
      <c r="AO208" s="45"/>
      <c r="AP208" s="45"/>
      <c r="AQ208" s="45"/>
      <c r="AR208" s="45"/>
      <c r="AS208" s="45"/>
      <c r="AT208" s="45"/>
      <c r="AU208" s="45"/>
      <c r="AV208" s="45"/>
      <c r="AW208" s="45"/>
      <c r="AX208" s="45"/>
      <c r="AY208" s="45"/>
      <c r="AZ208" s="45"/>
      <c r="BA208" s="45"/>
      <c r="BB208" s="45"/>
      <c r="BC208" s="45"/>
      <c r="BD208" s="45"/>
      <c r="BE208" s="45"/>
      <c r="BF208" s="45"/>
      <c r="BG208" s="45"/>
      <c r="BH208" s="45"/>
      <c r="BI208" s="45"/>
      <c r="BJ208" s="45"/>
      <c r="BK208" s="45"/>
      <c r="BL208" s="45"/>
      <c r="BM208" s="45"/>
      <c r="BN208" s="45"/>
      <c r="BO208" s="1"/>
      <c r="BP208" s="1"/>
    </row>
    <row r="209" spans="2:68" s="11" customFormat="1" ht="21.75" x14ac:dyDescent="0.3">
      <c r="B209" s="9"/>
      <c r="C209" s="113"/>
      <c r="D209" s="114"/>
      <c r="E209" s="115"/>
      <c r="F209" s="117"/>
      <c r="G209" s="99"/>
      <c r="H209" s="99"/>
      <c r="I209" s="99"/>
      <c r="J209" s="98"/>
      <c r="K209" s="100"/>
      <c r="L209" s="100"/>
      <c r="M209" s="100"/>
      <c r="N209" s="110"/>
      <c r="O209" s="110"/>
      <c r="P209" s="100"/>
      <c r="Q209" s="118"/>
      <c r="R209" s="98"/>
      <c r="S209" s="119"/>
      <c r="T209" s="28"/>
      <c r="U209" s="28"/>
      <c r="V209" s="28"/>
      <c r="W209" s="101"/>
      <c r="X209" s="29"/>
      <c r="Y209" s="1"/>
      <c r="Z209" s="1"/>
      <c r="AA209" s="71">
        <v>45944</v>
      </c>
      <c r="AB209" s="104">
        <v>45971</v>
      </c>
      <c r="AC209" s="40" t="s">
        <v>533</v>
      </c>
      <c r="AD209" s="105">
        <v>0</v>
      </c>
      <c r="AE209" s="105">
        <v>0</v>
      </c>
      <c r="AF209" s="105">
        <v>0</v>
      </c>
      <c r="AG209" s="105">
        <v>0</v>
      </c>
      <c r="AH209" s="105">
        <v>0</v>
      </c>
      <c r="AI209" s="106">
        <v>0</v>
      </c>
      <c r="AJ209" s="107">
        <v>0</v>
      </c>
      <c r="AK209" s="112">
        <v>0</v>
      </c>
      <c r="AL209" s="112">
        <v>0</v>
      </c>
      <c r="AM209" s="45"/>
      <c r="AN209" s="45"/>
      <c r="AO209" s="45"/>
      <c r="AP209" s="45"/>
      <c r="AQ209" s="45"/>
      <c r="AR209" s="45"/>
      <c r="AS209" s="45"/>
      <c r="AT209" s="45"/>
      <c r="AU209" s="45"/>
      <c r="AV209" s="45"/>
      <c r="AW209" s="45"/>
      <c r="AX209" s="45"/>
      <c r="AY209" s="45"/>
      <c r="AZ209" s="45"/>
      <c r="BA209" s="45"/>
      <c r="BB209" s="45"/>
      <c r="BC209" s="45"/>
      <c r="BD209" s="45"/>
      <c r="BE209" s="45"/>
      <c r="BF209" s="45"/>
      <c r="BG209" s="45"/>
      <c r="BH209" s="45"/>
      <c r="BI209" s="45"/>
      <c r="BJ209" s="45"/>
      <c r="BK209" s="45"/>
      <c r="BL209" s="45"/>
      <c r="BM209" s="45"/>
      <c r="BN209" s="45"/>
      <c r="BO209" s="1"/>
      <c r="BP209" s="1"/>
    </row>
    <row r="210" spans="2:68" s="11" customFormat="1" ht="21.75" x14ac:dyDescent="0.3">
      <c r="B210" s="9"/>
      <c r="C210" s="113"/>
      <c r="D210" s="114"/>
      <c r="E210" s="115"/>
      <c r="F210" s="117"/>
      <c r="G210" s="99"/>
      <c r="H210" s="99"/>
      <c r="I210" s="99"/>
      <c r="J210" s="98"/>
      <c r="K210" s="100"/>
      <c r="L210" s="100"/>
      <c r="M210" s="100"/>
      <c r="N210" s="110"/>
      <c r="O210" s="110"/>
      <c r="P210" s="100"/>
      <c r="Q210" s="118"/>
      <c r="R210" s="98"/>
      <c r="S210" s="119"/>
      <c r="T210" s="28"/>
      <c r="U210" s="28"/>
      <c r="V210" s="28"/>
      <c r="W210" s="101"/>
      <c r="X210" s="29"/>
      <c r="Y210" s="1"/>
      <c r="Z210" s="1"/>
      <c r="AA210" s="71">
        <v>45944</v>
      </c>
      <c r="AB210" s="104">
        <v>45971</v>
      </c>
      <c r="AC210" s="40" t="s">
        <v>534</v>
      </c>
      <c r="AD210" s="105">
        <v>0</v>
      </c>
      <c r="AE210" s="105">
        <v>0</v>
      </c>
      <c r="AF210" s="105">
        <v>0</v>
      </c>
      <c r="AG210" s="105">
        <v>0</v>
      </c>
      <c r="AH210" s="105">
        <v>0</v>
      </c>
      <c r="AI210" s="106">
        <v>0</v>
      </c>
      <c r="AJ210" s="107">
        <v>0</v>
      </c>
      <c r="AK210" s="112">
        <v>0</v>
      </c>
      <c r="AL210" s="112">
        <v>0</v>
      </c>
      <c r="AM210" s="45"/>
      <c r="AN210" s="45"/>
      <c r="AO210" s="45"/>
      <c r="AP210" s="45"/>
      <c r="AQ210" s="45"/>
      <c r="AR210" s="45"/>
      <c r="AS210" s="45"/>
      <c r="AT210" s="45"/>
      <c r="AU210" s="45"/>
      <c r="AV210" s="45"/>
      <c r="AW210" s="45"/>
      <c r="AX210" s="45"/>
      <c r="AY210" s="45"/>
      <c r="AZ210" s="45"/>
      <c r="BA210" s="45"/>
      <c r="BB210" s="45"/>
      <c r="BC210" s="45"/>
      <c r="BD210" s="45"/>
      <c r="BE210" s="45"/>
      <c r="BF210" s="45"/>
      <c r="BG210" s="45"/>
      <c r="BH210" s="45"/>
      <c r="BI210" s="45"/>
      <c r="BJ210" s="45"/>
      <c r="BK210" s="45"/>
      <c r="BL210" s="45"/>
      <c r="BM210" s="45"/>
      <c r="BN210" s="45"/>
      <c r="BO210" s="1"/>
      <c r="BP210" s="1"/>
    </row>
    <row r="211" spans="2:68" s="11" customFormat="1" ht="21.75" x14ac:dyDescent="0.3">
      <c r="B211" s="9"/>
      <c r="C211" s="113"/>
      <c r="D211" s="114"/>
      <c r="E211" s="115"/>
      <c r="F211" s="117"/>
      <c r="G211" s="99"/>
      <c r="H211" s="99"/>
      <c r="I211" s="99"/>
      <c r="J211" s="98"/>
      <c r="K211" s="100"/>
      <c r="L211" s="100"/>
      <c r="M211" s="100"/>
      <c r="N211" s="110"/>
      <c r="O211" s="110"/>
      <c r="P211" s="100"/>
      <c r="Q211" s="118"/>
      <c r="R211" s="98"/>
      <c r="S211" s="119"/>
      <c r="T211" s="28"/>
      <c r="U211" s="28"/>
      <c r="V211" s="28"/>
      <c r="W211" s="101"/>
      <c r="X211" s="29"/>
      <c r="Y211" s="1"/>
      <c r="Z211" s="1"/>
      <c r="AA211" s="71">
        <v>45968</v>
      </c>
      <c r="AB211" s="104">
        <v>45982</v>
      </c>
      <c r="AC211" s="40" t="s">
        <v>606</v>
      </c>
      <c r="AD211" s="105">
        <v>0</v>
      </c>
      <c r="AE211" s="105">
        <v>0</v>
      </c>
      <c r="AF211" s="105">
        <v>0</v>
      </c>
      <c r="AG211" s="105">
        <v>0</v>
      </c>
      <c r="AH211" s="105">
        <v>0</v>
      </c>
      <c r="AI211" s="106">
        <v>0</v>
      </c>
      <c r="AJ211" s="107">
        <v>0</v>
      </c>
      <c r="AK211" s="112">
        <v>0</v>
      </c>
      <c r="AL211" s="112">
        <v>0</v>
      </c>
      <c r="AM211" s="45"/>
      <c r="AN211" s="45"/>
      <c r="AO211" s="45"/>
      <c r="AP211" s="45"/>
      <c r="AQ211" s="45"/>
      <c r="AR211" s="45"/>
      <c r="AS211" s="45"/>
      <c r="AT211" s="45"/>
      <c r="AU211" s="45"/>
      <c r="AV211" s="45"/>
      <c r="AW211" s="45"/>
      <c r="AX211" s="45"/>
      <c r="AY211" s="45"/>
      <c r="AZ211" s="45"/>
      <c r="BA211" s="45"/>
      <c r="BB211" s="45"/>
      <c r="BC211" s="45"/>
      <c r="BD211" s="45"/>
      <c r="BE211" s="45"/>
      <c r="BF211" s="45"/>
      <c r="BG211" s="45"/>
      <c r="BH211" s="45"/>
      <c r="BI211" s="45"/>
      <c r="BJ211" s="45"/>
      <c r="BK211" s="45"/>
      <c r="BL211" s="45"/>
      <c r="BM211" s="45"/>
      <c r="BN211" s="45"/>
      <c r="BO211" s="1"/>
      <c r="BP211" s="1"/>
    </row>
    <row r="212" spans="2:68" s="11" customFormat="1" ht="21.75" x14ac:dyDescent="0.3">
      <c r="B212" s="9"/>
      <c r="C212" s="113"/>
      <c r="D212" s="114"/>
      <c r="E212" s="115"/>
      <c r="F212" s="117"/>
      <c r="G212" s="99"/>
      <c r="H212" s="99"/>
      <c r="I212" s="99"/>
      <c r="J212" s="98"/>
      <c r="K212" s="100"/>
      <c r="L212" s="100"/>
      <c r="M212" s="100"/>
      <c r="N212" s="110"/>
      <c r="O212" s="110"/>
      <c r="P212" s="100"/>
      <c r="Q212" s="118"/>
      <c r="R212" s="98"/>
      <c r="S212" s="119"/>
      <c r="T212" s="28"/>
      <c r="U212" s="28"/>
      <c r="V212" s="28"/>
      <c r="W212" s="101"/>
      <c r="X212" s="29"/>
      <c r="Y212" s="1"/>
      <c r="Z212" s="1"/>
      <c r="AA212" s="71">
        <v>45968</v>
      </c>
      <c r="AB212" s="104">
        <v>45982</v>
      </c>
      <c r="AC212" s="40" t="s">
        <v>606</v>
      </c>
      <c r="AD212" s="105">
        <v>0</v>
      </c>
      <c r="AE212" s="105">
        <v>0</v>
      </c>
      <c r="AF212" s="105">
        <v>0</v>
      </c>
      <c r="AG212" s="105">
        <v>0</v>
      </c>
      <c r="AH212" s="105">
        <v>0</v>
      </c>
      <c r="AI212" s="106">
        <v>0</v>
      </c>
      <c r="AJ212" s="107">
        <v>0</v>
      </c>
      <c r="AK212" s="112">
        <v>0</v>
      </c>
      <c r="AL212" s="112">
        <v>0</v>
      </c>
      <c r="AM212" s="45"/>
      <c r="AN212" s="45"/>
      <c r="AO212" s="45"/>
      <c r="AP212" s="45"/>
      <c r="AQ212" s="45"/>
      <c r="AR212" s="45"/>
      <c r="AS212" s="45"/>
      <c r="AT212" s="45"/>
      <c r="AU212" s="45"/>
      <c r="AV212" s="45"/>
      <c r="AW212" s="45"/>
      <c r="AX212" s="45"/>
      <c r="AY212" s="45"/>
      <c r="AZ212" s="45"/>
      <c r="BA212" s="45"/>
      <c r="BB212" s="45"/>
      <c r="BC212" s="45"/>
      <c r="BD212" s="45"/>
      <c r="BE212" s="45"/>
      <c r="BF212" s="45"/>
      <c r="BG212" s="45"/>
      <c r="BH212" s="45"/>
      <c r="BI212" s="45"/>
      <c r="BJ212" s="45"/>
      <c r="BK212" s="45"/>
      <c r="BL212" s="45"/>
      <c r="BM212" s="45"/>
      <c r="BN212" s="45"/>
      <c r="BO212" s="1"/>
      <c r="BP212" s="1"/>
    </row>
    <row r="213" spans="2:68" s="11" customFormat="1" ht="21.75" x14ac:dyDescent="0.3">
      <c r="B213" s="9"/>
      <c r="C213" s="113"/>
      <c r="D213" s="114"/>
      <c r="E213" s="115"/>
      <c r="F213" s="117"/>
      <c r="G213" s="99"/>
      <c r="H213" s="99"/>
      <c r="I213" s="99"/>
      <c r="J213" s="98"/>
      <c r="K213" s="100"/>
      <c r="L213" s="100"/>
      <c r="M213" s="100"/>
      <c r="N213" s="110"/>
      <c r="O213" s="110"/>
      <c r="P213" s="100"/>
      <c r="Q213" s="118"/>
      <c r="R213" s="98"/>
      <c r="S213" s="119"/>
      <c r="T213" s="28"/>
      <c r="U213" s="28"/>
      <c r="V213" s="28"/>
      <c r="W213" s="101"/>
      <c r="X213" s="29"/>
      <c r="Y213" s="1"/>
      <c r="Z213" s="1"/>
      <c r="AA213" s="71">
        <v>45968</v>
      </c>
      <c r="AB213" s="104">
        <v>45982</v>
      </c>
      <c r="AC213" s="40" t="s">
        <v>606</v>
      </c>
      <c r="AD213" s="105">
        <v>0</v>
      </c>
      <c r="AE213" s="105">
        <v>0</v>
      </c>
      <c r="AF213" s="105">
        <v>0</v>
      </c>
      <c r="AG213" s="105">
        <v>0</v>
      </c>
      <c r="AH213" s="105">
        <v>0</v>
      </c>
      <c r="AI213" s="106">
        <v>0</v>
      </c>
      <c r="AJ213" s="107">
        <v>0</v>
      </c>
      <c r="AK213" s="112">
        <v>0</v>
      </c>
      <c r="AL213" s="112">
        <v>0</v>
      </c>
      <c r="AM213" s="45"/>
      <c r="AN213" s="45"/>
      <c r="AO213" s="45"/>
      <c r="AP213" s="45"/>
      <c r="AQ213" s="45"/>
      <c r="AR213" s="45"/>
      <c r="AS213" s="45"/>
      <c r="AT213" s="45"/>
      <c r="AU213" s="45"/>
      <c r="AV213" s="45"/>
      <c r="AW213" s="45"/>
      <c r="AX213" s="45"/>
      <c r="AY213" s="45"/>
      <c r="AZ213" s="45"/>
      <c r="BA213" s="45"/>
      <c r="BB213" s="45"/>
      <c r="BC213" s="45"/>
      <c r="BD213" s="45"/>
      <c r="BE213" s="45"/>
      <c r="BF213" s="45"/>
      <c r="BG213" s="45"/>
      <c r="BH213" s="45"/>
      <c r="BI213" s="45"/>
      <c r="BJ213" s="45"/>
      <c r="BK213" s="45"/>
      <c r="BL213" s="45"/>
      <c r="BM213" s="45"/>
      <c r="BN213" s="45"/>
      <c r="BO213" s="1"/>
      <c r="BP213" s="1"/>
    </row>
    <row r="214" spans="2:68" s="11" customFormat="1" ht="21.75" x14ac:dyDescent="0.3">
      <c r="B214" s="9"/>
      <c r="C214" s="113"/>
      <c r="D214" s="114"/>
      <c r="E214" s="115"/>
      <c r="F214" s="117"/>
      <c r="G214" s="99"/>
      <c r="H214" s="99"/>
      <c r="I214" s="99"/>
      <c r="J214" s="98"/>
      <c r="K214" s="100"/>
      <c r="L214" s="100"/>
      <c r="M214" s="100"/>
      <c r="N214" s="110"/>
      <c r="O214" s="110"/>
      <c r="P214" s="100"/>
      <c r="Q214" s="118"/>
      <c r="R214" s="98"/>
      <c r="S214" s="119"/>
      <c r="T214" s="28"/>
      <c r="U214" s="28"/>
      <c r="V214" s="28"/>
      <c r="W214" s="101"/>
      <c r="X214" s="29"/>
      <c r="Y214" s="1"/>
      <c r="Z214" s="1"/>
      <c r="AA214" s="71">
        <v>45968</v>
      </c>
      <c r="AB214" s="104">
        <v>45973</v>
      </c>
      <c r="AC214" s="40" t="s">
        <v>542</v>
      </c>
      <c r="AD214" s="105">
        <v>0</v>
      </c>
      <c r="AE214" s="105">
        <v>0</v>
      </c>
      <c r="AF214" s="105">
        <v>0</v>
      </c>
      <c r="AG214" s="105">
        <v>0</v>
      </c>
      <c r="AH214" s="105">
        <v>0</v>
      </c>
      <c r="AI214" s="106">
        <v>0</v>
      </c>
      <c r="AJ214" s="107">
        <v>0</v>
      </c>
      <c r="AK214" s="112">
        <v>0</v>
      </c>
      <c r="AL214" s="112">
        <v>0</v>
      </c>
      <c r="AM214" s="45"/>
      <c r="AN214" s="45"/>
      <c r="AO214" s="45"/>
      <c r="AP214" s="45"/>
      <c r="AQ214" s="45"/>
      <c r="AR214" s="45"/>
      <c r="AS214" s="45"/>
      <c r="AT214" s="45"/>
      <c r="AU214" s="45"/>
      <c r="AV214" s="45"/>
      <c r="AW214" s="45"/>
      <c r="AX214" s="45"/>
      <c r="AY214" s="45"/>
      <c r="AZ214" s="45"/>
      <c r="BA214" s="45"/>
      <c r="BB214" s="45"/>
      <c r="BC214" s="45"/>
      <c r="BD214" s="45"/>
      <c r="BE214" s="45"/>
      <c r="BF214" s="45"/>
      <c r="BG214" s="45"/>
      <c r="BH214" s="45"/>
      <c r="BI214" s="45"/>
      <c r="BJ214" s="45"/>
      <c r="BK214" s="45"/>
      <c r="BL214" s="45"/>
      <c r="BM214" s="45"/>
      <c r="BN214" s="45"/>
      <c r="BO214" s="1"/>
      <c r="BP214" s="1"/>
    </row>
    <row r="215" spans="2:68" s="11" customFormat="1" ht="21.75" x14ac:dyDescent="0.3">
      <c r="B215" s="9"/>
      <c r="C215" s="113"/>
      <c r="D215" s="114"/>
      <c r="E215" s="115"/>
      <c r="F215" s="117"/>
      <c r="G215" s="99"/>
      <c r="H215" s="99"/>
      <c r="I215" s="99"/>
      <c r="J215" s="98"/>
      <c r="K215" s="100"/>
      <c r="L215" s="100"/>
      <c r="M215" s="100"/>
      <c r="N215" s="110"/>
      <c r="O215" s="110"/>
      <c r="P215" s="100"/>
      <c r="Q215" s="118"/>
      <c r="R215" s="98"/>
      <c r="S215" s="119"/>
      <c r="T215" s="28"/>
      <c r="U215" s="28"/>
      <c r="V215" s="28"/>
      <c r="W215" s="101"/>
      <c r="X215" s="29"/>
      <c r="Y215" s="1"/>
      <c r="Z215" s="1"/>
      <c r="AA215" s="71">
        <v>45973</v>
      </c>
      <c r="AB215" s="104">
        <v>45975</v>
      </c>
      <c r="AC215" s="40" t="s">
        <v>587</v>
      </c>
      <c r="AD215" s="105">
        <v>0</v>
      </c>
      <c r="AE215" s="105">
        <v>0</v>
      </c>
      <c r="AF215" s="105">
        <v>0</v>
      </c>
      <c r="AG215" s="105">
        <v>0</v>
      </c>
      <c r="AH215" s="105">
        <v>0</v>
      </c>
      <c r="AI215" s="106">
        <v>0</v>
      </c>
      <c r="AJ215" s="107">
        <v>0</v>
      </c>
      <c r="AK215" s="112">
        <v>0</v>
      </c>
      <c r="AL215" s="112">
        <v>0</v>
      </c>
      <c r="AM215" s="45"/>
      <c r="AN215" s="45"/>
      <c r="AO215" s="45"/>
      <c r="AP215" s="45"/>
      <c r="AQ215" s="45"/>
      <c r="AR215" s="45"/>
      <c r="AS215" s="45"/>
      <c r="AT215" s="45"/>
      <c r="AU215" s="45"/>
      <c r="AV215" s="45"/>
      <c r="AW215" s="45"/>
      <c r="AX215" s="45"/>
      <c r="AY215" s="45"/>
      <c r="AZ215" s="45"/>
      <c r="BA215" s="45"/>
      <c r="BB215" s="45"/>
      <c r="BC215" s="45"/>
      <c r="BD215" s="45"/>
      <c r="BE215" s="45"/>
      <c r="BF215" s="45"/>
      <c r="BG215" s="45"/>
      <c r="BH215" s="45"/>
      <c r="BI215" s="45"/>
      <c r="BJ215" s="45"/>
      <c r="BK215" s="45"/>
      <c r="BL215" s="45"/>
      <c r="BM215" s="45"/>
      <c r="BN215" s="45"/>
      <c r="BO215" s="1"/>
      <c r="BP215" s="1"/>
    </row>
    <row r="216" spans="2:68" s="11" customFormat="1" ht="21.75" x14ac:dyDescent="0.3">
      <c r="B216" s="9"/>
      <c r="C216" s="113"/>
      <c r="D216" s="99"/>
      <c r="E216" s="115"/>
      <c r="F216" s="117"/>
      <c r="G216" s="99"/>
      <c r="H216" s="99"/>
      <c r="I216" s="116"/>
      <c r="J216" s="111"/>
      <c r="K216" s="100"/>
      <c r="L216" s="100"/>
      <c r="M216" s="100"/>
      <c r="N216" s="110"/>
      <c r="O216" s="110"/>
      <c r="P216" s="100"/>
      <c r="Q216" s="118"/>
      <c r="R216" s="98"/>
      <c r="S216" s="119"/>
      <c r="T216" s="28"/>
      <c r="U216" s="28"/>
      <c r="V216" s="28"/>
      <c r="W216" s="101"/>
      <c r="X216" s="29"/>
      <c r="Y216" s="1"/>
      <c r="Z216" s="1"/>
      <c r="AA216" s="71">
        <v>45973</v>
      </c>
      <c r="AB216" s="104">
        <v>45979</v>
      </c>
      <c r="AC216" s="40" t="s">
        <v>545</v>
      </c>
      <c r="AD216" s="105">
        <v>0</v>
      </c>
      <c r="AE216" s="105">
        <v>0</v>
      </c>
      <c r="AF216" s="105">
        <v>0</v>
      </c>
      <c r="AG216" s="105">
        <v>0</v>
      </c>
      <c r="AH216" s="105">
        <v>0</v>
      </c>
      <c r="AI216" s="40" t="s">
        <v>651</v>
      </c>
      <c r="AJ216" s="107">
        <v>3700</v>
      </c>
      <c r="AK216" s="112">
        <v>0</v>
      </c>
      <c r="AL216" s="112">
        <v>0</v>
      </c>
      <c r="AM216" s="45"/>
      <c r="AN216" s="45"/>
      <c r="AO216" s="45"/>
      <c r="AP216" s="45"/>
      <c r="AQ216" s="45"/>
      <c r="AR216" s="45"/>
      <c r="AS216" s="45"/>
      <c r="AT216" s="45"/>
      <c r="AU216" s="45"/>
      <c r="AV216" s="45"/>
      <c r="AW216" s="45"/>
      <c r="AX216" s="45"/>
      <c r="AY216" s="45"/>
      <c r="AZ216" s="45"/>
      <c r="BA216" s="45"/>
      <c r="BB216" s="45"/>
      <c r="BC216" s="45"/>
      <c r="BD216" s="45"/>
      <c r="BE216" s="45"/>
      <c r="BF216" s="45"/>
      <c r="BG216" s="45"/>
      <c r="BH216" s="45"/>
      <c r="BI216" s="45"/>
      <c r="BJ216" s="45"/>
      <c r="BK216" s="45"/>
      <c r="BL216" s="45"/>
      <c r="BM216" s="45"/>
      <c r="BN216" s="45"/>
      <c r="BO216" s="1"/>
      <c r="BP216" s="1"/>
    </row>
    <row r="217" spans="2:68" s="11" customFormat="1" ht="21.75" x14ac:dyDescent="0.3">
      <c r="B217" s="9"/>
      <c r="C217" s="113"/>
      <c r="D217" s="99"/>
      <c r="E217" s="115"/>
      <c r="F217" s="117"/>
      <c r="G217" s="99"/>
      <c r="H217" s="99"/>
      <c r="I217" s="116"/>
      <c r="J217" s="111"/>
      <c r="K217" s="100"/>
      <c r="L217" s="100"/>
      <c r="M217" s="100"/>
      <c r="N217" s="110"/>
      <c r="O217" s="110"/>
      <c r="P217" s="100"/>
      <c r="Q217" s="118"/>
      <c r="R217" s="98"/>
      <c r="S217" s="119"/>
      <c r="T217" s="28"/>
      <c r="U217" s="28"/>
      <c r="V217" s="28"/>
      <c r="W217" s="101"/>
      <c r="X217" s="29"/>
      <c r="Y217" s="1"/>
      <c r="Z217" s="1"/>
      <c r="AA217" s="71">
        <v>45973</v>
      </c>
      <c r="AB217" s="104">
        <v>45979</v>
      </c>
      <c r="AC217" s="40" t="s">
        <v>547</v>
      </c>
      <c r="AD217" s="105">
        <v>0</v>
      </c>
      <c r="AE217" s="105">
        <v>0</v>
      </c>
      <c r="AF217" s="105">
        <v>0</v>
      </c>
      <c r="AG217" s="105">
        <v>0</v>
      </c>
      <c r="AH217" s="105">
        <v>0</v>
      </c>
      <c r="AI217" s="40" t="s">
        <v>652</v>
      </c>
      <c r="AJ217" s="107">
        <v>238614</v>
      </c>
      <c r="AK217" s="112">
        <v>0</v>
      </c>
      <c r="AL217" s="112">
        <v>0</v>
      </c>
      <c r="AM217" s="45"/>
      <c r="AN217" s="45"/>
      <c r="AO217" s="45"/>
      <c r="AP217" s="45"/>
      <c r="AQ217" s="45"/>
      <c r="AR217" s="45"/>
      <c r="AS217" s="45"/>
      <c r="AT217" s="45"/>
      <c r="AU217" s="45"/>
      <c r="AV217" s="45"/>
      <c r="AW217" s="45"/>
      <c r="AX217" s="45"/>
      <c r="AY217" s="45"/>
      <c r="AZ217" s="45"/>
      <c r="BA217" s="45"/>
      <c r="BB217" s="45"/>
      <c r="BC217" s="45"/>
      <c r="BD217" s="45"/>
      <c r="BE217" s="45"/>
      <c r="BF217" s="45"/>
      <c r="BG217" s="45"/>
      <c r="BH217" s="45"/>
      <c r="BI217" s="45"/>
      <c r="BJ217" s="45"/>
      <c r="BK217" s="45"/>
      <c r="BL217" s="45"/>
      <c r="BM217" s="45"/>
      <c r="BN217" s="45"/>
      <c r="BO217" s="1"/>
      <c r="BP217" s="1"/>
    </row>
    <row r="218" spans="2:68" s="11" customFormat="1" ht="21.75" x14ac:dyDescent="0.3">
      <c r="B218" s="9"/>
      <c r="C218" s="113"/>
      <c r="D218" s="99"/>
      <c r="E218" s="115"/>
      <c r="F218" s="117"/>
      <c r="G218" s="99"/>
      <c r="H218" s="99"/>
      <c r="I218" s="116"/>
      <c r="J218" s="111"/>
      <c r="K218" s="100"/>
      <c r="L218" s="100"/>
      <c r="M218" s="100"/>
      <c r="N218" s="110"/>
      <c r="O218" s="110"/>
      <c r="P218" s="100"/>
      <c r="Q218" s="118"/>
      <c r="R218" s="98"/>
      <c r="S218" s="119"/>
      <c r="T218" s="28"/>
      <c r="U218" s="28"/>
      <c r="V218" s="28"/>
      <c r="W218" s="101"/>
      <c r="X218" s="29"/>
      <c r="Y218" s="1"/>
      <c r="Z218" s="1"/>
      <c r="AA218" s="71">
        <v>45973</v>
      </c>
      <c r="AB218" s="104">
        <v>45979</v>
      </c>
      <c r="AC218" s="40" t="s">
        <v>546</v>
      </c>
      <c r="AD218" s="105">
        <v>0</v>
      </c>
      <c r="AE218" s="105">
        <v>0</v>
      </c>
      <c r="AF218" s="105">
        <v>0</v>
      </c>
      <c r="AG218" s="105">
        <v>0</v>
      </c>
      <c r="AH218" s="105">
        <v>0</v>
      </c>
      <c r="AI218" s="40" t="s">
        <v>652</v>
      </c>
      <c r="AJ218" s="107">
        <v>238614</v>
      </c>
      <c r="AK218" s="112">
        <v>0</v>
      </c>
      <c r="AL218" s="112">
        <v>0</v>
      </c>
      <c r="AM218" s="45"/>
      <c r="AN218" s="45"/>
      <c r="AO218" s="45"/>
      <c r="AP218" s="45"/>
      <c r="AQ218" s="45"/>
      <c r="AR218" s="45"/>
      <c r="AS218" s="45"/>
      <c r="AT218" s="45"/>
      <c r="AU218" s="45"/>
      <c r="AV218" s="45"/>
      <c r="AW218" s="45"/>
      <c r="AX218" s="45"/>
      <c r="AY218" s="45"/>
      <c r="AZ218" s="45"/>
      <c r="BA218" s="45"/>
      <c r="BB218" s="45"/>
      <c r="BC218" s="45"/>
      <c r="BD218" s="45"/>
      <c r="BE218" s="45"/>
      <c r="BF218" s="45"/>
      <c r="BG218" s="45"/>
      <c r="BH218" s="45"/>
      <c r="BI218" s="45"/>
      <c r="BJ218" s="45"/>
      <c r="BK218" s="45"/>
      <c r="BL218" s="45"/>
      <c r="BM218" s="45"/>
      <c r="BN218" s="45"/>
      <c r="BO218" s="1"/>
      <c r="BP218" s="1"/>
    </row>
    <row r="219" spans="2:68" s="11" customFormat="1" ht="21.75" x14ac:dyDescent="0.3">
      <c r="B219" s="9"/>
      <c r="C219" s="113"/>
      <c r="D219" s="99"/>
      <c r="E219" s="115"/>
      <c r="F219" s="117"/>
      <c r="G219" s="99"/>
      <c r="H219" s="99"/>
      <c r="I219" s="116"/>
      <c r="J219" s="111"/>
      <c r="K219" s="100"/>
      <c r="L219" s="100"/>
      <c r="M219" s="100"/>
      <c r="N219" s="110"/>
      <c r="O219" s="110"/>
      <c r="P219" s="100"/>
      <c r="Q219" s="118"/>
      <c r="R219" s="98"/>
      <c r="S219" s="119"/>
      <c r="T219" s="28"/>
      <c r="U219" s="28"/>
      <c r="V219" s="28"/>
      <c r="W219" s="101"/>
      <c r="X219" s="29"/>
      <c r="Y219" s="1"/>
      <c r="Z219" s="1"/>
      <c r="AA219" s="71">
        <v>45968</v>
      </c>
      <c r="AB219" s="104">
        <v>45979</v>
      </c>
      <c r="AC219" s="40" t="s">
        <v>590</v>
      </c>
      <c r="AD219" s="105">
        <v>0</v>
      </c>
      <c r="AE219" s="105">
        <v>0</v>
      </c>
      <c r="AF219" s="105">
        <v>0</v>
      </c>
      <c r="AG219" s="105">
        <v>0</v>
      </c>
      <c r="AH219" s="105">
        <v>0</v>
      </c>
      <c r="AI219" s="106">
        <v>0</v>
      </c>
      <c r="AJ219" s="107">
        <v>0</v>
      </c>
      <c r="AK219" s="112">
        <v>0</v>
      </c>
      <c r="AL219" s="112">
        <v>0</v>
      </c>
      <c r="AM219" s="45"/>
      <c r="AN219" s="45"/>
      <c r="AO219" s="45"/>
      <c r="AP219" s="45"/>
      <c r="AQ219" s="45"/>
      <c r="AR219" s="45"/>
      <c r="AS219" s="45"/>
      <c r="AT219" s="45"/>
      <c r="AU219" s="45"/>
      <c r="AV219" s="45"/>
      <c r="AW219" s="45"/>
      <c r="AX219" s="45"/>
      <c r="AY219" s="45"/>
      <c r="AZ219" s="45"/>
      <c r="BA219" s="45"/>
      <c r="BB219" s="45"/>
      <c r="BC219" s="45"/>
      <c r="BD219" s="45"/>
      <c r="BE219" s="45"/>
      <c r="BF219" s="45"/>
      <c r="BG219" s="45"/>
      <c r="BH219" s="45"/>
      <c r="BI219" s="45"/>
      <c r="BJ219" s="45"/>
      <c r="BK219" s="45"/>
      <c r="BL219" s="45"/>
      <c r="BM219" s="45"/>
      <c r="BN219" s="45"/>
      <c r="BO219" s="1"/>
      <c r="BP219" s="1"/>
    </row>
    <row r="220" spans="2:68" s="11" customFormat="1" ht="21.75" x14ac:dyDescent="0.3">
      <c r="B220" s="9"/>
      <c r="C220" s="113"/>
      <c r="D220" s="99"/>
      <c r="E220" s="115"/>
      <c r="F220" s="117"/>
      <c r="G220" s="99"/>
      <c r="H220" s="99"/>
      <c r="I220" s="116"/>
      <c r="J220" s="111"/>
      <c r="K220" s="100"/>
      <c r="L220" s="100"/>
      <c r="M220" s="100"/>
      <c r="N220" s="110"/>
      <c r="O220" s="110"/>
      <c r="P220" s="100"/>
      <c r="Q220" s="118"/>
      <c r="R220" s="98"/>
      <c r="S220" s="119"/>
      <c r="T220" s="28"/>
      <c r="U220" s="28"/>
      <c r="V220" s="28"/>
      <c r="W220" s="101"/>
      <c r="X220" s="29"/>
      <c r="Y220" s="1"/>
      <c r="Z220" s="1"/>
      <c r="AA220" s="71">
        <v>45968</v>
      </c>
      <c r="AB220" s="104">
        <v>45979</v>
      </c>
      <c r="AC220" s="40" t="s">
        <v>590</v>
      </c>
      <c r="AD220" s="105">
        <v>0</v>
      </c>
      <c r="AE220" s="105">
        <v>0</v>
      </c>
      <c r="AF220" s="105">
        <v>0</v>
      </c>
      <c r="AG220" s="105">
        <v>0</v>
      </c>
      <c r="AH220" s="105">
        <v>0</v>
      </c>
      <c r="AI220" s="106">
        <v>0</v>
      </c>
      <c r="AJ220" s="107">
        <v>0</v>
      </c>
      <c r="AK220" s="112">
        <v>0</v>
      </c>
      <c r="AL220" s="112">
        <v>0</v>
      </c>
      <c r="AM220" s="45"/>
      <c r="AN220" s="45"/>
      <c r="AO220" s="45"/>
      <c r="AP220" s="45"/>
      <c r="AQ220" s="45"/>
      <c r="AR220" s="45"/>
      <c r="AS220" s="45"/>
      <c r="AT220" s="45"/>
      <c r="AU220" s="45"/>
      <c r="AV220" s="45"/>
      <c r="AW220" s="45"/>
      <c r="AX220" s="45"/>
      <c r="AY220" s="45"/>
      <c r="AZ220" s="45"/>
      <c r="BA220" s="45"/>
      <c r="BB220" s="45"/>
      <c r="BC220" s="45"/>
      <c r="BD220" s="45"/>
      <c r="BE220" s="45"/>
      <c r="BF220" s="45"/>
      <c r="BG220" s="45"/>
      <c r="BH220" s="45"/>
      <c r="BI220" s="45"/>
      <c r="BJ220" s="45"/>
      <c r="BK220" s="45"/>
      <c r="BL220" s="45"/>
      <c r="BM220" s="45"/>
      <c r="BN220" s="45"/>
      <c r="BO220" s="1"/>
      <c r="BP220" s="1"/>
    </row>
    <row r="221" spans="2:68" s="11" customFormat="1" ht="21.75" x14ac:dyDescent="0.3">
      <c r="B221" s="9"/>
      <c r="C221" s="113"/>
      <c r="D221" s="99"/>
      <c r="E221" s="115"/>
      <c r="F221" s="117"/>
      <c r="G221" s="99"/>
      <c r="H221" s="99"/>
      <c r="I221" s="116"/>
      <c r="J221" s="111"/>
      <c r="K221" s="100"/>
      <c r="L221" s="100"/>
      <c r="M221" s="100"/>
      <c r="N221" s="110"/>
      <c r="O221" s="110"/>
      <c r="P221" s="100"/>
      <c r="Q221" s="118"/>
      <c r="R221" s="98"/>
      <c r="S221" s="119"/>
      <c r="T221" s="28"/>
      <c r="U221" s="28"/>
      <c r="V221" s="28"/>
      <c r="W221" s="101"/>
      <c r="X221" s="29"/>
      <c r="Y221" s="1"/>
      <c r="Z221" s="1"/>
      <c r="AA221" s="71">
        <v>45968</v>
      </c>
      <c r="AB221" s="104">
        <v>45979</v>
      </c>
      <c r="AC221" s="40" t="s">
        <v>548</v>
      </c>
      <c r="AD221" s="105">
        <v>0</v>
      </c>
      <c r="AE221" s="105">
        <v>0</v>
      </c>
      <c r="AF221" s="105">
        <v>0</v>
      </c>
      <c r="AG221" s="105">
        <v>0</v>
      </c>
      <c r="AH221" s="105">
        <v>0</v>
      </c>
      <c r="AI221" s="106">
        <v>0</v>
      </c>
      <c r="AJ221" s="107">
        <v>0</v>
      </c>
      <c r="AK221" s="112">
        <v>0</v>
      </c>
      <c r="AL221" s="112">
        <v>0</v>
      </c>
      <c r="AM221" s="45"/>
      <c r="AN221" s="45"/>
      <c r="AO221" s="45"/>
      <c r="AP221" s="45"/>
      <c r="AQ221" s="45"/>
      <c r="AR221" s="45"/>
      <c r="AS221" s="45"/>
      <c r="AT221" s="45"/>
      <c r="AU221" s="45"/>
      <c r="AV221" s="45"/>
      <c r="AW221" s="45"/>
      <c r="AX221" s="45"/>
      <c r="AY221" s="45"/>
      <c r="AZ221" s="45"/>
      <c r="BA221" s="45"/>
      <c r="BB221" s="45"/>
      <c r="BC221" s="45"/>
      <c r="BD221" s="45"/>
      <c r="BE221" s="45"/>
      <c r="BF221" s="45"/>
      <c r="BG221" s="45"/>
      <c r="BH221" s="45"/>
      <c r="BI221" s="45"/>
      <c r="BJ221" s="45"/>
      <c r="BK221" s="45"/>
      <c r="BL221" s="45"/>
      <c r="BM221" s="45"/>
      <c r="BN221" s="45"/>
      <c r="BO221" s="1"/>
      <c r="BP221" s="1"/>
    </row>
    <row r="222" spans="2:68" s="11" customFormat="1" ht="21.75" x14ac:dyDescent="0.3">
      <c r="B222" s="9"/>
      <c r="C222" s="113"/>
      <c r="D222" s="99"/>
      <c r="E222" s="115"/>
      <c r="F222" s="117"/>
      <c r="G222" s="99"/>
      <c r="H222" s="99"/>
      <c r="I222" s="116"/>
      <c r="J222" s="111"/>
      <c r="K222" s="100"/>
      <c r="L222" s="100"/>
      <c r="M222" s="100"/>
      <c r="N222" s="110"/>
      <c r="O222" s="110"/>
      <c r="P222" s="100"/>
      <c r="Q222" s="118"/>
      <c r="R222" s="98"/>
      <c r="S222" s="119"/>
      <c r="T222" s="28"/>
      <c r="U222" s="28"/>
      <c r="V222" s="28"/>
      <c r="W222" s="101"/>
      <c r="X222" s="29"/>
      <c r="Y222" s="1"/>
      <c r="Z222" s="1"/>
      <c r="AA222" s="71">
        <v>45974</v>
      </c>
      <c r="AB222" s="104">
        <v>45979</v>
      </c>
      <c r="AC222" s="40" t="s">
        <v>549</v>
      </c>
      <c r="AD222" s="105">
        <v>0</v>
      </c>
      <c r="AE222" s="105">
        <v>0</v>
      </c>
      <c r="AF222" s="105">
        <v>0</v>
      </c>
      <c r="AG222" s="105">
        <v>0</v>
      </c>
      <c r="AH222" s="105">
        <v>0</v>
      </c>
      <c r="AI222" s="40" t="s">
        <v>650</v>
      </c>
      <c r="AJ222" s="107">
        <v>1269690</v>
      </c>
      <c r="AK222" s="112">
        <v>0</v>
      </c>
      <c r="AL222" s="112">
        <v>0</v>
      </c>
      <c r="AM222" s="45"/>
      <c r="AN222" s="45"/>
      <c r="AO222" s="45"/>
      <c r="AP222" s="45"/>
      <c r="AQ222" s="45"/>
      <c r="AR222" s="45"/>
      <c r="AS222" s="45"/>
      <c r="AT222" s="45"/>
      <c r="AU222" s="45"/>
      <c r="AV222" s="45"/>
      <c r="AW222" s="45"/>
      <c r="AX222" s="45"/>
      <c r="AY222" s="45"/>
      <c r="AZ222" s="45"/>
      <c r="BA222" s="45"/>
      <c r="BB222" s="45"/>
      <c r="BC222" s="45"/>
      <c r="BD222" s="45"/>
      <c r="BE222" s="45"/>
      <c r="BF222" s="45"/>
      <c r="BG222" s="45"/>
      <c r="BH222" s="45"/>
      <c r="BI222" s="45"/>
      <c r="BJ222" s="45"/>
      <c r="BK222" s="45"/>
      <c r="BL222" s="45"/>
      <c r="BM222" s="45"/>
      <c r="BN222" s="45"/>
      <c r="BO222" s="1"/>
      <c r="BP222" s="1"/>
    </row>
    <row r="223" spans="2:68" s="11" customFormat="1" ht="21.75" x14ac:dyDescent="0.3">
      <c r="B223" s="9"/>
      <c r="C223" s="113"/>
      <c r="D223" s="99"/>
      <c r="E223" s="115"/>
      <c r="F223" s="117"/>
      <c r="G223" s="99"/>
      <c r="H223" s="99"/>
      <c r="I223" s="116"/>
      <c r="J223" s="111"/>
      <c r="K223" s="100"/>
      <c r="L223" s="100"/>
      <c r="M223" s="100"/>
      <c r="N223" s="110"/>
      <c r="O223" s="110"/>
      <c r="P223" s="100"/>
      <c r="Q223" s="118"/>
      <c r="R223" s="98"/>
      <c r="S223" s="119"/>
      <c r="T223" s="28"/>
      <c r="U223" s="28"/>
      <c r="V223" s="28"/>
      <c r="W223" s="101"/>
      <c r="X223" s="29"/>
      <c r="Y223" s="1"/>
      <c r="Z223" s="1"/>
      <c r="AA223" s="71">
        <v>45968</v>
      </c>
      <c r="AB223" s="104">
        <v>45979</v>
      </c>
      <c r="AC223" s="40" t="s">
        <v>551</v>
      </c>
      <c r="AD223" s="105">
        <v>0</v>
      </c>
      <c r="AE223" s="105">
        <v>0</v>
      </c>
      <c r="AF223" s="105">
        <v>0</v>
      </c>
      <c r="AG223" s="105">
        <v>0</v>
      </c>
      <c r="AH223" s="105">
        <v>0</v>
      </c>
      <c r="AI223" s="106">
        <v>0</v>
      </c>
      <c r="AJ223" s="107">
        <v>0</v>
      </c>
      <c r="AK223" s="112">
        <v>0</v>
      </c>
      <c r="AL223" s="112">
        <v>0</v>
      </c>
      <c r="AM223" s="45"/>
      <c r="AN223" s="45"/>
      <c r="AO223" s="45"/>
      <c r="AP223" s="45"/>
      <c r="AQ223" s="45"/>
      <c r="AR223" s="45"/>
      <c r="AS223" s="45"/>
      <c r="AT223" s="45"/>
      <c r="AU223" s="45"/>
      <c r="AV223" s="45"/>
      <c r="AW223" s="45"/>
      <c r="AX223" s="45"/>
      <c r="AY223" s="45"/>
      <c r="AZ223" s="45"/>
      <c r="BA223" s="45"/>
      <c r="BB223" s="45"/>
      <c r="BC223" s="45"/>
      <c r="BD223" s="45"/>
      <c r="BE223" s="45"/>
      <c r="BF223" s="45"/>
      <c r="BG223" s="45"/>
      <c r="BH223" s="45"/>
      <c r="BI223" s="45"/>
      <c r="BJ223" s="45"/>
      <c r="BK223" s="45"/>
      <c r="BL223" s="45"/>
      <c r="BM223" s="45"/>
      <c r="BN223" s="45"/>
      <c r="BO223" s="1"/>
      <c r="BP223" s="1"/>
    </row>
    <row r="224" spans="2:68" s="11" customFormat="1" ht="21.75" x14ac:dyDescent="0.3">
      <c r="B224" s="9"/>
      <c r="C224" s="113"/>
      <c r="D224" s="99"/>
      <c r="E224" s="115"/>
      <c r="F224" s="117"/>
      <c r="G224" s="99"/>
      <c r="H224" s="99"/>
      <c r="I224" s="116"/>
      <c r="J224" s="111"/>
      <c r="K224" s="100"/>
      <c r="L224" s="100"/>
      <c r="M224" s="100"/>
      <c r="N224" s="110"/>
      <c r="O224" s="110"/>
      <c r="P224" s="100"/>
      <c r="Q224" s="118"/>
      <c r="R224" s="98"/>
      <c r="S224" s="119"/>
      <c r="T224" s="28"/>
      <c r="U224" s="28"/>
      <c r="V224" s="28"/>
      <c r="W224" s="101"/>
      <c r="X224" s="29"/>
      <c r="Y224" s="1"/>
      <c r="Z224" s="1"/>
      <c r="AA224" s="71">
        <v>45968</v>
      </c>
      <c r="AB224" s="104">
        <v>45979</v>
      </c>
      <c r="AC224" s="40" t="s">
        <v>552</v>
      </c>
      <c r="AD224" s="105">
        <v>0</v>
      </c>
      <c r="AE224" s="105">
        <v>0</v>
      </c>
      <c r="AF224" s="105">
        <v>0</v>
      </c>
      <c r="AG224" s="105">
        <v>0</v>
      </c>
      <c r="AH224" s="105">
        <v>0</v>
      </c>
      <c r="AI224" s="106">
        <v>0</v>
      </c>
      <c r="AJ224" s="107">
        <v>0</v>
      </c>
      <c r="AK224" s="112">
        <v>0</v>
      </c>
      <c r="AL224" s="112">
        <v>0</v>
      </c>
      <c r="AM224" s="45"/>
      <c r="AN224" s="45"/>
      <c r="AO224" s="45"/>
      <c r="AP224" s="45"/>
      <c r="AQ224" s="45"/>
      <c r="AR224" s="45"/>
      <c r="AS224" s="45"/>
      <c r="AT224" s="45"/>
      <c r="AU224" s="45"/>
      <c r="AV224" s="45"/>
      <c r="AW224" s="45"/>
      <c r="AX224" s="45"/>
      <c r="AY224" s="45"/>
      <c r="AZ224" s="45"/>
      <c r="BA224" s="45"/>
      <c r="BB224" s="45"/>
      <c r="BC224" s="45"/>
      <c r="BD224" s="45"/>
      <c r="BE224" s="45"/>
      <c r="BF224" s="45"/>
      <c r="BG224" s="45"/>
      <c r="BH224" s="45"/>
      <c r="BI224" s="45"/>
      <c r="BJ224" s="45"/>
      <c r="BK224" s="45"/>
      <c r="BL224" s="45"/>
      <c r="BM224" s="45"/>
      <c r="BN224" s="45"/>
      <c r="BO224" s="1"/>
      <c r="BP224" s="1"/>
    </row>
    <row r="225" spans="2:68" s="11" customFormat="1" ht="21.75" x14ac:dyDescent="0.3">
      <c r="B225" s="9"/>
      <c r="C225" s="113"/>
      <c r="D225" s="99"/>
      <c r="E225" s="115"/>
      <c r="F225" s="117"/>
      <c r="G225" s="99"/>
      <c r="H225" s="99"/>
      <c r="I225" s="116"/>
      <c r="J225" s="111"/>
      <c r="K225" s="100"/>
      <c r="L225" s="100"/>
      <c r="M225" s="100"/>
      <c r="N225" s="110"/>
      <c r="O225" s="110"/>
      <c r="P225" s="100"/>
      <c r="Q225" s="118"/>
      <c r="R225" s="98"/>
      <c r="S225" s="119"/>
      <c r="T225" s="28"/>
      <c r="U225" s="28"/>
      <c r="V225" s="28"/>
      <c r="W225" s="101"/>
      <c r="X225" s="29"/>
      <c r="Y225" s="1"/>
      <c r="Z225" s="1"/>
      <c r="AA225" s="71">
        <v>45968</v>
      </c>
      <c r="AB225" s="104">
        <v>45979</v>
      </c>
      <c r="AC225" s="40" t="s">
        <v>553</v>
      </c>
      <c r="AD225" s="105">
        <v>0</v>
      </c>
      <c r="AE225" s="105">
        <v>0</v>
      </c>
      <c r="AF225" s="105">
        <v>0</v>
      </c>
      <c r="AG225" s="105">
        <v>0</v>
      </c>
      <c r="AH225" s="105">
        <v>0</v>
      </c>
      <c r="AI225" s="106">
        <v>0</v>
      </c>
      <c r="AJ225" s="107">
        <v>0</v>
      </c>
      <c r="AK225" s="112">
        <v>0</v>
      </c>
      <c r="AL225" s="112">
        <v>0</v>
      </c>
      <c r="AM225" s="45"/>
      <c r="AN225" s="45"/>
      <c r="AO225" s="45"/>
      <c r="AP225" s="45"/>
      <c r="AQ225" s="45"/>
      <c r="AR225" s="45"/>
      <c r="AS225" s="45"/>
      <c r="AT225" s="45"/>
      <c r="AU225" s="45"/>
      <c r="AV225" s="45"/>
      <c r="AW225" s="45"/>
      <c r="AX225" s="45"/>
      <c r="AY225" s="45"/>
      <c r="AZ225" s="45"/>
      <c r="BA225" s="45"/>
      <c r="BB225" s="45"/>
      <c r="BC225" s="45"/>
      <c r="BD225" s="45"/>
      <c r="BE225" s="45"/>
      <c r="BF225" s="45"/>
      <c r="BG225" s="45"/>
      <c r="BH225" s="45"/>
      <c r="BI225" s="45"/>
      <c r="BJ225" s="45"/>
      <c r="BK225" s="45"/>
      <c r="BL225" s="45"/>
      <c r="BM225" s="45"/>
      <c r="BN225" s="45"/>
      <c r="BO225" s="1"/>
      <c r="BP225" s="1"/>
    </row>
    <row r="226" spans="2:68" s="11" customFormat="1" ht="21.75" x14ac:dyDescent="0.3">
      <c r="B226" s="9"/>
      <c r="C226" s="113"/>
      <c r="D226" s="99"/>
      <c r="E226" s="115"/>
      <c r="F226" s="117"/>
      <c r="G226" s="99"/>
      <c r="H226" s="99"/>
      <c r="I226" s="116"/>
      <c r="J226" s="111"/>
      <c r="K226" s="100"/>
      <c r="L226" s="100"/>
      <c r="M226" s="100"/>
      <c r="N226" s="110"/>
      <c r="O226" s="110"/>
      <c r="P226" s="100"/>
      <c r="Q226" s="118"/>
      <c r="R226" s="98"/>
      <c r="S226" s="119"/>
      <c r="T226" s="28"/>
      <c r="U226" s="28"/>
      <c r="V226" s="28"/>
      <c r="W226" s="101"/>
      <c r="X226" s="29"/>
      <c r="Y226" s="1"/>
      <c r="Z226" s="1"/>
      <c r="AA226" s="71">
        <v>45968</v>
      </c>
      <c r="AB226" s="104">
        <v>45979</v>
      </c>
      <c r="AC226" s="40" t="s">
        <v>550</v>
      </c>
      <c r="AD226" s="105">
        <v>0</v>
      </c>
      <c r="AE226" s="105">
        <v>0</v>
      </c>
      <c r="AF226" s="105">
        <v>0</v>
      </c>
      <c r="AG226" s="105">
        <v>0</v>
      </c>
      <c r="AH226" s="105">
        <v>0</v>
      </c>
      <c r="AI226" s="106">
        <v>0</v>
      </c>
      <c r="AJ226" s="107">
        <v>0</v>
      </c>
      <c r="AK226" s="112">
        <v>0</v>
      </c>
      <c r="AL226" s="112">
        <v>0</v>
      </c>
      <c r="AM226" s="45"/>
      <c r="AN226" s="45"/>
      <c r="AO226" s="45"/>
      <c r="AP226" s="45"/>
      <c r="AQ226" s="45"/>
      <c r="AR226" s="45"/>
      <c r="AS226" s="45"/>
      <c r="AT226" s="45"/>
      <c r="AU226" s="45"/>
      <c r="AV226" s="45"/>
      <c r="AW226" s="45"/>
      <c r="AX226" s="45"/>
      <c r="AY226" s="45"/>
      <c r="AZ226" s="45"/>
      <c r="BA226" s="45"/>
      <c r="BB226" s="45"/>
      <c r="BC226" s="45"/>
      <c r="BD226" s="45"/>
      <c r="BE226" s="45"/>
      <c r="BF226" s="45"/>
      <c r="BG226" s="45"/>
      <c r="BH226" s="45"/>
      <c r="BI226" s="45"/>
      <c r="BJ226" s="45"/>
      <c r="BK226" s="45"/>
      <c r="BL226" s="45"/>
      <c r="BM226" s="45"/>
      <c r="BN226" s="45"/>
      <c r="BO226" s="1"/>
      <c r="BP226" s="1"/>
    </row>
    <row r="227" spans="2:68" s="11" customFormat="1" ht="21.75" x14ac:dyDescent="0.3">
      <c r="B227" s="9"/>
      <c r="C227" s="113"/>
      <c r="D227" s="99"/>
      <c r="E227" s="115"/>
      <c r="F227" s="117"/>
      <c r="G227" s="99"/>
      <c r="H227" s="99"/>
      <c r="I227" s="116"/>
      <c r="J227" s="111"/>
      <c r="K227" s="100"/>
      <c r="L227" s="100"/>
      <c r="M227" s="100"/>
      <c r="N227" s="110"/>
      <c r="O227" s="110"/>
      <c r="P227" s="100"/>
      <c r="Q227" s="118"/>
      <c r="R227" s="98"/>
      <c r="S227" s="119"/>
      <c r="T227" s="28"/>
      <c r="U227" s="28"/>
      <c r="V227" s="28"/>
      <c r="W227" s="101"/>
      <c r="X227" s="29"/>
      <c r="Y227" s="1"/>
      <c r="Z227" s="1"/>
      <c r="AA227" s="71">
        <v>45968</v>
      </c>
      <c r="AB227" s="104">
        <v>45979</v>
      </c>
      <c r="AC227" s="40" t="s">
        <v>557</v>
      </c>
      <c r="AD227" s="105">
        <v>0</v>
      </c>
      <c r="AE227" s="105">
        <v>0</v>
      </c>
      <c r="AF227" s="105">
        <v>0</v>
      </c>
      <c r="AG227" s="105">
        <v>0</v>
      </c>
      <c r="AH227" s="105">
        <v>0</v>
      </c>
      <c r="AI227" s="40" t="s">
        <v>658</v>
      </c>
      <c r="AJ227" s="107">
        <v>323230</v>
      </c>
      <c r="AK227" s="112">
        <v>0</v>
      </c>
      <c r="AL227" s="112">
        <v>0</v>
      </c>
      <c r="AM227" s="45"/>
      <c r="AN227" s="45"/>
      <c r="AO227" s="45"/>
      <c r="AP227" s="45"/>
      <c r="AQ227" s="45"/>
      <c r="AR227" s="45"/>
      <c r="AS227" s="45"/>
      <c r="AT227" s="45"/>
      <c r="AU227" s="45"/>
      <c r="AV227" s="45"/>
      <c r="AW227" s="45"/>
      <c r="AX227" s="45"/>
      <c r="AY227" s="45"/>
      <c r="AZ227" s="45"/>
      <c r="BA227" s="45"/>
      <c r="BB227" s="45"/>
      <c r="BC227" s="45"/>
      <c r="BD227" s="45"/>
      <c r="BE227" s="45"/>
      <c r="BF227" s="45"/>
      <c r="BG227" s="45"/>
      <c r="BH227" s="45"/>
      <c r="BI227" s="45"/>
      <c r="BJ227" s="45"/>
      <c r="BK227" s="45"/>
      <c r="BL227" s="45"/>
      <c r="BM227" s="45"/>
      <c r="BN227" s="45"/>
      <c r="BO227" s="1"/>
      <c r="BP227" s="1"/>
    </row>
    <row r="228" spans="2:68" s="11" customFormat="1" ht="21.75" x14ac:dyDescent="0.3">
      <c r="B228" s="9"/>
      <c r="C228" s="113"/>
      <c r="D228" s="99"/>
      <c r="E228" s="115"/>
      <c r="F228" s="117"/>
      <c r="G228" s="99"/>
      <c r="H228" s="99"/>
      <c r="I228" s="116"/>
      <c r="J228" s="111"/>
      <c r="K228" s="100"/>
      <c r="L228" s="100"/>
      <c r="M228" s="100"/>
      <c r="N228" s="110"/>
      <c r="O228" s="110"/>
      <c r="P228" s="100"/>
      <c r="Q228" s="118"/>
      <c r="R228" s="98"/>
      <c r="S228" s="119"/>
      <c r="T228" s="28"/>
      <c r="U228" s="28"/>
      <c r="V228" s="28"/>
      <c r="W228" s="101"/>
      <c r="X228" s="29"/>
      <c r="Y228" s="1"/>
      <c r="Z228" s="1"/>
      <c r="AA228" s="71">
        <v>45968</v>
      </c>
      <c r="AB228" s="104">
        <v>45979</v>
      </c>
      <c r="AC228" s="40" t="s">
        <v>557</v>
      </c>
      <c r="AD228" s="105">
        <v>0</v>
      </c>
      <c r="AE228" s="105">
        <v>0</v>
      </c>
      <c r="AF228" s="105">
        <v>0</v>
      </c>
      <c r="AG228" s="105">
        <v>0</v>
      </c>
      <c r="AH228" s="105">
        <v>0</v>
      </c>
      <c r="AI228" s="40" t="s">
        <v>658</v>
      </c>
      <c r="AJ228" s="107">
        <v>323230</v>
      </c>
      <c r="AK228" s="112">
        <v>0</v>
      </c>
      <c r="AL228" s="112">
        <v>0</v>
      </c>
      <c r="AM228" s="45"/>
      <c r="AN228" s="45"/>
      <c r="AO228" s="45"/>
      <c r="AP228" s="45"/>
      <c r="AQ228" s="45"/>
      <c r="AR228" s="45"/>
      <c r="AS228" s="45"/>
      <c r="AT228" s="45"/>
      <c r="AU228" s="45"/>
      <c r="AV228" s="45"/>
      <c r="AW228" s="45"/>
      <c r="AX228" s="45"/>
      <c r="AY228" s="45"/>
      <c r="AZ228" s="45"/>
      <c r="BA228" s="45"/>
      <c r="BB228" s="45"/>
      <c r="BC228" s="45"/>
      <c r="BD228" s="45"/>
      <c r="BE228" s="45"/>
      <c r="BF228" s="45"/>
      <c r="BG228" s="45"/>
      <c r="BH228" s="45"/>
      <c r="BI228" s="45"/>
      <c r="BJ228" s="45"/>
      <c r="BK228" s="45"/>
      <c r="BL228" s="45"/>
      <c r="BM228" s="45"/>
      <c r="BN228" s="45"/>
      <c r="BO228" s="1"/>
      <c r="BP228" s="1"/>
    </row>
    <row r="229" spans="2:68" s="11" customFormat="1" ht="21.75" x14ac:dyDescent="0.3">
      <c r="B229" s="9"/>
      <c r="C229" s="113"/>
      <c r="D229" s="99"/>
      <c r="E229" s="115"/>
      <c r="F229" s="117"/>
      <c r="G229" s="99"/>
      <c r="H229" s="99"/>
      <c r="I229" s="116"/>
      <c r="J229" s="111"/>
      <c r="K229" s="100"/>
      <c r="L229" s="100"/>
      <c r="M229" s="100"/>
      <c r="N229" s="110"/>
      <c r="O229" s="110"/>
      <c r="P229" s="100"/>
      <c r="Q229" s="118"/>
      <c r="R229" s="98"/>
      <c r="S229" s="119"/>
      <c r="T229" s="28"/>
      <c r="U229" s="28"/>
      <c r="V229" s="28"/>
      <c r="W229" s="101"/>
      <c r="X229" s="29"/>
      <c r="Y229" s="1"/>
      <c r="Z229" s="1"/>
      <c r="AA229" s="71">
        <v>45968</v>
      </c>
      <c r="AB229" s="104">
        <v>45979</v>
      </c>
      <c r="AC229" s="40" t="s">
        <v>556</v>
      </c>
      <c r="AD229" s="105">
        <v>0</v>
      </c>
      <c r="AE229" s="105">
        <v>0</v>
      </c>
      <c r="AF229" s="105">
        <v>0</v>
      </c>
      <c r="AG229" s="105">
        <v>0</v>
      </c>
      <c r="AH229" s="105">
        <v>0</v>
      </c>
      <c r="AI229" s="40" t="s">
        <v>658</v>
      </c>
      <c r="AJ229" s="107">
        <v>323230</v>
      </c>
      <c r="AK229" s="112">
        <v>0</v>
      </c>
      <c r="AL229" s="112">
        <v>0</v>
      </c>
      <c r="AM229" s="45"/>
      <c r="AN229" s="45"/>
      <c r="AO229" s="45"/>
      <c r="AP229" s="45"/>
      <c r="AQ229" s="45"/>
      <c r="AR229" s="45"/>
      <c r="AS229" s="45"/>
      <c r="AT229" s="45"/>
      <c r="AU229" s="45"/>
      <c r="AV229" s="45"/>
      <c r="AW229" s="45"/>
      <c r="AX229" s="45"/>
      <c r="AY229" s="45"/>
      <c r="AZ229" s="45"/>
      <c r="BA229" s="45"/>
      <c r="BB229" s="45"/>
      <c r="BC229" s="45"/>
      <c r="BD229" s="45"/>
      <c r="BE229" s="45"/>
      <c r="BF229" s="45"/>
      <c r="BG229" s="45"/>
      <c r="BH229" s="45"/>
      <c r="BI229" s="45"/>
      <c r="BJ229" s="45"/>
      <c r="BK229" s="45"/>
      <c r="BL229" s="45"/>
      <c r="BM229" s="45"/>
      <c r="BN229" s="45"/>
      <c r="BO229" s="1"/>
      <c r="BP229" s="1"/>
    </row>
    <row r="230" spans="2:68" s="11" customFormat="1" ht="21.75" x14ac:dyDescent="0.3">
      <c r="B230" s="9"/>
      <c r="C230" s="113"/>
      <c r="D230" s="99"/>
      <c r="E230" s="115"/>
      <c r="F230" s="117"/>
      <c r="G230" s="99"/>
      <c r="H230" s="99"/>
      <c r="I230" s="116"/>
      <c r="J230" s="111"/>
      <c r="K230" s="100"/>
      <c r="L230" s="100"/>
      <c r="M230" s="100"/>
      <c r="N230" s="110"/>
      <c r="O230" s="110"/>
      <c r="P230" s="100"/>
      <c r="Q230" s="118"/>
      <c r="R230" s="98"/>
      <c r="S230" s="119"/>
      <c r="T230" s="28"/>
      <c r="U230" s="28"/>
      <c r="V230" s="28"/>
      <c r="W230" s="101"/>
      <c r="X230" s="29"/>
      <c r="Y230" s="1"/>
      <c r="Z230" s="1"/>
      <c r="AA230" s="71">
        <v>45968</v>
      </c>
      <c r="AB230" s="104">
        <v>45979</v>
      </c>
      <c r="AC230" s="40" t="s">
        <v>557</v>
      </c>
      <c r="AD230" s="105">
        <v>0</v>
      </c>
      <c r="AE230" s="105">
        <v>0</v>
      </c>
      <c r="AF230" s="105">
        <v>0</v>
      </c>
      <c r="AG230" s="105">
        <v>0</v>
      </c>
      <c r="AH230" s="105">
        <v>0</v>
      </c>
      <c r="AI230" s="40" t="s">
        <v>658</v>
      </c>
      <c r="AJ230" s="107">
        <v>323230</v>
      </c>
      <c r="AK230" s="112">
        <v>0</v>
      </c>
      <c r="AL230" s="112">
        <v>0</v>
      </c>
      <c r="AM230" s="45"/>
      <c r="AN230" s="45"/>
      <c r="AO230" s="45"/>
      <c r="AP230" s="45"/>
      <c r="AQ230" s="45"/>
      <c r="AR230" s="45"/>
      <c r="AS230" s="45"/>
      <c r="AT230" s="45"/>
      <c r="AU230" s="45"/>
      <c r="AV230" s="45"/>
      <c r="AW230" s="45"/>
      <c r="AX230" s="45"/>
      <c r="AY230" s="45"/>
      <c r="AZ230" s="45"/>
      <c r="BA230" s="45"/>
      <c r="BB230" s="45"/>
      <c r="BC230" s="45"/>
      <c r="BD230" s="45"/>
      <c r="BE230" s="45"/>
      <c r="BF230" s="45"/>
      <c r="BG230" s="45"/>
      <c r="BH230" s="45"/>
      <c r="BI230" s="45"/>
      <c r="BJ230" s="45"/>
      <c r="BK230" s="45"/>
      <c r="BL230" s="45"/>
      <c r="BM230" s="45"/>
      <c r="BN230" s="45"/>
      <c r="BO230" s="1"/>
      <c r="BP230" s="1"/>
    </row>
    <row r="231" spans="2:68" s="11" customFormat="1" ht="21.75" x14ac:dyDescent="0.3">
      <c r="B231" s="9"/>
      <c r="C231" s="113"/>
      <c r="D231" s="99"/>
      <c r="E231" s="115"/>
      <c r="F231" s="117"/>
      <c r="G231" s="99"/>
      <c r="H231" s="99"/>
      <c r="I231" s="116"/>
      <c r="J231" s="111"/>
      <c r="K231" s="100"/>
      <c r="L231" s="100"/>
      <c r="M231" s="100"/>
      <c r="N231" s="110"/>
      <c r="O231" s="110"/>
      <c r="P231" s="100"/>
      <c r="Q231" s="118"/>
      <c r="R231" s="98"/>
      <c r="S231" s="119"/>
      <c r="T231" s="28"/>
      <c r="U231" s="28"/>
      <c r="V231" s="28"/>
      <c r="W231" s="101"/>
      <c r="X231" s="29"/>
      <c r="Y231" s="1"/>
      <c r="Z231" s="1"/>
      <c r="AA231" s="71">
        <v>45968</v>
      </c>
      <c r="AB231" s="104">
        <v>45979</v>
      </c>
      <c r="AC231" s="40" t="s">
        <v>558</v>
      </c>
      <c r="AD231" s="105">
        <v>0</v>
      </c>
      <c r="AE231" s="105">
        <v>0</v>
      </c>
      <c r="AF231" s="105">
        <v>0</v>
      </c>
      <c r="AG231" s="105">
        <v>0</v>
      </c>
      <c r="AH231" s="105">
        <v>0</v>
      </c>
      <c r="AI231" s="40" t="s">
        <v>658</v>
      </c>
      <c r="AJ231" s="107">
        <v>323230</v>
      </c>
      <c r="AK231" s="112">
        <v>0</v>
      </c>
      <c r="AL231" s="112">
        <v>0</v>
      </c>
      <c r="AM231" s="45"/>
      <c r="AN231" s="45"/>
      <c r="AO231" s="45"/>
      <c r="AP231" s="45"/>
      <c r="AQ231" s="45"/>
      <c r="AR231" s="45"/>
      <c r="AS231" s="45"/>
      <c r="AT231" s="45"/>
      <c r="AU231" s="45"/>
      <c r="AV231" s="45"/>
      <c r="AW231" s="45"/>
      <c r="AX231" s="45"/>
      <c r="AY231" s="45"/>
      <c r="AZ231" s="45"/>
      <c r="BA231" s="45"/>
      <c r="BB231" s="45"/>
      <c r="BC231" s="45"/>
      <c r="BD231" s="45"/>
      <c r="BE231" s="45"/>
      <c r="BF231" s="45"/>
      <c r="BG231" s="45"/>
      <c r="BH231" s="45"/>
      <c r="BI231" s="45"/>
      <c r="BJ231" s="45"/>
      <c r="BK231" s="45"/>
      <c r="BL231" s="45"/>
      <c r="BM231" s="45"/>
      <c r="BN231" s="45"/>
      <c r="BO231" s="1"/>
      <c r="BP231" s="1"/>
    </row>
    <row r="232" spans="2:68" s="11" customFormat="1" ht="21.75" x14ac:dyDescent="0.3">
      <c r="B232" s="9"/>
      <c r="C232" s="113"/>
      <c r="D232" s="99"/>
      <c r="E232" s="115"/>
      <c r="F232" s="117"/>
      <c r="G232" s="99"/>
      <c r="H232" s="99"/>
      <c r="I232" s="116"/>
      <c r="J232" s="111"/>
      <c r="K232" s="100"/>
      <c r="L232" s="100"/>
      <c r="M232" s="100"/>
      <c r="N232" s="110"/>
      <c r="O232" s="110"/>
      <c r="P232" s="100"/>
      <c r="Q232" s="118"/>
      <c r="R232" s="98"/>
      <c r="S232" s="119"/>
      <c r="T232" s="28"/>
      <c r="U232" s="28"/>
      <c r="V232" s="28"/>
      <c r="W232" s="101"/>
      <c r="X232" s="29"/>
      <c r="Y232" s="1"/>
      <c r="Z232" s="1"/>
      <c r="AA232" s="71">
        <v>45968</v>
      </c>
      <c r="AB232" s="104">
        <v>45979</v>
      </c>
      <c r="AC232" s="40" t="s">
        <v>561</v>
      </c>
      <c r="AD232" s="105">
        <v>0</v>
      </c>
      <c r="AE232" s="105">
        <v>0</v>
      </c>
      <c r="AF232" s="105">
        <v>0</v>
      </c>
      <c r="AG232" s="105">
        <v>0</v>
      </c>
      <c r="AH232" s="105">
        <v>0</v>
      </c>
      <c r="AI232" s="106">
        <v>0</v>
      </c>
      <c r="AJ232" s="107">
        <v>0</v>
      </c>
      <c r="AK232" s="112">
        <v>0</v>
      </c>
      <c r="AL232" s="112">
        <v>0</v>
      </c>
      <c r="AM232" s="45"/>
      <c r="AN232" s="45"/>
      <c r="AO232" s="45"/>
      <c r="AP232" s="45"/>
      <c r="AQ232" s="45"/>
      <c r="AR232" s="45"/>
      <c r="AS232" s="45"/>
      <c r="AT232" s="45"/>
      <c r="AU232" s="45"/>
      <c r="AV232" s="45"/>
      <c r="AW232" s="45"/>
      <c r="AX232" s="45"/>
      <c r="AY232" s="45"/>
      <c r="AZ232" s="45"/>
      <c r="BA232" s="45"/>
      <c r="BB232" s="45"/>
      <c r="BC232" s="45"/>
      <c r="BD232" s="45"/>
      <c r="BE232" s="45"/>
      <c r="BF232" s="45"/>
      <c r="BG232" s="45"/>
      <c r="BH232" s="45"/>
      <c r="BI232" s="45"/>
      <c r="BJ232" s="45"/>
      <c r="BK232" s="45"/>
      <c r="BL232" s="45"/>
      <c r="BM232" s="45"/>
      <c r="BN232" s="45"/>
      <c r="BO232" s="1"/>
      <c r="BP232" s="1"/>
    </row>
    <row r="233" spans="2:68" s="11" customFormat="1" ht="21.75" x14ac:dyDescent="0.3">
      <c r="B233" s="9"/>
      <c r="C233" s="113"/>
      <c r="D233" s="99"/>
      <c r="E233" s="115"/>
      <c r="F233" s="117"/>
      <c r="G233" s="99"/>
      <c r="H233" s="99"/>
      <c r="I233" s="116"/>
      <c r="J233" s="111"/>
      <c r="K233" s="100"/>
      <c r="L233" s="100"/>
      <c r="M233" s="100"/>
      <c r="N233" s="110"/>
      <c r="O233" s="110"/>
      <c r="P233" s="100"/>
      <c r="Q233" s="118"/>
      <c r="R233" s="98"/>
      <c r="S233" s="119"/>
      <c r="T233" s="28"/>
      <c r="U233" s="28"/>
      <c r="V233" s="28"/>
      <c r="W233" s="101"/>
      <c r="X233" s="29"/>
      <c r="Y233" s="1"/>
      <c r="Z233" s="1"/>
      <c r="AA233" s="71">
        <v>45968</v>
      </c>
      <c r="AB233" s="104">
        <v>45979</v>
      </c>
      <c r="AC233" s="40" t="s">
        <v>559</v>
      </c>
      <c r="AD233" s="105">
        <v>0</v>
      </c>
      <c r="AE233" s="105">
        <v>0</v>
      </c>
      <c r="AF233" s="105">
        <v>0</v>
      </c>
      <c r="AG233" s="105">
        <v>0</v>
      </c>
      <c r="AH233" s="105">
        <v>0</v>
      </c>
      <c r="AI233" s="106">
        <v>0</v>
      </c>
      <c r="AJ233" s="107">
        <v>0</v>
      </c>
      <c r="AK233" s="112">
        <v>0</v>
      </c>
      <c r="AL233" s="112">
        <v>0</v>
      </c>
      <c r="AM233" s="45"/>
      <c r="AN233" s="45"/>
      <c r="AO233" s="45"/>
      <c r="AP233" s="45"/>
      <c r="AQ233" s="45"/>
      <c r="AR233" s="45"/>
      <c r="AS233" s="45"/>
      <c r="AT233" s="45"/>
      <c r="AU233" s="45"/>
      <c r="AV233" s="45"/>
      <c r="AW233" s="45"/>
      <c r="AX233" s="45"/>
      <c r="AY233" s="45"/>
      <c r="AZ233" s="45"/>
      <c r="BA233" s="45"/>
      <c r="BB233" s="45"/>
      <c r="BC233" s="45"/>
      <c r="BD233" s="45"/>
      <c r="BE233" s="45"/>
      <c r="BF233" s="45"/>
      <c r="BG233" s="45"/>
      <c r="BH233" s="45"/>
      <c r="BI233" s="45"/>
      <c r="BJ233" s="45"/>
      <c r="BK233" s="45"/>
      <c r="BL233" s="45"/>
      <c r="BM233" s="45"/>
      <c r="BN233" s="45"/>
      <c r="BO233" s="1"/>
      <c r="BP233" s="1"/>
    </row>
    <row r="234" spans="2:68" s="11" customFormat="1" ht="21.75" x14ac:dyDescent="0.3">
      <c r="B234" s="9"/>
      <c r="C234" s="113"/>
      <c r="D234" s="99"/>
      <c r="E234" s="115"/>
      <c r="F234" s="117"/>
      <c r="G234" s="99"/>
      <c r="H234" s="99"/>
      <c r="I234" s="116"/>
      <c r="J234" s="111"/>
      <c r="K234" s="100"/>
      <c r="L234" s="100"/>
      <c r="M234" s="100"/>
      <c r="N234" s="110"/>
      <c r="O234" s="110"/>
      <c r="P234" s="100"/>
      <c r="Q234" s="118"/>
      <c r="R234" s="98"/>
      <c r="S234" s="119"/>
      <c r="T234" s="28"/>
      <c r="U234" s="28"/>
      <c r="V234" s="28"/>
      <c r="W234" s="101"/>
      <c r="X234" s="29"/>
      <c r="Y234" s="1"/>
      <c r="Z234" s="1"/>
      <c r="AA234" s="71">
        <v>45968</v>
      </c>
      <c r="AB234" s="104">
        <v>45979</v>
      </c>
      <c r="AC234" s="40" t="s">
        <v>560</v>
      </c>
      <c r="AD234" s="105">
        <v>0</v>
      </c>
      <c r="AE234" s="105">
        <v>0</v>
      </c>
      <c r="AF234" s="105">
        <v>0</v>
      </c>
      <c r="AG234" s="105">
        <v>0</v>
      </c>
      <c r="AH234" s="105">
        <v>0</v>
      </c>
      <c r="AI234" s="106">
        <v>0</v>
      </c>
      <c r="AJ234" s="107">
        <v>0</v>
      </c>
      <c r="AK234" s="112">
        <v>0</v>
      </c>
      <c r="AL234" s="112">
        <v>0</v>
      </c>
      <c r="AM234" s="45"/>
      <c r="AN234" s="45"/>
      <c r="AO234" s="45"/>
      <c r="AP234" s="45"/>
      <c r="AQ234" s="45"/>
      <c r="AR234" s="45"/>
      <c r="AS234" s="45"/>
      <c r="AT234" s="45"/>
      <c r="AU234" s="45"/>
      <c r="AV234" s="45"/>
      <c r="AW234" s="45"/>
      <c r="AX234" s="45"/>
      <c r="AY234" s="45"/>
      <c r="AZ234" s="45"/>
      <c r="BA234" s="45"/>
      <c r="BB234" s="45"/>
      <c r="BC234" s="45"/>
      <c r="BD234" s="45"/>
      <c r="BE234" s="45"/>
      <c r="BF234" s="45"/>
      <c r="BG234" s="45"/>
      <c r="BH234" s="45"/>
      <c r="BI234" s="45"/>
      <c r="BJ234" s="45"/>
      <c r="BK234" s="45"/>
      <c r="BL234" s="45"/>
      <c r="BM234" s="45"/>
      <c r="BN234" s="45"/>
      <c r="BO234" s="1"/>
      <c r="BP234" s="1"/>
    </row>
    <row r="235" spans="2:68" s="11" customFormat="1" ht="21.75" x14ac:dyDescent="0.3">
      <c r="B235" s="9"/>
      <c r="C235" s="113"/>
      <c r="D235" s="99"/>
      <c r="E235" s="115"/>
      <c r="F235" s="117"/>
      <c r="G235" s="99"/>
      <c r="H235" s="99"/>
      <c r="I235" s="116"/>
      <c r="J235" s="111"/>
      <c r="K235" s="100"/>
      <c r="L235" s="100"/>
      <c r="M235" s="100"/>
      <c r="N235" s="110"/>
      <c r="O235" s="110"/>
      <c r="P235" s="100"/>
      <c r="Q235" s="118"/>
      <c r="R235" s="98"/>
      <c r="S235" s="119"/>
      <c r="T235" s="28"/>
      <c r="U235" s="28"/>
      <c r="V235" s="28"/>
      <c r="W235" s="101"/>
      <c r="X235" s="29"/>
      <c r="Y235" s="1"/>
      <c r="Z235" s="1"/>
      <c r="AA235" s="71">
        <v>45968</v>
      </c>
      <c r="AB235" s="104">
        <v>45979</v>
      </c>
      <c r="AC235" s="40" t="s">
        <v>561</v>
      </c>
      <c r="AD235" s="105">
        <v>0</v>
      </c>
      <c r="AE235" s="105">
        <v>0</v>
      </c>
      <c r="AF235" s="105">
        <v>0</v>
      </c>
      <c r="AG235" s="105">
        <v>0</v>
      </c>
      <c r="AH235" s="105">
        <v>0</v>
      </c>
      <c r="AI235" s="106">
        <v>0</v>
      </c>
      <c r="AJ235" s="107">
        <v>0</v>
      </c>
      <c r="AK235" s="112">
        <v>0</v>
      </c>
      <c r="AL235" s="112">
        <v>0</v>
      </c>
      <c r="AM235" s="45"/>
      <c r="AN235" s="45"/>
      <c r="AO235" s="45"/>
      <c r="AP235" s="45"/>
      <c r="AQ235" s="45"/>
      <c r="AR235" s="45"/>
      <c r="AS235" s="45"/>
      <c r="AT235" s="45"/>
      <c r="AU235" s="45"/>
      <c r="AV235" s="45"/>
      <c r="AW235" s="45"/>
      <c r="AX235" s="45"/>
      <c r="AY235" s="45"/>
      <c r="AZ235" s="45"/>
      <c r="BA235" s="45"/>
      <c r="BB235" s="45"/>
      <c r="BC235" s="45"/>
      <c r="BD235" s="45"/>
      <c r="BE235" s="45"/>
      <c r="BF235" s="45"/>
      <c r="BG235" s="45"/>
      <c r="BH235" s="45"/>
      <c r="BI235" s="45"/>
      <c r="BJ235" s="45"/>
      <c r="BK235" s="45"/>
      <c r="BL235" s="45"/>
      <c r="BM235" s="45"/>
      <c r="BN235" s="45"/>
      <c r="BO235" s="1"/>
      <c r="BP235" s="1"/>
    </row>
    <row r="236" spans="2:68" s="11" customFormat="1" ht="21.75" x14ac:dyDescent="0.3">
      <c r="B236" s="9"/>
      <c r="C236" s="113"/>
      <c r="D236" s="99"/>
      <c r="E236" s="115"/>
      <c r="F236" s="117"/>
      <c r="G236" s="99"/>
      <c r="H236" s="99"/>
      <c r="I236" s="116"/>
      <c r="J236" s="111"/>
      <c r="K236" s="100"/>
      <c r="L236" s="100"/>
      <c r="M236" s="100"/>
      <c r="N236" s="110"/>
      <c r="O236" s="110"/>
      <c r="P236" s="100"/>
      <c r="Q236" s="118"/>
      <c r="R236" s="98"/>
      <c r="S236" s="119"/>
      <c r="T236" s="28"/>
      <c r="U236" s="28"/>
      <c r="V236" s="28"/>
      <c r="W236" s="101"/>
      <c r="X236" s="29"/>
      <c r="Y236" s="1"/>
      <c r="Z236" s="1"/>
      <c r="AA236" s="71">
        <v>45968</v>
      </c>
      <c r="AB236" s="104">
        <v>45979</v>
      </c>
      <c r="AC236" s="40" t="s">
        <v>563</v>
      </c>
      <c r="AD236" s="105">
        <v>0</v>
      </c>
      <c r="AE236" s="105">
        <v>0</v>
      </c>
      <c r="AF236" s="105">
        <v>0</v>
      </c>
      <c r="AG236" s="105">
        <v>0</v>
      </c>
      <c r="AH236" s="105">
        <v>0</v>
      </c>
      <c r="AI236" s="106">
        <v>0</v>
      </c>
      <c r="AJ236" s="107">
        <v>0</v>
      </c>
      <c r="AK236" s="112">
        <v>0</v>
      </c>
      <c r="AL236" s="112">
        <v>0</v>
      </c>
      <c r="AM236" s="45"/>
      <c r="AN236" s="45"/>
      <c r="AO236" s="45"/>
      <c r="AP236" s="45"/>
      <c r="AQ236" s="45"/>
      <c r="AR236" s="45"/>
      <c r="AS236" s="45"/>
      <c r="AT236" s="45"/>
      <c r="AU236" s="45"/>
      <c r="AV236" s="45"/>
      <c r="AW236" s="45"/>
      <c r="AX236" s="45"/>
      <c r="AY236" s="45"/>
      <c r="AZ236" s="45"/>
      <c r="BA236" s="45"/>
      <c r="BB236" s="45"/>
      <c r="BC236" s="45"/>
      <c r="BD236" s="45"/>
      <c r="BE236" s="45"/>
      <c r="BF236" s="45"/>
      <c r="BG236" s="45"/>
      <c r="BH236" s="45"/>
      <c r="BI236" s="45"/>
      <c r="BJ236" s="45"/>
      <c r="BK236" s="45"/>
      <c r="BL236" s="45"/>
      <c r="BM236" s="45"/>
      <c r="BN236" s="45"/>
      <c r="BO236" s="1"/>
      <c r="BP236" s="1"/>
    </row>
    <row r="237" spans="2:68" s="11" customFormat="1" ht="21.75" x14ac:dyDescent="0.3">
      <c r="B237" s="9"/>
      <c r="C237" s="113"/>
      <c r="D237" s="99"/>
      <c r="E237" s="115"/>
      <c r="F237" s="117"/>
      <c r="G237" s="99"/>
      <c r="H237" s="99"/>
      <c r="I237" s="116"/>
      <c r="J237" s="111"/>
      <c r="K237" s="100"/>
      <c r="L237" s="100"/>
      <c r="M237" s="100"/>
      <c r="N237" s="110"/>
      <c r="O237" s="110"/>
      <c r="P237" s="100"/>
      <c r="Q237" s="118"/>
      <c r="R237" s="98"/>
      <c r="S237" s="119"/>
      <c r="T237" s="28"/>
      <c r="U237" s="28"/>
      <c r="V237" s="28"/>
      <c r="W237" s="101"/>
      <c r="X237" s="29"/>
      <c r="Y237" s="1"/>
      <c r="Z237" s="1"/>
      <c r="AA237" s="71">
        <v>45968</v>
      </c>
      <c r="AB237" s="104">
        <v>45979</v>
      </c>
      <c r="AC237" s="40" t="s">
        <v>563</v>
      </c>
      <c r="AD237" s="105">
        <v>0</v>
      </c>
      <c r="AE237" s="105">
        <v>0</v>
      </c>
      <c r="AF237" s="105">
        <v>0</v>
      </c>
      <c r="AG237" s="105">
        <v>0</v>
      </c>
      <c r="AH237" s="105">
        <v>0</v>
      </c>
      <c r="AI237" s="106">
        <v>0</v>
      </c>
      <c r="AJ237" s="107">
        <v>0</v>
      </c>
      <c r="AK237" s="112">
        <v>0</v>
      </c>
      <c r="AL237" s="112">
        <v>0</v>
      </c>
      <c r="AM237" s="45"/>
      <c r="AN237" s="45"/>
      <c r="AO237" s="45"/>
      <c r="AP237" s="45"/>
      <c r="AQ237" s="45"/>
      <c r="AR237" s="45"/>
      <c r="AS237" s="45"/>
      <c r="AT237" s="45"/>
      <c r="AU237" s="45"/>
      <c r="AV237" s="45"/>
      <c r="AW237" s="45"/>
      <c r="AX237" s="45"/>
      <c r="AY237" s="45"/>
      <c r="AZ237" s="45"/>
      <c r="BA237" s="45"/>
      <c r="BB237" s="45"/>
      <c r="BC237" s="45"/>
      <c r="BD237" s="45"/>
      <c r="BE237" s="45"/>
      <c r="BF237" s="45"/>
      <c r="BG237" s="45"/>
      <c r="BH237" s="45"/>
      <c r="BI237" s="45"/>
      <c r="BJ237" s="45"/>
      <c r="BK237" s="45"/>
      <c r="BL237" s="45"/>
      <c r="BM237" s="45"/>
      <c r="BN237" s="45"/>
      <c r="BO237" s="1"/>
      <c r="BP237" s="1"/>
    </row>
    <row r="238" spans="2:68" s="11" customFormat="1" ht="21.75" x14ac:dyDescent="0.3">
      <c r="B238" s="9"/>
      <c r="C238" s="113"/>
      <c r="D238" s="99"/>
      <c r="E238" s="115"/>
      <c r="F238" s="117"/>
      <c r="G238" s="99"/>
      <c r="H238" s="99"/>
      <c r="I238" s="116"/>
      <c r="J238" s="111"/>
      <c r="K238" s="100"/>
      <c r="L238" s="100"/>
      <c r="M238" s="100"/>
      <c r="N238" s="110"/>
      <c r="O238" s="110"/>
      <c r="P238" s="100"/>
      <c r="Q238" s="118"/>
      <c r="R238" s="98"/>
      <c r="S238" s="119"/>
      <c r="T238" s="28"/>
      <c r="U238" s="28"/>
      <c r="V238" s="28"/>
      <c r="W238" s="101"/>
      <c r="X238" s="29"/>
      <c r="Y238" s="1"/>
      <c r="Z238" s="1"/>
      <c r="AA238" s="71">
        <v>45968</v>
      </c>
      <c r="AB238" s="104">
        <v>45979</v>
      </c>
      <c r="AC238" s="40" t="s">
        <v>562</v>
      </c>
      <c r="AD238" s="105">
        <v>0</v>
      </c>
      <c r="AE238" s="105">
        <v>0</v>
      </c>
      <c r="AF238" s="105">
        <v>0</v>
      </c>
      <c r="AG238" s="105">
        <v>0</v>
      </c>
      <c r="AH238" s="105">
        <v>0</v>
      </c>
      <c r="AI238" s="106">
        <v>0</v>
      </c>
      <c r="AJ238" s="107">
        <v>0</v>
      </c>
      <c r="AK238" s="112">
        <v>0</v>
      </c>
      <c r="AL238" s="112">
        <v>0</v>
      </c>
      <c r="AM238" s="45"/>
      <c r="AN238" s="45"/>
      <c r="AO238" s="45"/>
      <c r="AP238" s="45"/>
      <c r="AQ238" s="45"/>
      <c r="AR238" s="45"/>
      <c r="AS238" s="45"/>
      <c r="AT238" s="45"/>
      <c r="AU238" s="45"/>
      <c r="AV238" s="45"/>
      <c r="AW238" s="45"/>
      <c r="AX238" s="45"/>
      <c r="AY238" s="45"/>
      <c r="AZ238" s="45"/>
      <c r="BA238" s="45"/>
      <c r="BB238" s="45"/>
      <c r="BC238" s="45"/>
      <c r="BD238" s="45"/>
      <c r="BE238" s="45"/>
      <c r="BF238" s="45"/>
      <c r="BG238" s="45"/>
      <c r="BH238" s="45"/>
      <c r="BI238" s="45"/>
      <c r="BJ238" s="45"/>
      <c r="BK238" s="45"/>
      <c r="BL238" s="45"/>
      <c r="BM238" s="45"/>
      <c r="BN238" s="45"/>
      <c r="BO238" s="1"/>
      <c r="BP238" s="1"/>
    </row>
    <row r="239" spans="2:68" s="11" customFormat="1" ht="21.75" x14ac:dyDescent="0.3">
      <c r="B239" s="9"/>
      <c r="C239" s="113"/>
      <c r="D239" s="99"/>
      <c r="E239" s="115"/>
      <c r="F239" s="117"/>
      <c r="G239" s="99"/>
      <c r="H239" s="99"/>
      <c r="I239" s="116"/>
      <c r="J239" s="111"/>
      <c r="K239" s="100"/>
      <c r="L239" s="100"/>
      <c r="M239" s="100"/>
      <c r="N239" s="110"/>
      <c r="O239" s="110"/>
      <c r="P239" s="100"/>
      <c r="Q239" s="118"/>
      <c r="R239" s="98"/>
      <c r="S239" s="119"/>
      <c r="T239" s="28"/>
      <c r="U239" s="28"/>
      <c r="V239" s="28"/>
      <c r="W239" s="101"/>
      <c r="X239" s="29"/>
      <c r="Y239" s="1"/>
      <c r="Z239" s="1"/>
      <c r="AA239" s="71">
        <v>45909</v>
      </c>
      <c r="AB239" s="104">
        <v>45980</v>
      </c>
      <c r="AC239" s="40" t="s">
        <v>604</v>
      </c>
      <c r="AD239" s="105">
        <v>0</v>
      </c>
      <c r="AE239" s="105">
        <v>0</v>
      </c>
      <c r="AF239" s="105">
        <v>0</v>
      </c>
      <c r="AG239" s="105">
        <v>0</v>
      </c>
      <c r="AH239" s="105">
        <v>0</v>
      </c>
      <c r="AI239" s="106">
        <v>0</v>
      </c>
      <c r="AJ239" s="107">
        <v>0</v>
      </c>
      <c r="AK239" s="112">
        <v>0</v>
      </c>
      <c r="AL239" s="112">
        <v>0</v>
      </c>
      <c r="AM239" s="45"/>
      <c r="AN239" s="45"/>
      <c r="AO239" s="45"/>
      <c r="AP239" s="45"/>
      <c r="AQ239" s="45"/>
      <c r="AR239" s="45"/>
      <c r="AS239" s="45"/>
      <c r="AT239" s="45"/>
      <c r="AU239" s="45"/>
      <c r="AV239" s="45"/>
      <c r="AW239" s="45"/>
      <c r="AX239" s="45"/>
      <c r="AY239" s="45"/>
      <c r="AZ239" s="45"/>
      <c r="BA239" s="45"/>
      <c r="BB239" s="45"/>
      <c r="BC239" s="45"/>
      <c r="BD239" s="45"/>
      <c r="BE239" s="45"/>
      <c r="BF239" s="45"/>
      <c r="BG239" s="45"/>
      <c r="BH239" s="45"/>
      <c r="BI239" s="45"/>
      <c r="BJ239" s="45"/>
      <c r="BK239" s="45"/>
      <c r="BL239" s="45"/>
      <c r="BM239" s="45"/>
      <c r="BN239" s="45"/>
      <c r="BO239" s="1"/>
      <c r="BP239" s="1"/>
    </row>
    <row r="240" spans="2:68" s="11" customFormat="1" ht="21.75" x14ac:dyDescent="0.3">
      <c r="B240" s="9"/>
      <c r="C240" s="113"/>
      <c r="D240" s="99"/>
      <c r="E240" s="115"/>
      <c r="F240" s="117"/>
      <c r="G240" s="99"/>
      <c r="H240" s="99"/>
      <c r="I240" s="116"/>
      <c r="J240" s="111"/>
      <c r="K240" s="100"/>
      <c r="L240" s="100"/>
      <c r="M240" s="100"/>
      <c r="N240" s="110"/>
      <c r="O240" s="110"/>
      <c r="P240" s="100"/>
      <c r="Q240" s="118"/>
      <c r="R240" s="98"/>
      <c r="S240" s="119"/>
      <c r="T240" s="28"/>
      <c r="U240" s="28"/>
      <c r="V240" s="28"/>
      <c r="W240" s="101"/>
      <c r="X240" s="29"/>
      <c r="Y240" s="1"/>
      <c r="Z240" s="1"/>
      <c r="AA240" s="71">
        <v>45973</v>
      </c>
      <c r="AB240" s="104">
        <v>45981</v>
      </c>
      <c r="AC240" s="40" t="s">
        <v>605</v>
      </c>
      <c r="AD240" s="105">
        <v>0</v>
      </c>
      <c r="AE240" s="105">
        <v>0</v>
      </c>
      <c r="AF240" s="105">
        <v>0</v>
      </c>
      <c r="AG240" s="105">
        <v>0</v>
      </c>
      <c r="AH240" s="105">
        <v>0</v>
      </c>
      <c r="AI240" s="106">
        <v>0</v>
      </c>
      <c r="AJ240" s="107">
        <v>0</v>
      </c>
      <c r="AK240" s="112">
        <v>0</v>
      </c>
      <c r="AL240" s="112">
        <v>0</v>
      </c>
      <c r="AM240" s="45"/>
      <c r="AN240" s="45"/>
      <c r="AO240" s="45"/>
      <c r="AP240" s="45"/>
      <c r="AQ240" s="45"/>
      <c r="AR240" s="45"/>
      <c r="AS240" s="45"/>
      <c r="AT240" s="45"/>
      <c r="AU240" s="45"/>
      <c r="AV240" s="45"/>
      <c r="AW240" s="45"/>
      <c r="AX240" s="45"/>
      <c r="AY240" s="45"/>
      <c r="AZ240" s="45"/>
      <c r="BA240" s="45"/>
      <c r="BB240" s="45"/>
      <c r="BC240" s="45"/>
      <c r="BD240" s="45"/>
      <c r="BE240" s="45"/>
      <c r="BF240" s="45"/>
      <c r="BG240" s="45"/>
      <c r="BH240" s="45"/>
      <c r="BI240" s="45"/>
      <c r="BJ240" s="45"/>
      <c r="BK240" s="45"/>
      <c r="BL240" s="45"/>
      <c r="BM240" s="45"/>
      <c r="BN240" s="45"/>
      <c r="BO240" s="1"/>
      <c r="BP240" s="1"/>
    </row>
    <row r="241" spans="2:68" s="11" customFormat="1" ht="21.75" x14ac:dyDescent="0.3">
      <c r="B241" s="9"/>
      <c r="C241" s="113"/>
      <c r="D241" s="99"/>
      <c r="E241" s="115"/>
      <c r="F241" s="117"/>
      <c r="G241" s="99"/>
      <c r="H241" s="99"/>
      <c r="I241" s="116"/>
      <c r="J241" s="111"/>
      <c r="K241" s="100"/>
      <c r="L241" s="100"/>
      <c r="M241" s="100"/>
      <c r="N241" s="110"/>
      <c r="O241" s="110"/>
      <c r="P241" s="100"/>
      <c r="Q241" s="118"/>
      <c r="R241" s="98"/>
      <c r="S241" s="119"/>
      <c r="T241" s="28"/>
      <c r="U241" s="28"/>
      <c r="V241" s="28"/>
      <c r="W241" s="101"/>
      <c r="X241" s="29"/>
      <c r="Y241" s="1"/>
      <c r="Z241" s="1"/>
      <c r="AA241" s="71">
        <v>45973</v>
      </c>
      <c r="AB241" s="104">
        <v>45981</v>
      </c>
      <c r="AC241" s="40" t="s">
        <v>500</v>
      </c>
      <c r="AD241" s="105">
        <v>0</v>
      </c>
      <c r="AE241" s="105">
        <v>0</v>
      </c>
      <c r="AF241" s="105">
        <v>0</v>
      </c>
      <c r="AG241" s="105">
        <v>0</v>
      </c>
      <c r="AH241" s="105">
        <v>0</v>
      </c>
      <c r="AI241" s="106">
        <v>0</v>
      </c>
      <c r="AJ241" s="107">
        <v>0</v>
      </c>
      <c r="AK241" s="112">
        <v>0</v>
      </c>
      <c r="AL241" s="112">
        <v>0</v>
      </c>
      <c r="AM241" s="45"/>
      <c r="AN241" s="45"/>
      <c r="AO241" s="45"/>
      <c r="AP241" s="45"/>
      <c r="AQ241" s="45"/>
      <c r="AR241" s="45"/>
      <c r="AS241" s="45"/>
      <c r="AT241" s="45"/>
      <c r="AU241" s="45"/>
      <c r="AV241" s="45"/>
      <c r="AW241" s="45"/>
      <c r="AX241" s="45"/>
      <c r="AY241" s="45"/>
      <c r="AZ241" s="45"/>
      <c r="BA241" s="45"/>
      <c r="BB241" s="45"/>
      <c r="BC241" s="45"/>
      <c r="BD241" s="45"/>
      <c r="BE241" s="45"/>
      <c r="BF241" s="45"/>
      <c r="BG241" s="45"/>
      <c r="BH241" s="45"/>
      <c r="BI241" s="45"/>
      <c r="BJ241" s="45"/>
      <c r="BK241" s="45"/>
      <c r="BL241" s="45"/>
      <c r="BM241" s="45"/>
      <c r="BN241" s="45"/>
      <c r="BO241" s="1"/>
      <c r="BP241" s="1"/>
    </row>
    <row r="242" spans="2:68" s="11" customFormat="1" ht="21.75" x14ac:dyDescent="0.3">
      <c r="B242" s="9"/>
      <c r="C242" s="113"/>
      <c r="D242" s="99"/>
      <c r="E242" s="115"/>
      <c r="F242" s="117"/>
      <c r="G242" s="99"/>
      <c r="H242" s="99"/>
      <c r="I242" s="116"/>
      <c r="J242" s="111"/>
      <c r="K242" s="100"/>
      <c r="L242" s="100"/>
      <c r="M242" s="100"/>
      <c r="N242" s="110"/>
      <c r="O242" s="110"/>
      <c r="P242" s="100"/>
      <c r="Q242" s="118"/>
      <c r="R242" s="98"/>
      <c r="S242" s="119"/>
      <c r="T242" s="28"/>
      <c r="U242" s="28"/>
      <c r="V242" s="28"/>
      <c r="W242" s="101"/>
      <c r="X242" s="29"/>
      <c r="Y242" s="1"/>
      <c r="Z242" s="1"/>
      <c r="AA242" s="71">
        <v>45974</v>
      </c>
      <c r="AB242" s="104">
        <v>45981</v>
      </c>
      <c r="AC242" s="40" t="s">
        <v>571</v>
      </c>
      <c r="AD242" s="105">
        <v>0</v>
      </c>
      <c r="AE242" s="105">
        <v>0</v>
      </c>
      <c r="AF242" s="105">
        <v>0</v>
      </c>
      <c r="AG242" s="105">
        <v>0</v>
      </c>
      <c r="AH242" s="105">
        <v>0</v>
      </c>
      <c r="AI242" s="40" t="s">
        <v>659</v>
      </c>
      <c r="AJ242" s="107">
        <v>929898</v>
      </c>
      <c r="AK242" s="112">
        <v>0</v>
      </c>
      <c r="AL242" s="112">
        <v>0</v>
      </c>
      <c r="AM242" s="45"/>
      <c r="AN242" s="45"/>
      <c r="AO242" s="45"/>
      <c r="AP242" s="45"/>
      <c r="AQ242" s="45"/>
      <c r="AR242" s="45"/>
      <c r="AS242" s="45"/>
      <c r="AT242" s="45"/>
      <c r="AU242" s="45"/>
      <c r="AV242" s="45"/>
      <c r="AW242" s="45"/>
      <c r="AX242" s="45"/>
      <c r="AY242" s="45"/>
      <c r="AZ242" s="45"/>
      <c r="BA242" s="45"/>
      <c r="BB242" s="45"/>
      <c r="BC242" s="45"/>
      <c r="BD242" s="45"/>
      <c r="BE242" s="45"/>
      <c r="BF242" s="45"/>
      <c r="BG242" s="45"/>
      <c r="BH242" s="45"/>
      <c r="BI242" s="45"/>
      <c r="BJ242" s="45"/>
      <c r="BK242" s="45"/>
      <c r="BL242" s="45"/>
      <c r="BM242" s="45"/>
      <c r="BN242" s="45"/>
      <c r="BO242" s="1"/>
      <c r="BP242" s="1"/>
    </row>
    <row r="243" spans="2:68" s="11" customFormat="1" ht="21.75" x14ac:dyDescent="0.3">
      <c r="B243" s="9"/>
      <c r="C243" s="113"/>
      <c r="D243" s="99"/>
      <c r="E243" s="115"/>
      <c r="F243" s="117"/>
      <c r="G243" s="99"/>
      <c r="H243" s="99"/>
      <c r="I243" s="116"/>
      <c r="J243" s="111"/>
      <c r="K243" s="100"/>
      <c r="L243" s="100"/>
      <c r="M243" s="100"/>
      <c r="N243" s="110"/>
      <c r="O243" s="110"/>
      <c r="P243" s="100"/>
      <c r="Q243" s="118"/>
      <c r="R243" s="98"/>
      <c r="S243" s="119"/>
      <c r="T243" s="28"/>
      <c r="U243" s="28"/>
      <c r="V243" s="28"/>
      <c r="W243" s="101"/>
      <c r="X243" s="29"/>
      <c r="Y243" s="1"/>
      <c r="Z243" s="1"/>
      <c r="AA243" s="71">
        <v>45974</v>
      </c>
      <c r="AB243" s="104">
        <v>45981</v>
      </c>
      <c r="AC243" s="40" t="s">
        <v>570</v>
      </c>
      <c r="AD243" s="105">
        <v>0</v>
      </c>
      <c r="AE243" s="105">
        <v>0</v>
      </c>
      <c r="AF243" s="105">
        <v>0</v>
      </c>
      <c r="AG243" s="105">
        <v>0</v>
      </c>
      <c r="AH243" s="105">
        <v>0</v>
      </c>
      <c r="AI243" s="40" t="s">
        <v>659</v>
      </c>
      <c r="AJ243" s="107">
        <v>929898</v>
      </c>
      <c r="AK243" s="112">
        <v>0</v>
      </c>
      <c r="AL243" s="112">
        <v>0</v>
      </c>
      <c r="AM243" s="45"/>
      <c r="AN243" s="45"/>
      <c r="AO243" s="45"/>
      <c r="AP243" s="45"/>
      <c r="AQ243" s="45"/>
      <c r="AR243" s="45"/>
      <c r="AS243" s="45"/>
      <c r="AT243" s="45"/>
      <c r="AU243" s="45"/>
      <c r="AV243" s="45"/>
      <c r="AW243" s="45"/>
      <c r="AX243" s="45"/>
      <c r="AY243" s="45"/>
      <c r="AZ243" s="45"/>
      <c r="BA243" s="45"/>
      <c r="BB243" s="45"/>
      <c r="BC243" s="45"/>
      <c r="BD243" s="45"/>
      <c r="BE243" s="45"/>
      <c r="BF243" s="45"/>
      <c r="BG243" s="45"/>
      <c r="BH243" s="45"/>
      <c r="BI243" s="45"/>
      <c r="BJ243" s="45"/>
      <c r="BK243" s="45"/>
      <c r="BL243" s="45"/>
      <c r="BM243" s="45"/>
      <c r="BN243" s="45"/>
      <c r="BO243" s="1"/>
      <c r="BP243" s="1"/>
    </row>
    <row r="244" spans="2:68" s="11" customFormat="1" ht="21.75" x14ac:dyDescent="0.3">
      <c r="B244" s="9"/>
      <c r="C244" s="113"/>
      <c r="D244" s="99"/>
      <c r="E244" s="115"/>
      <c r="F244" s="117"/>
      <c r="G244" s="99"/>
      <c r="H244" s="99"/>
      <c r="I244" s="116"/>
      <c r="J244" s="111"/>
      <c r="K244" s="100"/>
      <c r="L244" s="100"/>
      <c r="M244" s="100"/>
      <c r="N244" s="110"/>
      <c r="O244" s="110"/>
      <c r="P244" s="100"/>
      <c r="Q244" s="118"/>
      <c r="R244" s="98"/>
      <c r="S244" s="119"/>
      <c r="T244" s="28"/>
      <c r="U244" s="28"/>
      <c r="V244" s="28"/>
      <c r="W244" s="101"/>
      <c r="X244" s="29"/>
      <c r="Y244" s="1"/>
      <c r="Z244" s="1"/>
      <c r="AA244" s="71">
        <v>45974</v>
      </c>
      <c r="AB244" s="104">
        <v>45981</v>
      </c>
      <c r="AC244" s="40" t="s">
        <v>630</v>
      </c>
      <c r="AD244" s="105">
        <v>0</v>
      </c>
      <c r="AE244" s="105">
        <v>0</v>
      </c>
      <c r="AF244" s="105">
        <v>0</v>
      </c>
      <c r="AG244" s="105">
        <v>0</v>
      </c>
      <c r="AH244" s="105">
        <v>0</v>
      </c>
      <c r="AI244" s="40" t="s">
        <v>659</v>
      </c>
      <c r="AJ244" s="107">
        <v>929898</v>
      </c>
      <c r="AK244" s="112">
        <v>0</v>
      </c>
      <c r="AL244" s="112">
        <v>0</v>
      </c>
      <c r="AM244" s="45"/>
      <c r="AN244" s="45"/>
      <c r="AO244" s="45"/>
      <c r="AP244" s="45"/>
      <c r="AQ244" s="45"/>
      <c r="AR244" s="45"/>
      <c r="AS244" s="45"/>
      <c r="AT244" s="45"/>
      <c r="AU244" s="45"/>
      <c r="AV244" s="45"/>
      <c r="AW244" s="45"/>
      <c r="AX244" s="45"/>
      <c r="AY244" s="45"/>
      <c r="AZ244" s="45"/>
      <c r="BA244" s="45"/>
      <c r="BB244" s="45"/>
      <c r="BC244" s="45"/>
      <c r="BD244" s="45"/>
      <c r="BE244" s="45"/>
      <c r="BF244" s="45"/>
      <c r="BG244" s="45"/>
      <c r="BH244" s="45"/>
      <c r="BI244" s="45"/>
      <c r="BJ244" s="45"/>
      <c r="BK244" s="45"/>
      <c r="BL244" s="45"/>
      <c r="BM244" s="45"/>
      <c r="BN244" s="45"/>
      <c r="BO244" s="1"/>
      <c r="BP244" s="1"/>
    </row>
    <row r="245" spans="2:68" s="11" customFormat="1" ht="21.75" x14ac:dyDescent="0.3">
      <c r="B245" s="9"/>
      <c r="C245" s="113"/>
      <c r="D245" s="99"/>
      <c r="E245" s="115"/>
      <c r="F245" s="117"/>
      <c r="G245" s="99"/>
      <c r="H245" s="99"/>
      <c r="I245" s="116"/>
      <c r="J245" s="111"/>
      <c r="K245" s="100"/>
      <c r="L245" s="100"/>
      <c r="M245" s="100"/>
      <c r="N245" s="110"/>
      <c r="O245" s="110"/>
      <c r="P245" s="100"/>
      <c r="Q245" s="118"/>
      <c r="R245" s="98"/>
      <c r="S245" s="119"/>
      <c r="T245" s="28"/>
      <c r="U245" s="28"/>
      <c r="V245" s="28"/>
      <c r="W245" s="101"/>
      <c r="X245" s="29"/>
      <c r="Y245" s="1"/>
      <c r="Z245" s="1"/>
      <c r="AA245" s="71">
        <v>45973</v>
      </c>
      <c r="AB245" s="104">
        <v>45981</v>
      </c>
      <c r="AC245" s="40" t="s">
        <v>572</v>
      </c>
      <c r="AD245" s="105">
        <v>0</v>
      </c>
      <c r="AE245" s="105">
        <v>0</v>
      </c>
      <c r="AF245" s="105">
        <v>0</v>
      </c>
      <c r="AG245" s="105">
        <v>0</v>
      </c>
      <c r="AH245" s="105">
        <v>0</v>
      </c>
      <c r="AI245" s="106">
        <v>0</v>
      </c>
      <c r="AJ245" s="107">
        <v>0</v>
      </c>
      <c r="AK245" s="112">
        <v>0</v>
      </c>
      <c r="AL245" s="112">
        <v>0</v>
      </c>
      <c r="AM245" s="45"/>
      <c r="AN245" s="45"/>
      <c r="AO245" s="45"/>
      <c r="AP245" s="45"/>
      <c r="AQ245" s="45"/>
      <c r="AR245" s="45"/>
      <c r="AS245" s="45"/>
      <c r="AT245" s="45"/>
      <c r="AU245" s="45"/>
      <c r="AV245" s="45"/>
      <c r="AW245" s="45"/>
      <c r="AX245" s="45"/>
      <c r="AY245" s="45"/>
      <c r="AZ245" s="45"/>
      <c r="BA245" s="45"/>
      <c r="BB245" s="45"/>
      <c r="BC245" s="45"/>
      <c r="BD245" s="45"/>
      <c r="BE245" s="45"/>
      <c r="BF245" s="45"/>
      <c r="BG245" s="45"/>
      <c r="BH245" s="45"/>
      <c r="BI245" s="45"/>
      <c r="BJ245" s="45"/>
      <c r="BK245" s="45"/>
      <c r="BL245" s="45"/>
      <c r="BM245" s="45"/>
      <c r="BN245" s="45"/>
      <c r="BO245" s="1"/>
      <c r="BP245" s="1"/>
    </row>
    <row r="246" spans="2:68" s="11" customFormat="1" ht="21.75" x14ac:dyDescent="0.3">
      <c r="B246" s="9"/>
      <c r="C246" s="113"/>
      <c r="D246" s="99"/>
      <c r="E246" s="115"/>
      <c r="F246" s="117"/>
      <c r="G246" s="99"/>
      <c r="H246" s="99"/>
      <c r="I246" s="116"/>
      <c r="J246" s="111"/>
      <c r="K246" s="100"/>
      <c r="L246" s="100"/>
      <c r="M246" s="100"/>
      <c r="N246" s="110"/>
      <c r="O246" s="110"/>
      <c r="P246" s="100"/>
      <c r="Q246" s="118"/>
      <c r="R246" s="98"/>
      <c r="S246" s="119"/>
      <c r="T246" s="28"/>
      <c r="U246" s="28"/>
      <c r="V246" s="28"/>
      <c r="W246" s="101"/>
      <c r="X246" s="29"/>
      <c r="Y246" s="1"/>
      <c r="Z246" s="1"/>
      <c r="AA246" s="71">
        <v>45973</v>
      </c>
      <c r="AB246" s="104">
        <v>45981</v>
      </c>
      <c r="AC246" s="40" t="s">
        <v>573</v>
      </c>
      <c r="AD246" s="105">
        <v>0</v>
      </c>
      <c r="AE246" s="105">
        <v>0</v>
      </c>
      <c r="AF246" s="105">
        <v>0</v>
      </c>
      <c r="AG246" s="105">
        <v>0</v>
      </c>
      <c r="AH246" s="105">
        <v>0</v>
      </c>
      <c r="AI246" s="106">
        <v>0</v>
      </c>
      <c r="AJ246" s="107">
        <v>0</v>
      </c>
      <c r="AK246" s="112">
        <v>0</v>
      </c>
      <c r="AL246" s="112">
        <v>0</v>
      </c>
      <c r="AM246" s="45"/>
      <c r="AN246" s="45"/>
      <c r="AO246" s="45"/>
      <c r="AP246" s="45"/>
      <c r="AQ246" s="45"/>
      <c r="AR246" s="45"/>
      <c r="AS246" s="45"/>
      <c r="AT246" s="45"/>
      <c r="AU246" s="45"/>
      <c r="AV246" s="45"/>
      <c r="AW246" s="45"/>
      <c r="AX246" s="45"/>
      <c r="AY246" s="45"/>
      <c r="AZ246" s="45"/>
      <c r="BA246" s="45"/>
      <c r="BB246" s="45"/>
      <c r="BC246" s="45"/>
      <c r="BD246" s="45"/>
      <c r="BE246" s="45"/>
      <c r="BF246" s="45"/>
      <c r="BG246" s="45"/>
      <c r="BH246" s="45"/>
      <c r="BI246" s="45"/>
      <c r="BJ246" s="45"/>
      <c r="BK246" s="45"/>
      <c r="BL246" s="45"/>
      <c r="BM246" s="45"/>
      <c r="BN246" s="45"/>
      <c r="BO246" s="1"/>
      <c r="BP246" s="1"/>
    </row>
    <row r="247" spans="2:68" s="11" customFormat="1" ht="21.75" x14ac:dyDescent="0.3">
      <c r="B247" s="9"/>
      <c r="C247" s="113"/>
      <c r="D247" s="99"/>
      <c r="E247" s="115"/>
      <c r="F247" s="117"/>
      <c r="G247" s="99"/>
      <c r="H247" s="99"/>
      <c r="I247" s="116"/>
      <c r="J247" s="111"/>
      <c r="K247" s="100"/>
      <c r="L247" s="100"/>
      <c r="M247" s="100"/>
      <c r="N247" s="110"/>
      <c r="O247" s="110"/>
      <c r="P247" s="100"/>
      <c r="Q247" s="118"/>
      <c r="R247" s="98"/>
      <c r="S247" s="119"/>
      <c r="T247" s="28"/>
      <c r="U247" s="28"/>
      <c r="V247" s="28"/>
      <c r="W247" s="101"/>
      <c r="X247" s="29"/>
      <c r="Y247" s="1"/>
      <c r="Z247" s="1"/>
      <c r="AA247" s="71">
        <v>45974</v>
      </c>
      <c r="AB247" s="104">
        <v>45981</v>
      </c>
      <c r="AC247" s="40" t="s">
        <v>631</v>
      </c>
      <c r="AD247" s="105">
        <v>0</v>
      </c>
      <c r="AE247" s="105">
        <v>0</v>
      </c>
      <c r="AF247" s="105">
        <v>0</v>
      </c>
      <c r="AG247" s="105">
        <v>0</v>
      </c>
      <c r="AH247" s="105">
        <v>0</v>
      </c>
      <c r="AI247" s="40" t="s">
        <v>654</v>
      </c>
      <c r="AJ247" s="107">
        <v>1195740</v>
      </c>
      <c r="AK247" s="112">
        <v>0</v>
      </c>
      <c r="AL247" s="112">
        <v>0</v>
      </c>
      <c r="AM247" s="45"/>
      <c r="AN247" s="45"/>
      <c r="AO247" s="45"/>
      <c r="AP247" s="45"/>
      <c r="AQ247" s="45"/>
      <c r="AR247" s="45"/>
      <c r="AS247" s="45"/>
      <c r="AT247" s="45"/>
      <c r="AU247" s="45"/>
      <c r="AV247" s="45"/>
      <c r="AW247" s="45"/>
      <c r="AX247" s="45"/>
      <c r="AY247" s="45"/>
      <c r="AZ247" s="45"/>
      <c r="BA247" s="45"/>
      <c r="BB247" s="45"/>
      <c r="BC247" s="45"/>
      <c r="BD247" s="45"/>
      <c r="BE247" s="45"/>
      <c r="BF247" s="45"/>
      <c r="BG247" s="45"/>
      <c r="BH247" s="45"/>
      <c r="BI247" s="45"/>
      <c r="BJ247" s="45"/>
      <c r="BK247" s="45"/>
      <c r="BL247" s="45"/>
      <c r="BM247" s="45"/>
      <c r="BN247" s="45"/>
      <c r="BO247" s="1"/>
      <c r="BP247" s="1"/>
    </row>
    <row r="248" spans="2:68" s="11" customFormat="1" ht="21.75" x14ac:dyDescent="0.3">
      <c r="B248" s="9"/>
      <c r="C248" s="113"/>
      <c r="D248" s="99"/>
      <c r="E248" s="115"/>
      <c r="F248" s="117"/>
      <c r="G248" s="99"/>
      <c r="H248" s="99"/>
      <c r="I248" s="116"/>
      <c r="J248" s="111"/>
      <c r="K248" s="100"/>
      <c r="L248" s="100"/>
      <c r="M248" s="100"/>
      <c r="N248" s="110"/>
      <c r="O248" s="110"/>
      <c r="P248" s="100"/>
      <c r="Q248" s="118"/>
      <c r="R248" s="98"/>
      <c r="S248" s="119"/>
      <c r="T248" s="28"/>
      <c r="U248" s="28"/>
      <c r="V248" s="28"/>
      <c r="W248" s="101"/>
      <c r="X248" s="29"/>
      <c r="Y248" s="1"/>
      <c r="Z248" s="1"/>
      <c r="AA248" s="71">
        <v>45974</v>
      </c>
      <c r="AB248" s="104">
        <v>45981</v>
      </c>
      <c r="AC248" s="40" t="s">
        <v>575</v>
      </c>
      <c r="AD248" s="105">
        <v>0</v>
      </c>
      <c r="AE248" s="105">
        <v>0</v>
      </c>
      <c r="AF248" s="105">
        <v>0</v>
      </c>
      <c r="AG248" s="105">
        <v>0</v>
      </c>
      <c r="AH248" s="105">
        <v>0</v>
      </c>
      <c r="AI248" s="40" t="s">
        <v>655</v>
      </c>
      <c r="AJ248" s="107">
        <v>797160</v>
      </c>
      <c r="AK248" s="112">
        <v>0</v>
      </c>
      <c r="AL248" s="112">
        <v>0</v>
      </c>
      <c r="AM248" s="45"/>
      <c r="AN248" s="45"/>
      <c r="AO248" s="45"/>
      <c r="AP248" s="45"/>
      <c r="AQ248" s="45"/>
      <c r="AR248" s="45"/>
      <c r="AS248" s="45"/>
      <c r="AT248" s="45"/>
      <c r="AU248" s="45"/>
      <c r="AV248" s="45"/>
      <c r="AW248" s="45"/>
      <c r="AX248" s="45"/>
      <c r="AY248" s="45"/>
      <c r="AZ248" s="45"/>
      <c r="BA248" s="45"/>
      <c r="BB248" s="45"/>
      <c r="BC248" s="45"/>
      <c r="BD248" s="45"/>
      <c r="BE248" s="45"/>
      <c r="BF248" s="45"/>
      <c r="BG248" s="45"/>
      <c r="BH248" s="45"/>
      <c r="BI248" s="45"/>
      <c r="BJ248" s="45"/>
      <c r="BK248" s="45"/>
      <c r="BL248" s="45"/>
      <c r="BM248" s="45"/>
      <c r="BN248" s="45"/>
      <c r="BO248" s="1"/>
      <c r="BP248" s="1"/>
    </row>
    <row r="249" spans="2:68" s="11" customFormat="1" ht="21.75" x14ac:dyDescent="0.3">
      <c r="B249" s="9"/>
      <c r="C249" s="113"/>
      <c r="D249" s="99"/>
      <c r="E249" s="115"/>
      <c r="F249" s="117"/>
      <c r="G249" s="99"/>
      <c r="H249" s="99"/>
      <c r="I249" s="116"/>
      <c r="J249" s="111"/>
      <c r="K249" s="100"/>
      <c r="L249" s="100"/>
      <c r="M249" s="100"/>
      <c r="N249" s="110"/>
      <c r="O249" s="110"/>
      <c r="P249" s="100"/>
      <c r="Q249" s="118"/>
      <c r="R249" s="98"/>
      <c r="S249" s="119"/>
      <c r="T249" s="28"/>
      <c r="U249" s="28"/>
      <c r="V249" s="28"/>
      <c r="W249" s="101"/>
      <c r="X249" s="29"/>
      <c r="Y249" s="1"/>
      <c r="Z249" s="1"/>
      <c r="AA249" s="71">
        <v>45974</v>
      </c>
      <c r="AB249" s="104">
        <v>45981</v>
      </c>
      <c r="AC249" s="40" t="s">
        <v>576</v>
      </c>
      <c r="AD249" s="105">
        <v>0</v>
      </c>
      <c r="AE249" s="105">
        <v>0</v>
      </c>
      <c r="AF249" s="105">
        <v>0</v>
      </c>
      <c r="AG249" s="105">
        <v>0</v>
      </c>
      <c r="AH249" s="105">
        <v>0</v>
      </c>
      <c r="AI249" s="40" t="s">
        <v>655</v>
      </c>
      <c r="AJ249" s="107">
        <v>797160</v>
      </c>
      <c r="AK249" s="112">
        <v>0</v>
      </c>
      <c r="AL249" s="112">
        <v>0</v>
      </c>
      <c r="AM249" s="45"/>
      <c r="AN249" s="45"/>
      <c r="AO249" s="45"/>
      <c r="AP249" s="45"/>
      <c r="AQ249" s="45"/>
      <c r="AR249" s="45"/>
      <c r="AS249" s="45"/>
      <c r="AT249" s="45"/>
      <c r="AU249" s="45"/>
      <c r="AV249" s="45"/>
      <c r="AW249" s="45"/>
      <c r="AX249" s="45"/>
      <c r="AY249" s="45"/>
      <c r="AZ249" s="45"/>
      <c r="BA249" s="45"/>
      <c r="BB249" s="45"/>
      <c r="BC249" s="45"/>
      <c r="BD249" s="45"/>
      <c r="BE249" s="45"/>
      <c r="BF249" s="45"/>
      <c r="BG249" s="45"/>
      <c r="BH249" s="45"/>
      <c r="BI249" s="45"/>
      <c r="BJ249" s="45"/>
      <c r="BK249" s="45"/>
      <c r="BL249" s="45"/>
      <c r="BM249" s="45"/>
      <c r="BN249" s="45"/>
      <c r="BO249" s="1"/>
      <c r="BP249" s="1"/>
    </row>
    <row r="250" spans="2:68" s="11" customFormat="1" ht="21.75" x14ac:dyDescent="0.3">
      <c r="B250" s="9"/>
      <c r="C250" s="113"/>
      <c r="D250" s="99"/>
      <c r="E250" s="115"/>
      <c r="F250" s="117"/>
      <c r="G250" s="99"/>
      <c r="H250" s="99"/>
      <c r="I250" s="116"/>
      <c r="J250" s="111"/>
      <c r="K250" s="100"/>
      <c r="L250" s="100"/>
      <c r="M250" s="100"/>
      <c r="N250" s="110"/>
      <c r="O250" s="110"/>
      <c r="P250" s="100"/>
      <c r="Q250" s="118"/>
      <c r="R250" s="98"/>
      <c r="S250" s="119"/>
      <c r="T250" s="28"/>
      <c r="U250" s="28"/>
      <c r="V250" s="28"/>
      <c r="W250" s="101"/>
      <c r="X250" s="29"/>
      <c r="Y250" s="1"/>
      <c r="Z250" s="1"/>
      <c r="AA250" s="71">
        <v>45974</v>
      </c>
      <c r="AB250" s="104">
        <v>45981</v>
      </c>
      <c r="AC250" s="40" t="s">
        <v>577</v>
      </c>
      <c r="AD250" s="105">
        <v>0</v>
      </c>
      <c r="AE250" s="105">
        <v>0</v>
      </c>
      <c r="AF250" s="105">
        <v>0</v>
      </c>
      <c r="AG250" s="105">
        <v>0</v>
      </c>
      <c r="AH250" s="105">
        <v>0</v>
      </c>
      <c r="AI250" s="40" t="s">
        <v>656</v>
      </c>
      <c r="AJ250" s="107">
        <v>1195740</v>
      </c>
      <c r="AK250" s="112">
        <v>0</v>
      </c>
      <c r="AL250" s="112">
        <v>0</v>
      </c>
      <c r="AM250" s="45"/>
      <c r="AN250" s="45"/>
      <c r="AO250" s="45"/>
      <c r="AP250" s="45"/>
      <c r="AQ250" s="45"/>
      <c r="AR250" s="45"/>
      <c r="AS250" s="45"/>
      <c r="AT250" s="45"/>
      <c r="AU250" s="45"/>
      <c r="AV250" s="45"/>
      <c r="AW250" s="45"/>
      <c r="AX250" s="45"/>
      <c r="AY250" s="45"/>
      <c r="AZ250" s="45"/>
      <c r="BA250" s="45"/>
      <c r="BB250" s="45"/>
      <c r="BC250" s="45"/>
      <c r="BD250" s="45"/>
      <c r="BE250" s="45"/>
      <c r="BF250" s="45"/>
      <c r="BG250" s="45"/>
      <c r="BH250" s="45"/>
      <c r="BI250" s="45"/>
      <c r="BJ250" s="45"/>
      <c r="BK250" s="45"/>
      <c r="BL250" s="45"/>
      <c r="BM250" s="45"/>
      <c r="BN250" s="45"/>
      <c r="BO250" s="1"/>
      <c r="BP250" s="1"/>
    </row>
    <row r="251" spans="2:68" s="11" customFormat="1" ht="21.75" x14ac:dyDescent="0.3">
      <c r="B251" s="9"/>
      <c r="C251" s="113"/>
      <c r="D251" s="99"/>
      <c r="E251" s="115"/>
      <c r="F251" s="117"/>
      <c r="G251" s="99"/>
      <c r="H251" s="99"/>
      <c r="I251" s="116"/>
      <c r="J251" s="111"/>
      <c r="K251" s="100"/>
      <c r="L251" s="100"/>
      <c r="M251" s="100"/>
      <c r="N251" s="110"/>
      <c r="O251" s="110"/>
      <c r="P251" s="100"/>
      <c r="Q251" s="118"/>
      <c r="R251" s="98"/>
      <c r="S251" s="119"/>
      <c r="T251" s="28"/>
      <c r="U251" s="28"/>
      <c r="V251" s="28"/>
      <c r="W251" s="101"/>
      <c r="X251" s="29"/>
      <c r="Y251" s="1"/>
      <c r="Z251" s="1"/>
      <c r="AA251" s="71">
        <v>45974</v>
      </c>
      <c r="AB251" s="104">
        <v>45981</v>
      </c>
      <c r="AC251" s="40" t="s">
        <v>564</v>
      </c>
      <c r="AD251" s="105">
        <v>0</v>
      </c>
      <c r="AE251" s="105">
        <v>0</v>
      </c>
      <c r="AF251" s="105">
        <v>0</v>
      </c>
      <c r="AG251" s="105">
        <v>0</v>
      </c>
      <c r="AH251" s="105">
        <v>0</v>
      </c>
      <c r="AI251" s="106">
        <v>0</v>
      </c>
      <c r="AJ251" s="107">
        <v>0</v>
      </c>
      <c r="AK251" s="112">
        <v>0</v>
      </c>
      <c r="AL251" s="112">
        <v>0</v>
      </c>
      <c r="AM251" s="45"/>
      <c r="AN251" s="45"/>
      <c r="AO251" s="45"/>
      <c r="AP251" s="45"/>
      <c r="AQ251" s="45"/>
      <c r="AR251" s="45"/>
      <c r="AS251" s="45"/>
      <c r="AT251" s="45"/>
      <c r="AU251" s="45"/>
      <c r="AV251" s="45"/>
      <c r="AW251" s="45"/>
      <c r="AX251" s="45"/>
      <c r="AY251" s="45"/>
      <c r="AZ251" s="45"/>
      <c r="BA251" s="45"/>
      <c r="BB251" s="45"/>
      <c r="BC251" s="45"/>
      <c r="BD251" s="45"/>
      <c r="BE251" s="45"/>
      <c r="BF251" s="45"/>
      <c r="BG251" s="45"/>
      <c r="BH251" s="45"/>
      <c r="BI251" s="45"/>
      <c r="BJ251" s="45"/>
      <c r="BK251" s="45"/>
      <c r="BL251" s="45"/>
      <c r="BM251" s="45"/>
      <c r="BN251" s="45"/>
      <c r="BO251" s="1"/>
      <c r="BP251" s="1"/>
    </row>
    <row r="252" spans="2:68" s="11" customFormat="1" ht="21.75" x14ac:dyDescent="0.3">
      <c r="B252" s="9"/>
      <c r="C252" s="113"/>
      <c r="D252" s="99"/>
      <c r="E252" s="115"/>
      <c r="F252" s="117"/>
      <c r="G252" s="99"/>
      <c r="H252" s="99"/>
      <c r="I252" s="116"/>
      <c r="J252" s="111"/>
      <c r="K252" s="100"/>
      <c r="L252" s="100"/>
      <c r="M252" s="100"/>
      <c r="N252" s="110"/>
      <c r="O252" s="110"/>
      <c r="P252" s="100"/>
      <c r="Q252" s="118"/>
      <c r="R252" s="98"/>
      <c r="S252" s="119"/>
      <c r="T252" s="28"/>
      <c r="U252" s="28"/>
      <c r="V252" s="28"/>
      <c r="W252" s="101"/>
      <c r="X252" s="29"/>
      <c r="Y252" s="1"/>
      <c r="Z252" s="1"/>
      <c r="AA252" s="71">
        <v>45974</v>
      </c>
      <c r="AB252" s="104">
        <v>45981</v>
      </c>
      <c r="AC252" s="40" t="s">
        <v>579</v>
      </c>
      <c r="AD252" s="105">
        <v>0</v>
      </c>
      <c r="AE252" s="105">
        <v>0</v>
      </c>
      <c r="AF252" s="105">
        <v>0</v>
      </c>
      <c r="AG252" s="105">
        <v>0</v>
      </c>
      <c r="AH252" s="105">
        <v>0</v>
      </c>
      <c r="AI252" s="40" t="s">
        <v>657</v>
      </c>
      <c r="AJ252" s="107">
        <v>68120</v>
      </c>
      <c r="AK252" s="112">
        <v>0</v>
      </c>
      <c r="AL252" s="112">
        <v>0</v>
      </c>
      <c r="AM252" s="45"/>
      <c r="AN252" s="45"/>
      <c r="AO252" s="45"/>
      <c r="AP252" s="45"/>
      <c r="AQ252" s="45"/>
      <c r="AR252" s="45"/>
      <c r="AS252" s="45"/>
      <c r="AT252" s="45"/>
      <c r="AU252" s="45"/>
      <c r="AV252" s="45"/>
      <c r="AW252" s="45"/>
      <c r="AX252" s="45"/>
      <c r="AY252" s="45"/>
      <c r="AZ252" s="45"/>
      <c r="BA252" s="45"/>
      <c r="BB252" s="45"/>
      <c r="BC252" s="45"/>
      <c r="BD252" s="45"/>
      <c r="BE252" s="45"/>
      <c r="BF252" s="45"/>
      <c r="BG252" s="45"/>
      <c r="BH252" s="45"/>
      <c r="BI252" s="45"/>
      <c r="BJ252" s="45"/>
      <c r="BK252" s="45"/>
      <c r="BL252" s="45"/>
      <c r="BM252" s="45"/>
      <c r="BN252" s="45"/>
      <c r="BO252" s="1"/>
      <c r="BP252" s="1"/>
    </row>
    <row r="253" spans="2:68" s="11" customFormat="1" ht="21.75" x14ac:dyDescent="0.3">
      <c r="B253" s="9"/>
      <c r="C253" s="113"/>
      <c r="D253" s="99"/>
      <c r="E253" s="115"/>
      <c r="F253" s="117"/>
      <c r="G253" s="99"/>
      <c r="H253" s="99"/>
      <c r="I253" s="116"/>
      <c r="J253" s="111"/>
      <c r="K253" s="100"/>
      <c r="L253" s="100"/>
      <c r="M253" s="100"/>
      <c r="N253" s="110"/>
      <c r="O253" s="110"/>
      <c r="P253" s="100"/>
      <c r="Q253" s="118"/>
      <c r="R253" s="98"/>
      <c r="S253" s="119"/>
      <c r="T253" s="28"/>
      <c r="U253" s="28"/>
      <c r="V253" s="28"/>
      <c r="W253" s="101"/>
      <c r="X253" s="29"/>
      <c r="Y253" s="1"/>
      <c r="Z253" s="1"/>
      <c r="AA253" s="71">
        <v>45974</v>
      </c>
      <c r="AB253" s="104">
        <v>45981</v>
      </c>
      <c r="AC253" s="40" t="s">
        <v>578</v>
      </c>
      <c r="AD253" s="105">
        <v>0</v>
      </c>
      <c r="AE253" s="105">
        <v>0</v>
      </c>
      <c r="AF253" s="105">
        <v>0</v>
      </c>
      <c r="AG253" s="105">
        <v>0</v>
      </c>
      <c r="AH253" s="105">
        <v>0</v>
      </c>
      <c r="AI253" s="40" t="s">
        <v>657</v>
      </c>
      <c r="AJ253" s="107">
        <v>68120</v>
      </c>
      <c r="AK253" s="112">
        <v>0</v>
      </c>
      <c r="AL253" s="112">
        <v>0</v>
      </c>
      <c r="AM253" s="45"/>
      <c r="AN253" s="45"/>
      <c r="AO253" s="45"/>
      <c r="AP253" s="45"/>
      <c r="AQ253" s="45"/>
      <c r="AR253" s="45"/>
      <c r="AS253" s="45"/>
      <c r="AT253" s="45"/>
      <c r="AU253" s="45"/>
      <c r="AV253" s="45"/>
      <c r="AW253" s="45"/>
      <c r="AX253" s="45"/>
      <c r="AY253" s="45"/>
      <c r="AZ253" s="45"/>
      <c r="BA253" s="45"/>
      <c r="BB253" s="45"/>
      <c r="BC253" s="45"/>
      <c r="BD253" s="45"/>
      <c r="BE253" s="45"/>
      <c r="BF253" s="45"/>
      <c r="BG253" s="45"/>
      <c r="BH253" s="45"/>
      <c r="BI253" s="45"/>
      <c r="BJ253" s="45"/>
      <c r="BK253" s="45"/>
      <c r="BL253" s="45"/>
      <c r="BM253" s="45"/>
      <c r="BN253" s="45"/>
      <c r="BO253" s="1"/>
      <c r="BP253" s="1"/>
    </row>
    <row r="254" spans="2:68" s="11" customFormat="1" ht="21.75" x14ac:dyDescent="0.3">
      <c r="B254" s="9"/>
      <c r="C254" s="113"/>
      <c r="D254" s="99"/>
      <c r="E254" s="115"/>
      <c r="F254" s="117"/>
      <c r="G254" s="99"/>
      <c r="H254" s="99"/>
      <c r="I254" s="116"/>
      <c r="J254" s="111"/>
      <c r="K254" s="100"/>
      <c r="L254" s="100"/>
      <c r="M254" s="100"/>
      <c r="N254" s="110"/>
      <c r="O254" s="110"/>
      <c r="P254" s="100"/>
      <c r="Q254" s="118"/>
      <c r="R254" s="98"/>
      <c r="S254" s="119"/>
      <c r="T254" s="28"/>
      <c r="U254" s="28"/>
      <c r="V254" s="28"/>
      <c r="W254" s="101"/>
      <c r="X254" s="29"/>
      <c r="Y254" s="1"/>
      <c r="Z254" s="1"/>
      <c r="AA254" s="71">
        <v>45974</v>
      </c>
      <c r="AB254" s="104">
        <v>45981</v>
      </c>
      <c r="AC254" s="40" t="s">
        <v>565</v>
      </c>
      <c r="AD254" s="105">
        <v>0</v>
      </c>
      <c r="AE254" s="105">
        <v>0</v>
      </c>
      <c r="AF254" s="105">
        <v>0</v>
      </c>
      <c r="AG254" s="105">
        <v>0</v>
      </c>
      <c r="AH254" s="105">
        <v>0</v>
      </c>
      <c r="AI254" s="40" t="s">
        <v>653</v>
      </c>
      <c r="AJ254" s="107">
        <v>68120</v>
      </c>
      <c r="AK254" s="112">
        <v>0</v>
      </c>
      <c r="AL254" s="112">
        <v>0</v>
      </c>
      <c r="AM254" s="45"/>
      <c r="AN254" s="45"/>
      <c r="AO254" s="45"/>
      <c r="AP254" s="45"/>
      <c r="AQ254" s="45"/>
      <c r="AR254" s="45"/>
      <c r="AS254" s="45"/>
      <c r="AT254" s="45"/>
      <c r="AU254" s="45"/>
      <c r="AV254" s="45"/>
      <c r="AW254" s="45"/>
      <c r="AX254" s="45"/>
      <c r="AY254" s="45"/>
      <c r="AZ254" s="45"/>
      <c r="BA254" s="45"/>
      <c r="BB254" s="45"/>
      <c r="BC254" s="45"/>
      <c r="BD254" s="45"/>
      <c r="BE254" s="45"/>
      <c r="BF254" s="45"/>
      <c r="BG254" s="45"/>
      <c r="BH254" s="45"/>
      <c r="BI254" s="45"/>
      <c r="BJ254" s="45"/>
      <c r="BK254" s="45"/>
      <c r="BL254" s="45"/>
      <c r="BM254" s="45"/>
      <c r="BN254" s="45"/>
      <c r="BO254" s="1"/>
      <c r="BP254" s="1"/>
    </row>
    <row r="255" spans="2:68" s="11" customFormat="1" ht="21.75" x14ac:dyDescent="0.3">
      <c r="B255" s="9"/>
      <c r="C255" s="113"/>
      <c r="D255" s="99"/>
      <c r="E255" s="115"/>
      <c r="F255" s="117"/>
      <c r="G255" s="99"/>
      <c r="H255" s="99"/>
      <c r="I255" s="116"/>
      <c r="J255" s="111"/>
      <c r="K255" s="100"/>
      <c r="L255" s="100"/>
      <c r="M255" s="100"/>
      <c r="N255" s="110"/>
      <c r="O255" s="110"/>
      <c r="P255" s="100"/>
      <c r="Q255" s="118"/>
      <c r="R255" s="98"/>
      <c r="S255" s="119"/>
      <c r="T255" s="28"/>
      <c r="U255" s="28"/>
      <c r="V255" s="28"/>
      <c r="W255" s="101"/>
      <c r="X255" s="29"/>
      <c r="Y255" s="1"/>
      <c r="Z255" s="1"/>
      <c r="AA255" s="71">
        <v>45980</v>
      </c>
      <c r="AB255" s="104">
        <v>45982</v>
      </c>
      <c r="AC255" s="40" t="s">
        <v>581</v>
      </c>
      <c r="AD255" s="105">
        <v>0</v>
      </c>
      <c r="AE255" s="105">
        <v>0</v>
      </c>
      <c r="AF255" s="105">
        <v>0</v>
      </c>
      <c r="AG255" s="105">
        <v>0</v>
      </c>
      <c r="AH255" s="105">
        <v>0</v>
      </c>
      <c r="AI255" s="40" t="s">
        <v>660</v>
      </c>
      <c r="AJ255" s="107">
        <v>672342</v>
      </c>
      <c r="AK255" s="112">
        <v>0</v>
      </c>
      <c r="AL255" s="112">
        <v>0</v>
      </c>
      <c r="AM255" s="45"/>
      <c r="AN255" s="45"/>
      <c r="AO255" s="45"/>
      <c r="AP255" s="45"/>
      <c r="AQ255" s="45"/>
      <c r="AR255" s="45"/>
      <c r="AS255" s="45"/>
      <c r="AT255" s="45"/>
      <c r="AU255" s="45"/>
      <c r="AV255" s="45"/>
      <c r="AW255" s="45"/>
      <c r="AX255" s="45"/>
      <c r="AY255" s="45"/>
      <c r="AZ255" s="45"/>
      <c r="BA255" s="45"/>
      <c r="BB255" s="45"/>
      <c r="BC255" s="45"/>
      <c r="BD255" s="45"/>
      <c r="BE255" s="45"/>
      <c r="BF255" s="45"/>
      <c r="BG255" s="45"/>
      <c r="BH255" s="45"/>
      <c r="BI255" s="45"/>
      <c r="BJ255" s="45"/>
      <c r="BK255" s="45"/>
      <c r="BL255" s="45"/>
      <c r="BM255" s="45"/>
      <c r="BN255" s="45"/>
      <c r="BO255" s="1"/>
      <c r="BP255" s="1"/>
    </row>
    <row r="256" spans="2:68" s="11" customFormat="1" ht="21.75" x14ac:dyDescent="0.3">
      <c r="B256" s="9"/>
      <c r="C256" s="113"/>
      <c r="D256" s="99"/>
      <c r="E256" s="115"/>
      <c r="F256" s="117"/>
      <c r="G256" s="99"/>
      <c r="H256" s="99"/>
      <c r="I256" s="116"/>
      <c r="J256" s="111"/>
      <c r="K256" s="100"/>
      <c r="L256" s="100"/>
      <c r="M256" s="100"/>
      <c r="N256" s="110"/>
      <c r="O256" s="110"/>
      <c r="P256" s="100"/>
      <c r="Q256" s="118"/>
      <c r="R256" s="98"/>
      <c r="S256" s="119"/>
      <c r="T256" s="28"/>
      <c r="U256" s="28"/>
      <c r="V256" s="28"/>
      <c r="W256" s="101"/>
      <c r="X256" s="29"/>
      <c r="Y256" s="1"/>
      <c r="Z256" s="1"/>
      <c r="AA256" s="71">
        <v>45980</v>
      </c>
      <c r="AB256" s="104">
        <v>45982</v>
      </c>
      <c r="AC256" s="40" t="s">
        <v>580</v>
      </c>
      <c r="AD256" s="105">
        <v>0</v>
      </c>
      <c r="AE256" s="105">
        <v>0</v>
      </c>
      <c r="AF256" s="105">
        <v>0</v>
      </c>
      <c r="AG256" s="105">
        <v>0</v>
      </c>
      <c r="AH256" s="105">
        <v>0</v>
      </c>
      <c r="AI256" s="40" t="s">
        <v>660</v>
      </c>
      <c r="AJ256" s="107">
        <v>672342</v>
      </c>
      <c r="AK256" s="112">
        <v>0</v>
      </c>
      <c r="AL256" s="112">
        <v>0</v>
      </c>
      <c r="AM256" s="45"/>
      <c r="AN256" s="45"/>
      <c r="AO256" s="45"/>
      <c r="AP256" s="45"/>
      <c r="AQ256" s="45"/>
      <c r="AR256" s="45"/>
      <c r="AS256" s="45"/>
      <c r="AT256" s="45"/>
      <c r="AU256" s="45"/>
      <c r="AV256" s="45"/>
      <c r="AW256" s="45"/>
      <c r="AX256" s="45"/>
      <c r="AY256" s="45"/>
      <c r="AZ256" s="45"/>
      <c r="BA256" s="45"/>
      <c r="BB256" s="45"/>
      <c r="BC256" s="45"/>
      <c r="BD256" s="45"/>
      <c r="BE256" s="45"/>
      <c r="BF256" s="45"/>
      <c r="BG256" s="45"/>
      <c r="BH256" s="45"/>
      <c r="BI256" s="45"/>
      <c r="BJ256" s="45"/>
      <c r="BK256" s="45"/>
      <c r="BL256" s="45"/>
      <c r="BM256" s="45"/>
      <c r="BN256" s="45"/>
      <c r="BO256" s="1"/>
      <c r="BP256" s="1"/>
    </row>
    <row r="257" spans="2:68" s="11" customFormat="1" ht="21.75" x14ac:dyDescent="0.3">
      <c r="B257" s="9"/>
      <c r="C257" s="113"/>
      <c r="D257" s="99"/>
      <c r="E257" s="115"/>
      <c r="F257" s="117"/>
      <c r="G257" s="99"/>
      <c r="H257" s="99"/>
      <c r="I257" s="116"/>
      <c r="J257" s="111"/>
      <c r="K257" s="100"/>
      <c r="L257" s="100"/>
      <c r="M257" s="100"/>
      <c r="N257" s="110"/>
      <c r="O257" s="110"/>
      <c r="P257" s="100"/>
      <c r="Q257" s="118"/>
      <c r="R257" s="98"/>
      <c r="S257" s="119"/>
      <c r="T257" s="28"/>
      <c r="U257" s="28"/>
      <c r="V257" s="28"/>
      <c r="W257" s="101"/>
      <c r="X257" s="29"/>
      <c r="Y257" s="1"/>
      <c r="Z257" s="1"/>
      <c r="AA257" s="71">
        <v>45980</v>
      </c>
      <c r="AB257" s="104">
        <v>45982</v>
      </c>
      <c r="AC257" s="40" t="s">
        <v>582</v>
      </c>
      <c r="AD257" s="105">
        <v>0</v>
      </c>
      <c r="AE257" s="105">
        <v>0</v>
      </c>
      <c r="AF257" s="105">
        <v>0</v>
      </c>
      <c r="AG257" s="105">
        <v>0</v>
      </c>
      <c r="AH257" s="105">
        <v>0</v>
      </c>
      <c r="AI257" s="40" t="s">
        <v>660</v>
      </c>
      <c r="AJ257" s="107">
        <v>672342</v>
      </c>
      <c r="AK257" s="112">
        <v>0</v>
      </c>
      <c r="AL257" s="112">
        <v>0</v>
      </c>
      <c r="AM257" s="45"/>
      <c r="AN257" s="45"/>
      <c r="AO257" s="45"/>
      <c r="AP257" s="45"/>
      <c r="AQ257" s="45"/>
      <c r="AR257" s="45"/>
      <c r="AS257" s="45"/>
      <c r="AT257" s="45"/>
      <c r="AU257" s="45"/>
      <c r="AV257" s="45"/>
      <c r="AW257" s="45"/>
      <c r="AX257" s="45"/>
      <c r="AY257" s="45"/>
      <c r="AZ257" s="45"/>
      <c r="BA257" s="45"/>
      <c r="BB257" s="45"/>
      <c r="BC257" s="45"/>
      <c r="BD257" s="45"/>
      <c r="BE257" s="45"/>
      <c r="BF257" s="45"/>
      <c r="BG257" s="45"/>
      <c r="BH257" s="45"/>
      <c r="BI257" s="45"/>
      <c r="BJ257" s="45"/>
      <c r="BK257" s="45"/>
      <c r="BL257" s="45"/>
      <c r="BM257" s="45"/>
      <c r="BN257" s="45"/>
      <c r="BO257" s="1"/>
      <c r="BP257" s="1"/>
    </row>
    <row r="258" spans="2:68" s="11" customFormat="1" ht="21.75" x14ac:dyDescent="0.3">
      <c r="B258" s="9"/>
      <c r="C258" s="113"/>
      <c r="D258" s="99"/>
      <c r="E258" s="115"/>
      <c r="F258" s="117"/>
      <c r="G258" s="99"/>
      <c r="H258" s="99"/>
      <c r="I258" s="116"/>
      <c r="J258" s="111"/>
      <c r="K258" s="100"/>
      <c r="L258" s="100"/>
      <c r="M258" s="100"/>
      <c r="N258" s="110"/>
      <c r="O258" s="110"/>
      <c r="P258" s="100"/>
      <c r="Q258" s="118"/>
      <c r="R258" s="98"/>
      <c r="S258" s="119"/>
      <c r="T258" s="28"/>
      <c r="U258" s="28"/>
      <c r="V258" s="28"/>
      <c r="W258" s="101"/>
      <c r="X258" s="29"/>
      <c r="Y258" s="1"/>
      <c r="Z258" s="1"/>
      <c r="AA258" s="71">
        <v>45980</v>
      </c>
      <c r="AB258" s="104">
        <v>45982</v>
      </c>
      <c r="AC258" s="40" t="s">
        <v>584</v>
      </c>
      <c r="AD258" s="105">
        <v>0</v>
      </c>
      <c r="AE258" s="105">
        <v>0</v>
      </c>
      <c r="AF258" s="105">
        <v>0</v>
      </c>
      <c r="AG258" s="105">
        <v>0</v>
      </c>
      <c r="AH258" s="105">
        <v>0</v>
      </c>
      <c r="AI258" s="106">
        <v>0</v>
      </c>
      <c r="AJ258" s="107">
        <v>0</v>
      </c>
      <c r="AK258" s="112">
        <v>0</v>
      </c>
      <c r="AL258" s="112">
        <v>0</v>
      </c>
      <c r="AM258" s="45"/>
      <c r="AN258" s="45"/>
      <c r="AO258" s="45"/>
      <c r="AP258" s="45"/>
      <c r="AQ258" s="45"/>
      <c r="AR258" s="45"/>
      <c r="AS258" s="45"/>
      <c r="AT258" s="45"/>
      <c r="AU258" s="45"/>
      <c r="AV258" s="45"/>
      <c r="AW258" s="45"/>
      <c r="AX258" s="45"/>
      <c r="AY258" s="45"/>
      <c r="AZ258" s="45"/>
      <c r="BA258" s="45"/>
      <c r="BB258" s="45"/>
      <c r="BC258" s="45"/>
      <c r="BD258" s="45"/>
      <c r="BE258" s="45"/>
      <c r="BF258" s="45"/>
      <c r="BG258" s="45"/>
      <c r="BH258" s="45"/>
      <c r="BI258" s="45"/>
      <c r="BJ258" s="45"/>
      <c r="BK258" s="45"/>
      <c r="BL258" s="45"/>
      <c r="BM258" s="45"/>
      <c r="BN258" s="45"/>
      <c r="BO258" s="1"/>
      <c r="BP258" s="1"/>
    </row>
    <row r="259" spans="2:68" s="11" customFormat="1" ht="21.75" x14ac:dyDescent="0.3">
      <c r="B259" s="9"/>
      <c r="C259" s="113"/>
      <c r="D259" s="99"/>
      <c r="E259" s="115"/>
      <c r="F259" s="117"/>
      <c r="G259" s="99"/>
      <c r="H259" s="99"/>
      <c r="I259" s="116"/>
      <c r="J259" s="111"/>
      <c r="K259" s="100"/>
      <c r="L259" s="100"/>
      <c r="M259" s="100"/>
      <c r="N259" s="110"/>
      <c r="O259" s="110"/>
      <c r="P259" s="100"/>
      <c r="Q259" s="118"/>
      <c r="R259" s="98"/>
      <c r="S259" s="119"/>
      <c r="T259" s="28"/>
      <c r="U259" s="28"/>
      <c r="V259" s="28"/>
      <c r="W259" s="101"/>
      <c r="X259" s="29"/>
      <c r="Y259" s="1"/>
      <c r="Z259" s="1"/>
      <c r="AA259" s="71">
        <v>45980</v>
      </c>
      <c r="AB259" s="104">
        <v>45982</v>
      </c>
      <c r="AC259" s="40" t="s">
        <v>583</v>
      </c>
      <c r="AD259" s="105">
        <v>0</v>
      </c>
      <c r="AE259" s="105">
        <v>0</v>
      </c>
      <c r="AF259" s="105">
        <v>0</v>
      </c>
      <c r="AG259" s="105">
        <v>0</v>
      </c>
      <c r="AH259" s="105">
        <v>0</v>
      </c>
      <c r="AI259" s="106">
        <v>0</v>
      </c>
      <c r="AJ259" s="107">
        <v>0</v>
      </c>
      <c r="AK259" s="112">
        <v>0</v>
      </c>
      <c r="AL259" s="112">
        <v>0</v>
      </c>
      <c r="AM259" s="45"/>
      <c r="AN259" s="45"/>
      <c r="AO259" s="45"/>
      <c r="AP259" s="45"/>
      <c r="AQ259" s="45"/>
      <c r="AR259" s="45"/>
      <c r="AS259" s="45"/>
      <c r="AT259" s="45"/>
      <c r="AU259" s="45"/>
      <c r="AV259" s="45"/>
      <c r="AW259" s="45"/>
      <c r="AX259" s="45"/>
      <c r="AY259" s="45"/>
      <c r="AZ259" s="45"/>
      <c r="BA259" s="45"/>
      <c r="BB259" s="45"/>
      <c r="BC259" s="45"/>
      <c r="BD259" s="45"/>
      <c r="BE259" s="45"/>
      <c r="BF259" s="45"/>
      <c r="BG259" s="45"/>
      <c r="BH259" s="45"/>
      <c r="BI259" s="45"/>
      <c r="BJ259" s="45"/>
      <c r="BK259" s="45"/>
      <c r="BL259" s="45"/>
      <c r="BM259" s="45"/>
      <c r="BN259" s="45"/>
      <c r="BO259" s="1"/>
      <c r="BP259" s="1"/>
    </row>
    <row r="260" spans="2:68" s="11" customFormat="1" ht="21.75" x14ac:dyDescent="0.3">
      <c r="B260" s="9"/>
      <c r="C260" s="113"/>
      <c r="D260" s="99"/>
      <c r="E260" s="115"/>
      <c r="F260" s="117"/>
      <c r="G260" s="99"/>
      <c r="H260" s="99"/>
      <c r="I260" s="116"/>
      <c r="J260" s="111"/>
      <c r="K260" s="100"/>
      <c r="L260" s="100"/>
      <c r="M260" s="100"/>
      <c r="N260" s="110"/>
      <c r="O260" s="110"/>
      <c r="P260" s="100"/>
      <c r="Q260" s="118"/>
      <c r="R260" s="98"/>
      <c r="S260" s="119"/>
      <c r="T260" s="28"/>
      <c r="U260" s="28"/>
      <c r="V260" s="28"/>
      <c r="W260" s="101"/>
      <c r="X260" s="29"/>
      <c r="Y260" s="1"/>
      <c r="Z260" s="1"/>
      <c r="AA260" s="71">
        <v>45980</v>
      </c>
      <c r="AB260" s="104">
        <v>45985</v>
      </c>
      <c r="AC260" s="40" t="s">
        <v>609</v>
      </c>
      <c r="AD260" s="105">
        <v>0</v>
      </c>
      <c r="AE260" s="105">
        <v>0</v>
      </c>
      <c r="AF260" s="105">
        <v>0</v>
      </c>
      <c r="AG260" s="105">
        <v>0</v>
      </c>
      <c r="AH260" s="105">
        <v>0</v>
      </c>
      <c r="AI260" s="40" t="s">
        <v>662</v>
      </c>
      <c r="AJ260" s="107">
        <v>9400</v>
      </c>
      <c r="AK260" s="112">
        <v>0</v>
      </c>
      <c r="AL260" s="112">
        <v>0</v>
      </c>
      <c r="AM260" s="45"/>
      <c r="AN260" s="45"/>
      <c r="AO260" s="45"/>
      <c r="AP260" s="45"/>
      <c r="AQ260" s="45"/>
      <c r="AR260" s="45"/>
      <c r="AS260" s="45"/>
      <c r="AT260" s="45"/>
      <c r="AU260" s="45"/>
      <c r="AV260" s="45"/>
      <c r="AW260" s="45"/>
      <c r="AX260" s="45"/>
      <c r="AY260" s="45"/>
      <c r="AZ260" s="45"/>
      <c r="BA260" s="45"/>
      <c r="BB260" s="45"/>
      <c r="BC260" s="45"/>
      <c r="BD260" s="45"/>
      <c r="BE260" s="45"/>
      <c r="BF260" s="45"/>
      <c r="BG260" s="45"/>
      <c r="BH260" s="45"/>
      <c r="BI260" s="45"/>
      <c r="BJ260" s="45"/>
      <c r="BK260" s="45"/>
      <c r="BL260" s="45"/>
      <c r="BM260" s="45"/>
      <c r="BN260" s="45"/>
      <c r="BO260" s="1"/>
      <c r="BP260" s="1"/>
    </row>
    <row r="261" spans="2:68" s="11" customFormat="1" ht="21.75" x14ac:dyDescent="0.3">
      <c r="B261" s="9"/>
      <c r="C261" s="113"/>
      <c r="D261" s="99"/>
      <c r="E261" s="115"/>
      <c r="F261" s="117"/>
      <c r="G261" s="99"/>
      <c r="H261" s="99"/>
      <c r="I261" s="116"/>
      <c r="J261" s="111"/>
      <c r="K261" s="100"/>
      <c r="L261" s="100"/>
      <c r="M261" s="100"/>
      <c r="N261" s="110"/>
      <c r="O261" s="110"/>
      <c r="P261" s="100"/>
      <c r="Q261" s="118"/>
      <c r="R261" s="98"/>
      <c r="S261" s="119"/>
      <c r="T261" s="28"/>
      <c r="U261" s="28"/>
      <c r="V261" s="28"/>
      <c r="W261" s="101"/>
      <c r="X261" s="29"/>
      <c r="Y261" s="1"/>
      <c r="Z261" s="1"/>
      <c r="AA261" s="71">
        <v>45980</v>
      </c>
      <c r="AB261" s="104">
        <v>45985</v>
      </c>
      <c r="AC261" s="40" t="s">
        <v>608</v>
      </c>
      <c r="AD261" s="105">
        <v>0</v>
      </c>
      <c r="AE261" s="105">
        <v>0</v>
      </c>
      <c r="AF261" s="105">
        <v>0</v>
      </c>
      <c r="AG261" s="105">
        <v>0</v>
      </c>
      <c r="AH261" s="105">
        <v>0</v>
      </c>
      <c r="AI261" s="40" t="s">
        <v>663</v>
      </c>
      <c r="AJ261" s="107">
        <v>4700</v>
      </c>
      <c r="AK261" s="112">
        <v>0</v>
      </c>
      <c r="AL261" s="112">
        <v>0</v>
      </c>
      <c r="AM261" s="45"/>
      <c r="AN261" s="45"/>
      <c r="AO261" s="45"/>
      <c r="AP261" s="45"/>
      <c r="AQ261" s="45"/>
      <c r="AR261" s="45"/>
      <c r="AS261" s="45"/>
      <c r="AT261" s="45"/>
      <c r="AU261" s="45"/>
      <c r="AV261" s="45"/>
      <c r="AW261" s="45"/>
      <c r="AX261" s="45"/>
      <c r="AY261" s="45"/>
      <c r="AZ261" s="45"/>
      <c r="BA261" s="45"/>
      <c r="BB261" s="45"/>
      <c r="BC261" s="45"/>
      <c r="BD261" s="45"/>
      <c r="BE261" s="45"/>
      <c r="BF261" s="45"/>
      <c r="BG261" s="45"/>
      <c r="BH261" s="45"/>
      <c r="BI261" s="45"/>
      <c r="BJ261" s="45"/>
      <c r="BK261" s="45"/>
      <c r="BL261" s="45"/>
      <c r="BM261" s="45"/>
      <c r="BN261" s="45"/>
      <c r="BO261" s="1"/>
      <c r="BP261" s="1"/>
    </row>
    <row r="262" spans="2:68" s="11" customFormat="1" ht="21.75" x14ac:dyDescent="0.3">
      <c r="B262" s="9"/>
      <c r="C262" s="113"/>
      <c r="D262" s="99"/>
      <c r="E262" s="115"/>
      <c r="F262" s="117"/>
      <c r="G262" s="99"/>
      <c r="H262" s="99"/>
      <c r="I262" s="116"/>
      <c r="J262" s="111"/>
      <c r="K262" s="100"/>
      <c r="L262" s="100"/>
      <c r="M262" s="100"/>
      <c r="N262" s="110"/>
      <c r="O262" s="110"/>
      <c r="P262" s="100"/>
      <c r="Q262" s="118"/>
      <c r="R262" s="98"/>
      <c r="S262" s="119"/>
      <c r="T262" s="28"/>
      <c r="U262" s="28"/>
      <c r="V262" s="28"/>
      <c r="W262" s="101"/>
      <c r="X262" s="29"/>
      <c r="Y262" s="1"/>
      <c r="Z262" s="1"/>
      <c r="AA262" s="71">
        <v>45979</v>
      </c>
      <c r="AB262" s="104">
        <v>45985</v>
      </c>
      <c r="AC262" s="40" t="s">
        <v>597</v>
      </c>
      <c r="AD262" s="105">
        <v>0</v>
      </c>
      <c r="AE262" s="105">
        <v>0</v>
      </c>
      <c r="AF262" s="105">
        <v>0</v>
      </c>
      <c r="AG262" s="105">
        <v>0</v>
      </c>
      <c r="AH262" s="105">
        <v>0</v>
      </c>
      <c r="AI262" s="40" t="s">
        <v>661</v>
      </c>
      <c r="AJ262" s="107">
        <v>2883019</v>
      </c>
      <c r="AK262" s="112">
        <v>0</v>
      </c>
      <c r="AL262" s="112">
        <v>0</v>
      </c>
      <c r="AM262" s="45"/>
      <c r="AN262" s="45"/>
      <c r="AO262" s="45"/>
      <c r="AP262" s="45"/>
      <c r="AQ262" s="45"/>
      <c r="AR262" s="45"/>
      <c r="AS262" s="45"/>
      <c r="AT262" s="45"/>
      <c r="AU262" s="45"/>
      <c r="AV262" s="45"/>
      <c r="AW262" s="45"/>
      <c r="AX262" s="45"/>
      <c r="AY262" s="45"/>
      <c r="AZ262" s="45"/>
      <c r="BA262" s="45"/>
      <c r="BB262" s="45"/>
      <c r="BC262" s="45"/>
      <c r="BD262" s="45"/>
      <c r="BE262" s="45"/>
      <c r="BF262" s="45"/>
      <c r="BG262" s="45"/>
      <c r="BH262" s="45"/>
      <c r="BI262" s="45"/>
      <c r="BJ262" s="45"/>
      <c r="BK262" s="45"/>
      <c r="BL262" s="45"/>
      <c r="BM262" s="45"/>
      <c r="BN262" s="45"/>
      <c r="BO262" s="1"/>
      <c r="BP262" s="1"/>
    </row>
    <row r="263" spans="2:68" s="11" customFormat="1" ht="21.75" x14ac:dyDescent="0.3">
      <c r="B263" s="9"/>
      <c r="C263" s="113"/>
      <c r="D263" s="99"/>
      <c r="E263" s="115"/>
      <c r="F263" s="117"/>
      <c r="G263" s="99"/>
      <c r="H263" s="99"/>
      <c r="I263" s="116"/>
      <c r="J263" s="111"/>
      <c r="K263" s="100"/>
      <c r="L263" s="100"/>
      <c r="M263" s="100"/>
      <c r="N263" s="110"/>
      <c r="O263" s="110"/>
      <c r="P263" s="100"/>
      <c r="Q263" s="118"/>
      <c r="R263" s="98"/>
      <c r="S263" s="119"/>
      <c r="T263" s="28"/>
      <c r="U263" s="28"/>
      <c r="V263" s="28"/>
      <c r="W263" s="101"/>
      <c r="X263" s="29"/>
      <c r="Y263" s="1"/>
      <c r="Z263" s="1"/>
      <c r="AA263" s="71">
        <v>45979</v>
      </c>
      <c r="AB263" s="104">
        <v>45985</v>
      </c>
      <c r="AC263" s="40" t="s">
        <v>598</v>
      </c>
      <c r="AD263" s="105">
        <v>0</v>
      </c>
      <c r="AE263" s="105">
        <v>0</v>
      </c>
      <c r="AF263" s="105">
        <v>0</v>
      </c>
      <c r="AG263" s="105">
        <v>0</v>
      </c>
      <c r="AH263" s="105">
        <v>0</v>
      </c>
      <c r="AI263" s="40" t="s">
        <v>661</v>
      </c>
      <c r="AJ263" s="107">
        <v>2883019</v>
      </c>
      <c r="AK263" s="112">
        <v>0</v>
      </c>
      <c r="AL263" s="112">
        <v>0</v>
      </c>
      <c r="AM263" s="45"/>
      <c r="AN263" s="45"/>
      <c r="AO263" s="45"/>
      <c r="AP263" s="45"/>
      <c r="AQ263" s="45"/>
      <c r="AR263" s="45"/>
      <c r="AS263" s="45"/>
      <c r="AT263" s="45"/>
      <c r="AU263" s="45"/>
      <c r="AV263" s="45"/>
      <c r="AW263" s="45"/>
      <c r="AX263" s="45"/>
      <c r="AY263" s="45"/>
      <c r="AZ263" s="45"/>
      <c r="BA263" s="45"/>
      <c r="BB263" s="45"/>
      <c r="BC263" s="45"/>
      <c r="BD263" s="45"/>
      <c r="BE263" s="45"/>
      <c r="BF263" s="45"/>
      <c r="BG263" s="45"/>
      <c r="BH263" s="45"/>
      <c r="BI263" s="45"/>
      <c r="BJ263" s="45"/>
      <c r="BK263" s="45"/>
      <c r="BL263" s="45"/>
      <c r="BM263" s="45"/>
      <c r="BN263" s="45"/>
      <c r="BO263" s="1"/>
      <c r="BP263" s="1"/>
    </row>
    <row r="264" spans="2:68" s="11" customFormat="1" ht="21.75" x14ac:dyDescent="0.3">
      <c r="B264" s="9"/>
      <c r="C264" s="113"/>
      <c r="D264" s="99"/>
      <c r="E264" s="115"/>
      <c r="F264" s="117"/>
      <c r="G264" s="99"/>
      <c r="H264" s="99"/>
      <c r="I264" s="116"/>
      <c r="J264" s="111"/>
      <c r="K264" s="100"/>
      <c r="L264" s="100"/>
      <c r="M264" s="100"/>
      <c r="N264" s="110"/>
      <c r="O264" s="110"/>
      <c r="P264" s="100"/>
      <c r="Q264" s="118"/>
      <c r="R264" s="98"/>
      <c r="S264" s="119"/>
      <c r="T264" s="28"/>
      <c r="U264" s="28"/>
      <c r="V264" s="28"/>
      <c r="W264" s="101"/>
      <c r="X264" s="29"/>
      <c r="Y264" s="1"/>
      <c r="Z264" s="1"/>
      <c r="AA264" s="71">
        <v>45979</v>
      </c>
      <c r="AB264" s="104">
        <v>45985</v>
      </c>
      <c r="AC264" s="40" t="s">
        <v>596</v>
      </c>
      <c r="AD264" s="105">
        <v>0</v>
      </c>
      <c r="AE264" s="105">
        <v>0</v>
      </c>
      <c r="AF264" s="105">
        <v>0</v>
      </c>
      <c r="AG264" s="105">
        <v>0</v>
      </c>
      <c r="AH264" s="105">
        <v>0</v>
      </c>
      <c r="AI264" s="40" t="s">
        <v>661</v>
      </c>
      <c r="AJ264" s="107">
        <v>2883019</v>
      </c>
      <c r="AK264" s="112">
        <v>0</v>
      </c>
      <c r="AL264" s="112">
        <v>0</v>
      </c>
      <c r="AM264" s="45"/>
      <c r="AN264" s="45"/>
      <c r="AO264" s="45"/>
      <c r="AP264" s="45"/>
      <c r="AQ264" s="45"/>
      <c r="AR264" s="45"/>
      <c r="AS264" s="45"/>
      <c r="AT264" s="45"/>
      <c r="AU264" s="45"/>
      <c r="AV264" s="45"/>
      <c r="AW264" s="45"/>
      <c r="AX264" s="45"/>
      <c r="AY264" s="45"/>
      <c r="AZ264" s="45"/>
      <c r="BA264" s="45"/>
      <c r="BB264" s="45"/>
      <c r="BC264" s="45"/>
      <c r="BD264" s="45"/>
      <c r="BE264" s="45"/>
      <c r="BF264" s="45"/>
      <c r="BG264" s="45"/>
      <c r="BH264" s="45"/>
      <c r="BI264" s="45"/>
      <c r="BJ264" s="45"/>
      <c r="BK264" s="45"/>
      <c r="BL264" s="45"/>
      <c r="BM264" s="45"/>
      <c r="BN264" s="45"/>
      <c r="BO264" s="1"/>
      <c r="BP264" s="1"/>
    </row>
    <row r="265" spans="2:68" s="11" customFormat="1" ht="21.75" x14ac:dyDescent="0.3">
      <c r="B265" s="9"/>
      <c r="C265" s="113"/>
      <c r="D265" s="99"/>
      <c r="E265" s="115"/>
      <c r="F265" s="117"/>
      <c r="G265" s="99"/>
      <c r="H265" s="99"/>
      <c r="I265" s="116"/>
      <c r="J265" s="111"/>
      <c r="K265" s="100"/>
      <c r="L265" s="100"/>
      <c r="M265" s="100"/>
      <c r="N265" s="110"/>
      <c r="O265" s="110"/>
      <c r="P265" s="100"/>
      <c r="Q265" s="118"/>
      <c r="R265" s="98"/>
      <c r="S265" s="119"/>
      <c r="T265" s="28"/>
      <c r="U265" s="28"/>
      <c r="V265" s="28"/>
      <c r="W265" s="101"/>
      <c r="X265" s="29"/>
      <c r="Y265" s="1"/>
      <c r="Z265" s="1"/>
      <c r="AA265" s="71">
        <v>45980</v>
      </c>
      <c r="AB265" s="104">
        <v>45989</v>
      </c>
      <c r="AC265" s="40" t="s">
        <v>612</v>
      </c>
      <c r="AD265" s="105">
        <v>0</v>
      </c>
      <c r="AE265" s="105">
        <v>0</v>
      </c>
      <c r="AF265" s="105">
        <v>0</v>
      </c>
      <c r="AG265" s="105">
        <v>0</v>
      </c>
      <c r="AH265" s="105">
        <v>0</v>
      </c>
      <c r="AI265" s="106">
        <v>0</v>
      </c>
      <c r="AJ265" s="107">
        <v>0</v>
      </c>
      <c r="AK265" s="112">
        <v>0</v>
      </c>
      <c r="AL265" s="112">
        <v>0</v>
      </c>
      <c r="AM265" s="45"/>
      <c r="AN265" s="45"/>
      <c r="AO265" s="45"/>
      <c r="AP265" s="45"/>
      <c r="AQ265" s="45"/>
      <c r="AR265" s="45"/>
      <c r="AS265" s="45"/>
      <c r="AT265" s="45"/>
      <c r="AU265" s="45"/>
      <c r="AV265" s="45"/>
      <c r="AW265" s="45"/>
      <c r="AX265" s="45"/>
      <c r="AY265" s="45"/>
      <c r="AZ265" s="45"/>
      <c r="BA265" s="45"/>
      <c r="BB265" s="45"/>
      <c r="BC265" s="45"/>
      <c r="BD265" s="45"/>
      <c r="BE265" s="45"/>
      <c r="BF265" s="45"/>
      <c r="BG265" s="45"/>
      <c r="BH265" s="45"/>
      <c r="BI265" s="45"/>
      <c r="BJ265" s="45"/>
      <c r="BK265" s="45"/>
      <c r="BL265" s="45"/>
      <c r="BM265" s="45"/>
      <c r="BN265" s="45"/>
      <c r="BO265" s="1"/>
      <c r="BP265" s="1"/>
    </row>
    <row r="266" spans="2:68" s="11" customFormat="1" ht="21.75" x14ac:dyDescent="0.3">
      <c r="B266" s="9"/>
      <c r="C266" s="113"/>
      <c r="D266" s="99"/>
      <c r="E266" s="115"/>
      <c r="F266" s="117"/>
      <c r="G266" s="99"/>
      <c r="H266" s="99"/>
      <c r="I266" s="116"/>
      <c r="J266" s="111"/>
      <c r="K266" s="100"/>
      <c r="L266" s="100"/>
      <c r="M266" s="100"/>
      <c r="N266" s="110"/>
      <c r="O266" s="110"/>
      <c r="P266" s="100"/>
      <c r="Q266" s="118"/>
      <c r="R266" s="98"/>
      <c r="S266" s="119"/>
      <c r="T266" s="28"/>
      <c r="U266" s="28"/>
      <c r="V266" s="28"/>
      <c r="W266" s="101"/>
      <c r="X266" s="29"/>
      <c r="Y266" s="1"/>
      <c r="Z266" s="1"/>
      <c r="AA266" s="71">
        <v>45980</v>
      </c>
      <c r="AB266" s="104">
        <v>45989</v>
      </c>
      <c r="AC266" s="40" t="s">
        <v>592</v>
      </c>
      <c r="AD266" s="105">
        <v>0</v>
      </c>
      <c r="AE266" s="105">
        <v>0</v>
      </c>
      <c r="AF266" s="105">
        <v>0</v>
      </c>
      <c r="AG266" s="105">
        <v>0</v>
      </c>
      <c r="AH266" s="105">
        <v>0</v>
      </c>
      <c r="AI266" s="106">
        <v>0</v>
      </c>
      <c r="AJ266" s="107">
        <v>0</v>
      </c>
      <c r="AK266" s="112">
        <v>0</v>
      </c>
      <c r="AL266" s="112">
        <v>0</v>
      </c>
      <c r="AM266" s="45"/>
      <c r="AN266" s="45"/>
      <c r="AO266" s="45"/>
      <c r="AP266" s="45"/>
      <c r="AQ266" s="45"/>
      <c r="AR266" s="45"/>
      <c r="AS266" s="45"/>
      <c r="AT266" s="45"/>
      <c r="AU266" s="45"/>
      <c r="AV266" s="45"/>
      <c r="AW266" s="45"/>
      <c r="AX266" s="45"/>
      <c r="AY266" s="45"/>
      <c r="AZ266" s="45"/>
      <c r="BA266" s="45"/>
      <c r="BB266" s="45"/>
      <c r="BC266" s="45"/>
      <c r="BD266" s="45"/>
      <c r="BE266" s="45"/>
      <c r="BF266" s="45"/>
      <c r="BG266" s="45"/>
      <c r="BH266" s="45"/>
      <c r="BI266" s="45"/>
      <c r="BJ266" s="45"/>
      <c r="BK266" s="45"/>
      <c r="BL266" s="45"/>
      <c r="BM266" s="45"/>
      <c r="BN266" s="45"/>
      <c r="BO266" s="1"/>
      <c r="BP266" s="1"/>
    </row>
    <row r="267" spans="2:68" s="11" customFormat="1" ht="21.75" x14ac:dyDescent="0.3">
      <c r="B267" s="9"/>
      <c r="C267" s="113"/>
      <c r="D267" s="99"/>
      <c r="E267" s="115"/>
      <c r="F267" s="117"/>
      <c r="G267" s="99"/>
      <c r="H267" s="99"/>
      <c r="I267" s="116"/>
      <c r="J267" s="111"/>
      <c r="K267" s="100"/>
      <c r="L267" s="100"/>
      <c r="M267" s="100"/>
      <c r="N267" s="110"/>
      <c r="O267" s="110"/>
      <c r="P267" s="100"/>
      <c r="Q267" s="118"/>
      <c r="R267" s="98"/>
      <c r="S267" s="119"/>
      <c r="T267" s="28"/>
      <c r="U267" s="28"/>
      <c r="V267" s="28"/>
      <c r="W267" s="101"/>
      <c r="X267" s="29"/>
      <c r="Y267" s="1"/>
      <c r="Z267" s="1"/>
      <c r="AA267" s="71">
        <v>45980</v>
      </c>
      <c r="AB267" s="104">
        <v>45989</v>
      </c>
      <c r="AC267" s="40" t="s">
        <v>594</v>
      </c>
      <c r="AD267" s="105">
        <v>0</v>
      </c>
      <c r="AE267" s="105">
        <v>0</v>
      </c>
      <c r="AF267" s="105">
        <v>0</v>
      </c>
      <c r="AG267" s="105">
        <v>0</v>
      </c>
      <c r="AH267" s="105">
        <v>0</v>
      </c>
      <c r="AI267" s="106">
        <v>0</v>
      </c>
      <c r="AJ267" s="107">
        <v>0</v>
      </c>
      <c r="AK267" s="112">
        <v>0</v>
      </c>
      <c r="AL267" s="112">
        <v>0</v>
      </c>
      <c r="AM267" s="45"/>
      <c r="AN267" s="45"/>
      <c r="AO267" s="45"/>
      <c r="AP267" s="45"/>
      <c r="AQ267" s="45"/>
      <c r="AR267" s="45"/>
      <c r="AS267" s="45"/>
      <c r="AT267" s="45"/>
      <c r="AU267" s="45"/>
      <c r="AV267" s="45"/>
      <c r="AW267" s="45"/>
      <c r="AX267" s="45"/>
      <c r="AY267" s="45"/>
      <c r="AZ267" s="45"/>
      <c r="BA267" s="45"/>
      <c r="BB267" s="45"/>
      <c r="BC267" s="45"/>
      <c r="BD267" s="45"/>
      <c r="BE267" s="45"/>
      <c r="BF267" s="45"/>
      <c r="BG267" s="45"/>
      <c r="BH267" s="45"/>
      <c r="BI267" s="45"/>
      <c r="BJ267" s="45"/>
      <c r="BK267" s="45"/>
      <c r="BL267" s="45"/>
      <c r="BM267" s="45"/>
      <c r="BN267" s="45"/>
      <c r="BO267" s="1"/>
      <c r="BP267" s="1"/>
    </row>
    <row r="268" spans="2:68" s="11" customFormat="1" ht="21.75" x14ac:dyDescent="0.3">
      <c r="B268" s="9"/>
      <c r="C268" s="113"/>
      <c r="D268" s="99"/>
      <c r="E268" s="115"/>
      <c r="F268" s="117"/>
      <c r="G268" s="99"/>
      <c r="H268" s="99"/>
      <c r="I268" s="116"/>
      <c r="J268" s="111"/>
      <c r="K268" s="100"/>
      <c r="L268" s="100"/>
      <c r="M268" s="100"/>
      <c r="N268" s="110"/>
      <c r="O268" s="110"/>
      <c r="P268" s="100"/>
      <c r="Q268" s="118"/>
      <c r="R268" s="98"/>
      <c r="S268" s="119"/>
      <c r="T268" s="28"/>
      <c r="U268" s="28"/>
      <c r="V268" s="28"/>
      <c r="W268" s="101"/>
      <c r="X268" s="29"/>
      <c r="Y268" s="1"/>
      <c r="Z268" s="1"/>
      <c r="AA268" s="71">
        <v>45980</v>
      </c>
      <c r="AB268" s="104">
        <v>45989</v>
      </c>
      <c r="AC268" s="40" t="s">
        <v>595</v>
      </c>
      <c r="AD268" s="105">
        <v>0</v>
      </c>
      <c r="AE268" s="105">
        <v>0</v>
      </c>
      <c r="AF268" s="105">
        <v>0</v>
      </c>
      <c r="AG268" s="105">
        <v>0</v>
      </c>
      <c r="AH268" s="105">
        <v>0</v>
      </c>
      <c r="AI268" s="106">
        <v>0</v>
      </c>
      <c r="AJ268" s="107">
        <v>0</v>
      </c>
      <c r="AK268" s="112">
        <v>0</v>
      </c>
      <c r="AL268" s="112">
        <v>0</v>
      </c>
      <c r="AM268" s="45"/>
      <c r="AN268" s="45"/>
      <c r="AO268" s="45"/>
      <c r="AP268" s="45"/>
      <c r="AQ268" s="45"/>
      <c r="AR268" s="45"/>
      <c r="AS268" s="45"/>
      <c r="AT268" s="45"/>
      <c r="AU268" s="45"/>
      <c r="AV268" s="45"/>
      <c r="AW268" s="45"/>
      <c r="AX268" s="45"/>
      <c r="AY268" s="45"/>
      <c r="AZ268" s="45"/>
      <c r="BA268" s="45"/>
      <c r="BB268" s="45"/>
      <c r="BC268" s="45"/>
      <c r="BD268" s="45"/>
      <c r="BE268" s="45"/>
      <c r="BF268" s="45"/>
      <c r="BG268" s="45"/>
      <c r="BH268" s="45"/>
      <c r="BI268" s="45"/>
      <c r="BJ268" s="45"/>
      <c r="BK268" s="45"/>
      <c r="BL268" s="45"/>
      <c r="BM268" s="45"/>
      <c r="BN268" s="45"/>
      <c r="BO268" s="1"/>
      <c r="BP268" s="1"/>
    </row>
    <row r="269" spans="2:68" s="11" customFormat="1" ht="21.75" x14ac:dyDescent="0.3">
      <c r="B269" s="9"/>
      <c r="C269" s="113"/>
      <c r="D269" s="99"/>
      <c r="E269" s="115"/>
      <c r="F269" s="117"/>
      <c r="G269" s="99"/>
      <c r="H269" s="99"/>
      <c r="I269" s="116"/>
      <c r="J269" s="111"/>
      <c r="K269" s="100"/>
      <c r="L269" s="100"/>
      <c r="M269" s="100"/>
      <c r="N269" s="110"/>
      <c r="O269" s="110"/>
      <c r="P269" s="100"/>
      <c r="Q269" s="118"/>
      <c r="R269" s="98"/>
      <c r="S269" s="119"/>
      <c r="T269" s="28"/>
      <c r="U269" s="28"/>
      <c r="V269" s="28"/>
      <c r="W269" s="101"/>
      <c r="X269" s="29"/>
      <c r="Y269" s="1"/>
      <c r="Z269" s="1"/>
      <c r="AA269" s="71">
        <v>45987</v>
      </c>
      <c r="AB269" s="104">
        <v>45996</v>
      </c>
      <c r="AC269" s="40" t="s">
        <v>617</v>
      </c>
      <c r="AD269" s="105">
        <v>0</v>
      </c>
      <c r="AE269" s="105">
        <v>0</v>
      </c>
      <c r="AF269" s="105">
        <v>0</v>
      </c>
      <c r="AG269" s="105">
        <v>0</v>
      </c>
      <c r="AH269" s="105">
        <v>0</v>
      </c>
      <c r="AI269" s="106">
        <v>0</v>
      </c>
      <c r="AJ269" s="107">
        <v>0</v>
      </c>
      <c r="AK269" s="112">
        <v>0</v>
      </c>
      <c r="AL269" s="112">
        <v>0</v>
      </c>
      <c r="AM269" s="45"/>
      <c r="AN269" s="45"/>
      <c r="AO269" s="45"/>
      <c r="AP269" s="45"/>
      <c r="AQ269" s="45"/>
      <c r="AR269" s="45"/>
      <c r="AS269" s="45"/>
      <c r="AT269" s="45"/>
      <c r="AU269" s="45"/>
      <c r="AV269" s="45"/>
      <c r="AW269" s="45"/>
      <c r="AX269" s="45"/>
      <c r="AY269" s="45"/>
      <c r="AZ269" s="45"/>
      <c r="BA269" s="45"/>
      <c r="BB269" s="45"/>
      <c r="BC269" s="45"/>
      <c r="BD269" s="45"/>
      <c r="BE269" s="45"/>
      <c r="BF269" s="45"/>
      <c r="BG269" s="45"/>
      <c r="BH269" s="45"/>
      <c r="BI269" s="45"/>
      <c r="BJ269" s="45"/>
      <c r="BK269" s="45"/>
      <c r="BL269" s="45"/>
      <c r="BM269" s="45"/>
      <c r="BN269" s="45"/>
      <c r="BO269" s="1"/>
      <c r="BP269" s="1"/>
    </row>
    <row r="270" spans="2:68" s="11" customFormat="1" ht="21.75" x14ac:dyDescent="0.3">
      <c r="B270" s="9"/>
      <c r="C270" s="113"/>
      <c r="D270" s="99"/>
      <c r="E270" s="115"/>
      <c r="F270" s="117"/>
      <c r="G270" s="99"/>
      <c r="H270" s="99"/>
      <c r="I270" s="116"/>
      <c r="J270" s="111"/>
      <c r="K270" s="100"/>
      <c r="L270" s="100"/>
      <c r="M270" s="100"/>
      <c r="N270" s="110"/>
      <c r="O270" s="110"/>
      <c r="P270" s="100"/>
      <c r="Q270" s="118"/>
      <c r="R270" s="98"/>
      <c r="S270" s="119"/>
      <c r="T270" s="28"/>
      <c r="U270" s="28"/>
      <c r="V270" s="28"/>
      <c r="W270" s="101"/>
      <c r="X270" s="29"/>
      <c r="Y270" s="1"/>
      <c r="Z270" s="1"/>
      <c r="AA270" s="71">
        <v>45989</v>
      </c>
      <c r="AB270" s="104">
        <v>46000</v>
      </c>
      <c r="AC270" s="40" t="s">
        <v>622</v>
      </c>
      <c r="AD270" s="105">
        <v>0</v>
      </c>
      <c r="AE270" s="105">
        <v>0</v>
      </c>
      <c r="AF270" s="105">
        <v>0</v>
      </c>
      <c r="AG270" s="105">
        <v>0</v>
      </c>
      <c r="AH270" s="105">
        <v>0</v>
      </c>
      <c r="AI270" s="106">
        <v>0</v>
      </c>
      <c r="AJ270" s="107">
        <v>0</v>
      </c>
      <c r="AK270" s="112">
        <v>0</v>
      </c>
      <c r="AL270" s="112">
        <v>0</v>
      </c>
      <c r="AM270" s="45"/>
      <c r="AN270" s="45"/>
      <c r="AO270" s="45"/>
      <c r="AP270" s="45"/>
      <c r="AQ270" s="45"/>
      <c r="AR270" s="45"/>
      <c r="AS270" s="45"/>
      <c r="AT270" s="45"/>
      <c r="AU270" s="45"/>
      <c r="AV270" s="45"/>
      <c r="AW270" s="45"/>
      <c r="AX270" s="45"/>
      <c r="AY270" s="45"/>
      <c r="AZ270" s="45"/>
      <c r="BA270" s="45"/>
      <c r="BB270" s="45"/>
      <c r="BC270" s="45"/>
      <c r="BD270" s="45"/>
      <c r="BE270" s="45"/>
      <c r="BF270" s="45"/>
      <c r="BG270" s="45"/>
      <c r="BH270" s="45"/>
      <c r="BI270" s="45"/>
      <c r="BJ270" s="45"/>
      <c r="BK270" s="45"/>
      <c r="BL270" s="45"/>
      <c r="BM270" s="45"/>
      <c r="BN270" s="45"/>
      <c r="BO270" s="1"/>
      <c r="BP270" s="1"/>
    </row>
    <row r="271" spans="2:68" s="11" customFormat="1" ht="21.75" x14ac:dyDescent="0.3">
      <c r="B271" s="9"/>
      <c r="C271" s="113"/>
      <c r="D271" s="99"/>
      <c r="E271" s="115"/>
      <c r="F271" s="117"/>
      <c r="G271" s="99"/>
      <c r="H271" s="99"/>
      <c r="I271" s="116"/>
      <c r="J271" s="111"/>
      <c r="K271" s="100"/>
      <c r="L271" s="100"/>
      <c r="M271" s="100"/>
      <c r="N271" s="110"/>
      <c r="O271" s="110"/>
      <c r="P271" s="100"/>
      <c r="Q271" s="118"/>
      <c r="R271" s="98"/>
      <c r="S271" s="119"/>
      <c r="T271" s="28"/>
      <c r="U271" s="28"/>
      <c r="V271" s="28"/>
      <c r="W271" s="101"/>
      <c r="X271" s="29"/>
      <c r="Y271" s="1"/>
      <c r="Z271" s="1"/>
      <c r="AA271" s="71">
        <v>45987</v>
      </c>
      <c r="AB271" s="104">
        <v>45996</v>
      </c>
      <c r="AC271" s="40" t="s">
        <v>616</v>
      </c>
      <c r="AD271" s="105">
        <v>0</v>
      </c>
      <c r="AE271" s="105">
        <v>0</v>
      </c>
      <c r="AF271" s="105">
        <v>0</v>
      </c>
      <c r="AG271" s="105">
        <v>0</v>
      </c>
      <c r="AH271" s="105">
        <v>0</v>
      </c>
      <c r="AI271" s="106">
        <v>0</v>
      </c>
      <c r="AJ271" s="107">
        <v>0</v>
      </c>
      <c r="AK271" s="112">
        <v>0</v>
      </c>
      <c r="AL271" s="112">
        <v>0</v>
      </c>
      <c r="AM271" s="45"/>
      <c r="AN271" s="45"/>
      <c r="AO271" s="45"/>
      <c r="AP271" s="45"/>
      <c r="AQ271" s="45"/>
      <c r="AR271" s="45"/>
      <c r="AS271" s="45"/>
      <c r="AT271" s="45"/>
      <c r="AU271" s="45"/>
      <c r="AV271" s="45"/>
      <c r="AW271" s="45"/>
      <c r="AX271" s="45"/>
      <c r="AY271" s="45"/>
      <c r="AZ271" s="45"/>
      <c r="BA271" s="45"/>
      <c r="BB271" s="45"/>
      <c r="BC271" s="45"/>
      <c r="BD271" s="45"/>
      <c r="BE271" s="45"/>
      <c r="BF271" s="45"/>
      <c r="BG271" s="45"/>
      <c r="BH271" s="45"/>
      <c r="BI271" s="45"/>
      <c r="BJ271" s="45"/>
      <c r="BK271" s="45"/>
      <c r="BL271" s="45"/>
      <c r="BM271" s="45"/>
      <c r="BN271" s="45"/>
      <c r="BO271" s="1"/>
      <c r="BP271" s="1"/>
    </row>
    <row r="272" spans="2:68" ht="48.75" customHeight="1" x14ac:dyDescent="0.3">
      <c r="B272" s="30"/>
      <c r="C272" s="31"/>
      <c r="D272" s="32"/>
      <c r="E272" s="32"/>
      <c r="F272" s="32"/>
      <c r="G272" s="32"/>
      <c r="H272" s="32"/>
      <c r="I272" s="249"/>
      <c r="J272" s="231"/>
      <c r="K272" s="33"/>
      <c r="L272" s="33"/>
      <c r="M272" s="33"/>
      <c r="N272" s="33"/>
      <c r="O272" s="33"/>
      <c r="P272" s="33"/>
      <c r="Q272" s="34"/>
      <c r="R272" s="34"/>
      <c r="S272" s="35"/>
      <c r="T272" s="33"/>
      <c r="U272" s="33"/>
      <c r="V272" s="36"/>
      <c r="W272" s="37"/>
      <c r="X272" s="10"/>
    </row>
    <row r="273" spans="2:24" ht="18.75" customHeight="1" x14ac:dyDescent="0.3">
      <c r="B273" s="30"/>
      <c r="C273" s="38" t="s">
        <v>30</v>
      </c>
      <c r="D273" s="39"/>
      <c r="E273" s="40"/>
      <c r="F273" s="40"/>
      <c r="L273" s="50"/>
      <c r="M273" s="50"/>
      <c r="N273" s="50"/>
      <c r="O273" s="50"/>
      <c r="Q273" s="41"/>
      <c r="R273" s="41"/>
      <c r="S273" s="42"/>
      <c r="U273" s="43"/>
      <c r="W273" s="44"/>
      <c r="X273" s="10"/>
    </row>
    <row r="274" spans="2:24" x14ac:dyDescent="0.3">
      <c r="B274" s="30"/>
      <c r="C274" s="250" t="s">
        <v>31</v>
      </c>
      <c r="D274" s="251"/>
      <c r="E274" s="251"/>
      <c r="F274" s="251"/>
      <c r="G274" s="251"/>
      <c r="H274" s="251"/>
      <c r="I274" s="251"/>
      <c r="J274" s="251"/>
      <c r="K274" s="251"/>
      <c r="L274" s="251"/>
      <c r="M274" s="251"/>
      <c r="N274" s="251"/>
      <c r="O274" s="251"/>
      <c r="P274" s="251"/>
      <c r="Q274" s="251"/>
      <c r="R274" s="251"/>
      <c r="S274" s="251"/>
      <c r="T274" s="251"/>
      <c r="U274" s="251"/>
      <c r="V274" s="251"/>
      <c r="W274" s="252"/>
      <c r="X274" s="10"/>
    </row>
    <row r="275" spans="2:24" x14ac:dyDescent="0.3">
      <c r="B275" s="30"/>
      <c r="C275" s="253"/>
      <c r="D275" s="254"/>
      <c r="E275" s="254"/>
      <c r="F275" s="254"/>
      <c r="G275" s="254"/>
      <c r="H275" s="254"/>
      <c r="I275" s="254"/>
      <c r="J275" s="254"/>
      <c r="K275" s="254"/>
      <c r="L275" s="255"/>
      <c r="M275" s="255"/>
      <c r="N275" s="256"/>
      <c r="O275" s="256"/>
      <c r="P275" s="257"/>
      <c r="Q275" s="257"/>
      <c r="R275" s="257"/>
      <c r="S275" s="257"/>
      <c r="T275" s="257"/>
      <c r="U275" s="257"/>
      <c r="V275" s="255"/>
      <c r="W275" s="258"/>
      <c r="X275" s="10"/>
    </row>
    <row r="276" spans="2:24" ht="10.5" customHeight="1" x14ac:dyDescent="0.3">
      <c r="B276" s="30"/>
      <c r="C276" s="259"/>
      <c r="D276" s="260"/>
      <c r="E276" s="260"/>
      <c r="F276" s="260"/>
      <c r="G276" s="260"/>
      <c r="H276" s="260"/>
      <c r="I276" s="260"/>
      <c r="J276" s="260"/>
      <c r="K276" s="260"/>
      <c r="L276" s="260"/>
      <c r="M276" s="260"/>
      <c r="N276" s="260"/>
      <c r="O276" s="260"/>
      <c r="P276" s="260"/>
      <c r="Q276" s="260"/>
      <c r="R276" s="260"/>
      <c r="S276" s="260"/>
      <c r="T276" s="260"/>
      <c r="U276" s="260"/>
      <c r="V276" s="260"/>
      <c r="W276" s="261"/>
      <c r="X276" s="10"/>
    </row>
    <row r="277" spans="2:24" x14ac:dyDescent="0.3">
      <c r="B277" s="30"/>
      <c r="C277" s="30"/>
      <c r="L277" s="50"/>
      <c r="M277" s="50"/>
      <c r="N277" s="50"/>
      <c r="O277" s="50"/>
      <c r="U277" s="43"/>
      <c r="W277" s="10"/>
      <c r="X277" s="10"/>
    </row>
    <row r="278" spans="2:24" x14ac:dyDescent="0.3">
      <c r="B278" s="30"/>
      <c r="C278" s="30"/>
      <c r="L278" s="50"/>
      <c r="M278" s="50"/>
      <c r="N278" s="50"/>
      <c r="O278" s="50"/>
      <c r="U278" s="43"/>
      <c r="W278" s="10"/>
      <c r="X278" s="10"/>
    </row>
    <row r="279" spans="2:24" x14ac:dyDescent="0.3">
      <c r="B279" s="30"/>
      <c r="C279" s="30"/>
      <c r="L279" s="50"/>
      <c r="M279" s="50"/>
      <c r="N279" s="50"/>
      <c r="O279" s="50"/>
      <c r="U279" s="43"/>
      <c r="W279" s="10"/>
      <c r="X279" s="10"/>
    </row>
  </sheetData>
  <mergeCells count="18">
    <mergeCell ref="C8:W8"/>
    <mergeCell ref="C9:E9"/>
    <mergeCell ref="F9:H9"/>
    <mergeCell ref="I9:J9"/>
    <mergeCell ref="N9:O9"/>
    <mergeCell ref="U9:V9"/>
    <mergeCell ref="C10:S10"/>
    <mergeCell ref="I272:J272"/>
    <mergeCell ref="C274:W276"/>
    <mergeCell ref="C3:G5"/>
    <mergeCell ref="H3:S5"/>
    <mergeCell ref="T3:W5"/>
    <mergeCell ref="C6:W6"/>
    <mergeCell ref="D7:F7"/>
    <mergeCell ref="H7:O7"/>
    <mergeCell ref="P7:Q7"/>
    <mergeCell ref="R7:T7"/>
    <mergeCell ref="V7:W7"/>
  </mergeCells>
  <conditionalFormatting sqref="Z1:Z1048576">
    <cfRule type="cellIs" dxfId="8" priority="3" operator="lessThan">
      <formula>0</formula>
    </cfRule>
  </conditionalFormatting>
  <conditionalFormatting sqref="W12:W271">
    <cfRule type="duplicateValues" dxfId="7" priority="9"/>
  </conditionalFormatting>
  <printOptions horizontalCentered="1"/>
  <pageMargins left="0.5" right="0.5" top="0.75" bottom="0.75" header="0.3" footer="0.3"/>
  <pageSetup scale="17" fitToHeight="0" orientation="landscape" r:id="rId1"/>
  <colBreaks count="2" manualBreakCount="2">
    <brk id="23" max="1048575" man="1"/>
    <brk id="2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PDF_ConValidacion">
                <anchor moveWithCells="1" sizeWithCells="1">
                  <from>
                    <xdr:col>25</xdr:col>
                    <xdr:colOff>647700</xdr:colOff>
                    <xdr:row>2</xdr:row>
                    <xdr:rowOff>47625</xdr:rowOff>
                  </from>
                  <to>
                    <xdr:col>27</xdr:col>
                    <xdr:colOff>1266825</xdr:colOff>
                    <xdr:row>6</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7635-0F3C-4166-8599-325E9D092F9F}">
  <dimension ref="A1:O2181"/>
  <sheetViews>
    <sheetView topLeftCell="N2145" workbookViewId="0">
      <selection sqref="A1:XFD2181"/>
    </sheetView>
  </sheetViews>
  <sheetFormatPr baseColWidth="10" defaultRowHeight="15" x14ac:dyDescent="0.25"/>
  <cols>
    <col min="2" max="2" width="16.85546875" bestFit="1" customWidth="1"/>
    <col min="14" max="14" width="255.7109375" bestFit="1" customWidth="1"/>
  </cols>
  <sheetData>
    <row r="1" spans="1:15" x14ac:dyDescent="0.25">
      <c r="A1" s="133">
        <v>1</v>
      </c>
      <c r="B1" s="134" t="s">
        <v>946</v>
      </c>
      <c r="C1" s="135">
        <v>161100</v>
      </c>
      <c r="D1" s="136" t="s">
        <v>947</v>
      </c>
      <c r="E1" s="137">
        <v>200</v>
      </c>
      <c r="F1" s="137">
        <v>200</v>
      </c>
      <c r="G1" s="137">
        <v>0</v>
      </c>
      <c r="H1" s="137">
        <v>0</v>
      </c>
      <c r="I1" s="135"/>
      <c r="J1" s="138">
        <v>0</v>
      </c>
      <c r="K1" s="133"/>
      <c r="L1" s="133">
        <v>666</v>
      </c>
      <c r="M1" s="139">
        <v>46027</v>
      </c>
      <c r="N1" s="140" t="s">
        <v>948</v>
      </c>
      <c r="O1" s="134" t="s">
        <v>212</v>
      </c>
    </row>
    <row r="2" spans="1:15" x14ac:dyDescent="0.25">
      <c r="A2" s="133">
        <v>2</v>
      </c>
      <c r="B2" s="134" t="s">
        <v>949</v>
      </c>
      <c r="C2" s="135">
        <v>4534060</v>
      </c>
      <c r="D2" s="136" t="s">
        <v>947</v>
      </c>
      <c r="E2" s="137">
        <v>1222800</v>
      </c>
      <c r="F2" s="137">
        <v>0</v>
      </c>
      <c r="G2" s="137">
        <v>1222800</v>
      </c>
      <c r="H2" s="137">
        <v>0</v>
      </c>
      <c r="I2" s="135"/>
      <c r="J2" s="138">
        <v>0</v>
      </c>
      <c r="K2" s="133"/>
      <c r="L2" s="133">
        <v>666</v>
      </c>
      <c r="M2" s="139">
        <v>46027</v>
      </c>
      <c r="N2" s="140" t="s">
        <v>950</v>
      </c>
      <c r="O2" s="134" t="s">
        <v>283</v>
      </c>
    </row>
    <row r="3" spans="1:15" x14ac:dyDescent="0.25">
      <c r="A3" s="133">
        <v>3</v>
      </c>
      <c r="B3" s="134" t="s">
        <v>949</v>
      </c>
      <c r="C3" s="135">
        <v>4534060</v>
      </c>
      <c r="D3" s="136" t="s">
        <v>947</v>
      </c>
      <c r="E3" s="137">
        <v>684200</v>
      </c>
      <c r="F3" s="137">
        <v>0</v>
      </c>
      <c r="G3" s="137">
        <v>684200</v>
      </c>
      <c r="H3" s="137">
        <v>0</v>
      </c>
      <c r="I3" s="135"/>
      <c r="J3" s="138">
        <v>0</v>
      </c>
      <c r="K3" s="133"/>
      <c r="L3" s="133">
        <v>666</v>
      </c>
      <c r="M3" s="139">
        <v>46027</v>
      </c>
      <c r="N3" s="140" t="s">
        <v>950</v>
      </c>
      <c r="O3" s="134" t="s">
        <v>283</v>
      </c>
    </row>
    <row r="4" spans="1:15" x14ac:dyDescent="0.25">
      <c r="A4" s="133">
        <v>4</v>
      </c>
      <c r="B4" s="134" t="s">
        <v>949</v>
      </c>
      <c r="C4" s="135">
        <v>4534060</v>
      </c>
      <c r="D4" s="136" t="s">
        <v>947</v>
      </c>
      <c r="E4" s="137">
        <v>359500</v>
      </c>
      <c r="F4" s="137">
        <v>0</v>
      </c>
      <c r="G4" s="137">
        <v>359500</v>
      </c>
      <c r="H4" s="137">
        <v>0</v>
      </c>
      <c r="I4" s="135"/>
      <c r="J4" s="138">
        <v>0</v>
      </c>
      <c r="K4" s="133"/>
      <c r="L4" s="133">
        <v>666</v>
      </c>
      <c r="M4" s="139">
        <v>46027</v>
      </c>
      <c r="N4" s="140" t="s">
        <v>950</v>
      </c>
      <c r="O4" s="134" t="s">
        <v>194</v>
      </c>
    </row>
    <row r="5" spans="1:15" x14ac:dyDescent="0.25">
      <c r="A5" s="133">
        <v>5</v>
      </c>
      <c r="B5" s="134" t="s">
        <v>949</v>
      </c>
      <c r="C5" s="135">
        <v>4534060</v>
      </c>
      <c r="D5" s="136" t="s">
        <v>947</v>
      </c>
      <c r="E5" s="137">
        <v>359500</v>
      </c>
      <c r="F5" s="137">
        <v>0</v>
      </c>
      <c r="G5" s="137">
        <v>359500</v>
      </c>
      <c r="H5" s="137">
        <v>0</v>
      </c>
      <c r="I5" s="135"/>
      <c r="J5" s="138">
        <v>0</v>
      </c>
      <c r="K5" s="133"/>
      <c r="L5" s="133">
        <v>666</v>
      </c>
      <c r="M5" s="139">
        <v>46027</v>
      </c>
      <c r="N5" s="140" t="s">
        <v>950</v>
      </c>
      <c r="O5" s="134" t="s">
        <v>194</v>
      </c>
    </row>
    <row r="6" spans="1:15" x14ac:dyDescent="0.25">
      <c r="A6" s="133">
        <v>6</v>
      </c>
      <c r="B6" s="134" t="s">
        <v>949</v>
      </c>
      <c r="C6" s="135">
        <v>4534060</v>
      </c>
      <c r="D6" s="136" t="s">
        <v>947</v>
      </c>
      <c r="E6" s="137">
        <v>6900</v>
      </c>
      <c r="F6" s="137">
        <v>0</v>
      </c>
      <c r="G6" s="137">
        <v>6900</v>
      </c>
      <c r="H6" s="137">
        <v>0</v>
      </c>
      <c r="I6" s="135"/>
      <c r="J6" s="138">
        <v>0</v>
      </c>
      <c r="K6" s="133"/>
      <c r="L6" s="133">
        <v>666</v>
      </c>
      <c r="M6" s="139">
        <v>46027</v>
      </c>
      <c r="N6" s="140" t="s">
        <v>950</v>
      </c>
      <c r="O6" s="134" t="s">
        <v>224</v>
      </c>
    </row>
    <row r="7" spans="1:15" x14ac:dyDescent="0.25">
      <c r="A7" s="133">
        <v>7</v>
      </c>
      <c r="B7" s="134" t="s">
        <v>949</v>
      </c>
      <c r="C7" s="135">
        <v>4534060</v>
      </c>
      <c r="D7" s="136" t="s">
        <v>947</v>
      </c>
      <c r="E7" s="137">
        <v>11260</v>
      </c>
      <c r="F7" s="137">
        <v>11260</v>
      </c>
      <c r="G7" s="137">
        <v>0</v>
      </c>
      <c r="H7" s="137">
        <v>0</v>
      </c>
      <c r="I7" s="135"/>
      <c r="J7" s="138">
        <v>0</v>
      </c>
      <c r="K7" s="133"/>
      <c r="L7" s="133">
        <v>666</v>
      </c>
      <c r="M7" s="139">
        <v>46027</v>
      </c>
      <c r="N7" s="140" t="s">
        <v>951</v>
      </c>
      <c r="O7" s="134" t="s">
        <v>224</v>
      </c>
    </row>
    <row r="8" spans="1:15" x14ac:dyDescent="0.25">
      <c r="A8" s="133">
        <v>8</v>
      </c>
      <c r="B8" s="134" t="s">
        <v>949</v>
      </c>
      <c r="C8" s="135">
        <v>4534060</v>
      </c>
      <c r="D8" s="136" t="s">
        <v>947</v>
      </c>
      <c r="E8" s="137">
        <v>3200</v>
      </c>
      <c r="F8" s="137">
        <v>0</v>
      </c>
      <c r="G8" s="137">
        <v>3200</v>
      </c>
      <c r="H8" s="137">
        <v>0</v>
      </c>
      <c r="I8" s="135"/>
      <c r="J8" s="138">
        <v>0</v>
      </c>
      <c r="K8" s="133"/>
      <c r="L8" s="133">
        <v>666</v>
      </c>
      <c r="M8" s="139">
        <v>46027</v>
      </c>
      <c r="N8" s="140" t="s">
        <v>950</v>
      </c>
      <c r="O8" s="134" t="s">
        <v>224</v>
      </c>
    </row>
    <row r="9" spans="1:15" x14ac:dyDescent="0.25">
      <c r="A9" s="133">
        <v>9</v>
      </c>
      <c r="B9" s="134" t="s">
        <v>949</v>
      </c>
      <c r="C9" s="135">
        <v>4534060</v>
      </c>
      <c r="D9" s="136" t="s">
        <v>947</v>
      </c>
      <c r="E9" s="137">
        <v>5400</v>
      </c>
      <c r="F9" s="137">
        <v>0</v>
      </c>
      <c r="G9" s="137">
        <v>5400</v>
      </c>
      <c r="H9" s="137">
        <v>0</v>
      </c>
      <c r="I9" s="135"/>
      <c r="J9" s="138">
        <v>0</v>
      </c>
      <c r="K9" s="133"/>
      <c r="L9" s="133">
        <v>666</v>
      </c>
      <c r="M9" s="139">
        <v>46027</v>
      </c>
      <c r="N9" s="140" t="s">
        <v>950</v>
      </c>
      <c r="O9" s="134" t="s">
        <v>224</v>
      </c>
    </row>
    <row r="10" spans="1:15" x14ac:dyDescent="0.25">
      <c r="A10" s="133">
        <v>10</v>
      </c>
      <c r="B10" s="134" t="s">
        <v>949</v>
      </c>
      <c r="C10" s="135">
        <v>4534060</v>
      </c>
      <c r="D10" s="136" t="s">
        <v>947</v>
      </c>
      <c r="E10" s="137">
        <v>684600</v>
      </c>
      <c r="F10" s="137">
        <v>0</v>
      </c>
      <c r="G10" s="137">
        <v>684600</v>
      </c>
      <c r="H10" s="137">
        <v>0</v>
      </c>
      <c r="I10" s="135"/>
      <c r="J10" s="138">
        <v>0</v>
      </c>
      <c r="K10" s="133"/>
      <c r="L10" s="133">
        <v>666</v>
      </c>
      <c r="M10" s="139">
        <v>46027</v>
      </c>
      <c r="N10" s="140" t="s">
        <v>950</v>
      </c>
      <c r="O10" s="134" t="s">
        <v>283</v>
      </c>
    </row>
    <row r="11" spans="1:15" x14ac:dyDescent="0.25">
      <c r="A11" s="133">
        <v>11</v>
      </c>
      <c r="B11" s="134" t="s">
        <v>949</v>
      </c>
      <c r="C11" s="135">
        <v>4534060</v>
      </c>
      <c r="D11" s="136" t="s">
        <v>947</v>
      </c>
      <c r="E11" s="137">
        <v>392700</v>
      </c>
      <c r="F11" s="137">
        <v>0</v>
      </c>
      <c r="G11" s="137">
        <v>392700</v>
      </c>
      <c r="H11" s="137">
        <v>0</v>
      </c>
      <c r="I11" s="135"/>
      <c r="J11" s="138">
        <v>0</v>
      </c>
      <c r="K11" s="133"/>
      <c r="L11" s="133">
        <v>666</v>
      </c>
      <c r="M11" s="139">
        <v>46027</v>
      </c>
      <c r="N11" s="140" t="s">
        <v>950</v>
      </c>
      <c r="O11" s="134" t="s">
        <v>283</v>
      </c>
    </row>
    <row r="12" spans="1:15" x14ac:dyDescent="0.25">
      <c r="A12" s="133">
        <v>12</v>
      </c>
      <c r="B12" s="134" t="s">
        <v>952</v>
      </c>
      <c r="C12" s="135">
        <v>7385763</v>
      </c>
      <c r="D12" s="136" t="s">
        <v>947</v>
      </c>
      <c r="E12" s="137">
        <v>36200</v>
      </c>
      <c r="F12" s="137">
        <v>36200</v>
      </c>
      <c r="G12" s="137">
        <v>0</v>
      </c>
      <c r="H12" s="137">
        <v>0</v>
      </c>
      <c r="I12" s="135"/>
      <c r="J12" s="138">
        <v>36200</v>
      </c>
      <c r="K12" s="133" t="s">
        <v>953</v>
      </c>
      <c r="L12" s="133">
        <v>666</v>
      </c>
      <c r="M12" s="139">
        <v>46027</v>
      </c>
      <c r="N12" s="140" t="s">
        <v>954</v>
      </c>
      <c r="O12" s="134" t="s">
        <v>237</v>
      </c>
    </row>
    <row r="13" spans="1:15" x14ac:dyDescent="0.25">
      <c r="A13" s="133">
        <v>13</v>
      </c>
      <c r="B13" s="134" t="s">
        <v>952</v>
      </c>
      <c r="C13" s="135">
        <v>7385763</v>
      </c>
      <c r="D13" s="136" t="s">
        <v>947</v>
      </c>
      <c r="E13" s="137">
        <v>46200</v>
      </c>
      <c r="F13" s="137">
        <v>46200</v>
      </c>
      <c r="G13" s="137">
        <v>0</v>
      </c>
      <c r="H13" s="137">
        <v>0</v>
      </c>
      <c r="I13" s="135"/>
      <c r="J13" s="138">
        <v>46200</v>
      </c>
      <c r="K13" s="133" t="s">
        <v>953</v>
      </c>
      <c r="L13" s="133">
        <v>666</v>
      </c>
      <c r="M13" s="139">
        <v>46027</v>
      </c>
      <c r="N13" s="140" t="s">
        <v>955</v>
      </c>
      <c r="O13" s="134" t="s">
        <v>956</v>
      </c>
    </row>
    <row r="14" spans="1:15" x14ac:dyDescent="0.25">
      <c r="A14" s="133">
        <v>14</v>
      </c>
      <c r="B14" s="134" t="s">
        <v>952</v>
      </c>
      <c r="C14" s="135">
        <v>7385763</v>
      </c>
      <c r="D14" s="136" t="s">
        <v>947</v>
      </c>
      <c r="E14" s="137">
        <v>52600</v>
      </c>
      <c r="F14" s="137">
        <v>52600</v>
      </c>
      <c r="G14" s="137">
        <v>0</v>
      </c>
      <c r="H14" s="137">
        <v>0</v>
      </c>
      <c r="I14" s="135"/>
      <c r="J14" s="138">
        <v>52600</v>
      </c>
      <c r="K14" s="133" t="s">
        <v>953</v>
      </c>
      <c r="L14" s="133">
        <v>666</v>
      </c>
      <c r="M14" s="139">
        <v>46027</v>
      </c>
      <c r="N14" s="140" t="s">
        <v>957</v>
      </c>
      <c r="O14" s="134" t="s">
        <v>237</v>
      </c>
    </row>
    <row r="15" spans="1:15" x14ac:dyDescent="0.25">
      <c r="A15" s="133">
        <v>15</v>
      </c>
      <c r="B15" s="134" t="s">
        <v>952</v>
      </c>
      <c r="C15" s="135">
        <v>7385763</v>
      </c>
      <c r="D15" s="136" t="s">
        <v>947</v>
      </c>
      <c r="E15" s="137">
        <v>51200</v>
      </c>
      <c r="F15" s="137">
        <v>51200</v>
      </c>
      <c r="G15" s="137">
        <v>0</v>
      </c>
      <c r="H15" s="137">
        <v>0</v>
      </c>
      <c r="I15" s="135"/>
      <c r="J15" s="138">
        <v>51200</v>
      </c>
      <c r="K15" s="133" t="s">
        <v>953</v>
      </c>
      <c r="L15" s="133">
        <v>666</v>
      </c>
      <c r="M15" s="139">
        <v>46027</v>
      </c>
      <c r="N15" s="140" t="s">
        <v>958</v>
      </c>
      <c r="O15" s="134" t="s">
        <v>237</v>
      </c>
    </row>
    <row r="16" spans="1:15" x14ac:dyDescent="0.25">
      <c r="A16" s="133">
        <v>16</v>
      </c>
      <c r="B16" s="134" t="s">
        <v>952</v>
      </c>
      <c r="C16" s="135">
        <v>7385763</v>
      </c>
      <c r="D16" s="136" t="s">
        <v>947</v>
      </c>
      <c r="E16" s="137">
        <v>900</v>
      </c>
      <c r="F16" s="137">
        <v>900</v>
      </c>
      <c r="G16" s="137">
        <v>0</v>
      </c>
      <c r="H16" s="137">
        <v>0</v>
      </c>
      <c r="I16" s="135"/>
      <c r="J16" s="138">
        <v>900</v>
      </c>
      <c r="K16" s="133" t="s">
        <v>953</v>
      </c>
      <c r="L16" s="133">
        <v>666</v>
      </c>
      <c r="M16" s="139">
        <v>46027</v>
      </c>
      <c r="N16" s="140" t="s">
        <v>959</v>
      </c>
      <c r="O16" s="134" t="s">
        <v>212</v>
      </c>
    </row>
    <row r="17" spans="1:15" x14ac:dyDescent="0.25">
      <c r="A17" s="133">
        <v>17</v>
      </c>
      <c r="B17" s="134" t="s">
        <v>952</v>
      </c>
      <c r="C17" s="135">
        <v>7385763</v>
      </c>
      <c r="D17" s="136" t="s">
        <v>947</v>
      </c>
      <c r="E17" s="137">
        <v>12600</v>
      </c>
      <c r="F17" s="137">
        <v>12600</v>
      </c>
      <c r="G17" s="137">
        <v>0</v>
      </c>
      <c r="H17" s="137">
        <v>0</v>
      </c>
      <c r="I17" s="135"/>
      <c r="J17" s="138">
        <v>12600</v>
      </c>
      <c r="K17" s="133" t="s">
        <v>953</v>
      </c>
      <c r="L17" s="133">
        <v>666</v>
      </c>
      <c r="M17" s="139">
        <v>46027</v>
      </c>
      <c r="N17" s="140" t="s">
        <v>960</v>
      </c>
      <c r="O17" s="134" t="s">
        <v>221</v>
      </c>
    </row>
    <row r="18" spans="1:15" x14ac:dyDescent="0.25">
      <c r="A18" s="133">
        <v>18</v>
      </c>
      <c r="B18" s="134" t="s">
        <v>961</v>
      </c>
      <c r="C18" s="135">
        <v>24471567</v>
      </c>
      <c r="D18" s="136" t="s">
        <v>947</v>
      </c>
      <c r="E18" s="137">
        <v>3405500</v>
      </c>
      <c r="F18" s="137">
        <v>1359500</v>
      </c>
      <c r="G18" s="137">
        <v>2046000</v>
      </c>
      <c r="H18" s="137">
        <v>0</v>
      </c>
      <c r="I18" s="135"/>
      <c r="J18" s="138">
        <v>0</v>
      </c>
      <c r="K18" s="133"/>
      <c r="L18" s="133">
        <v>666</v>
      </c>
      <c r="M18" s="139">
        <v>46027</v>
      </c>
      <c r="N18" s="140" t="s">
        <v>962</v>
      </c>
      <c r="O18" s="134" t="s">
        <v>963</v>
      </c>
    </row>
    <row r="19" spans="1:15" x14ac:dyDescent="0.25">
      <c r="A19" s="133">
        <v>19</v>
      </c>
      <c r="B19" s="134" t="s">
        <v>964</v>
      </c>
      <c r="C19" s="135">
        <v>13414041</v>
      </c>
      <c r="D19" s="136" t="s">
        <v>947</v>
      </c>
      <c r="E19" s="137">
        <v>931870</v>
      </c>
      <c r="F19" s="137">
        <v>310430</v>
      </c>
      <c r="G19" s="137">
        <v>621440</v>
      </c>
      <c r="H19" s="137">
        <v>0</v>
      </c>
      <c r="I19" s="135"/>
      <c r="J19" s="138">
        <v>310430</v>
      </c>
      <c r="K19" s="133" t="s">
        <v>953</v>
      </c>
      <c r="L19" s="133">
        <v>666</v>
      </c>
      <c r="M19" s="139">
        <v>46027</v>
      </c>
      <c r="N19" s="140" t="s">
        <v>965</v>
      </c>
      <c r="O19" s="134" t="s">
        <v>279</v>
      </c>
    </row>
    <row r="20" spans="1:15" x14ac:dyDescent="0.25">
      <c r="A20" s="133">
        <v>20</v>
      </c>
      <c r="B20" s="134" t="s">
        <v>966</v>
      </c>
      <c r="C20" s="135">
        <v>392300</v>
      </c>
      <c r="D20" s="136" t="s">
        <v>947</v>
      </c>
      <c r="E20" s="137">
        <v>104700</v>
      </c>
      <c r="F20" s="137">
        <v>0</v>
      </c>
      <c r="G20" s="137">
        <v>104700</v>
      </c>
      <c r="H20" s="137">
        <v>0</v>
      </c>
      <c r="I20" s="135"/>
      <c r="J20" s="138">
        <v>0</v>
      </c>
      <c r="K20" s="133"/>
      <c r="L20" s="133">
        <v>666</v>
      </c>
      <c r="M20" s="139">
        <v>46027</v>
      </c>
      <c r="N20" s="140" t="s">
        <v>950</v>
      </c>
      <c r="O20" s="134" t="s">
        <v>241</v>
      </c>
    </row>
    <row r="21" spans="1:15" x14ac:dyDescent="0.25">
      <c r="A21" s="133">
        <v>21</v>
      </c>
      <c r="B21" s="134" t="s">
        <v>967</v>
      </c>
      <c r="C21" s="135">
        <v>80800</v>
      </c>
      <c r="D21" s="136" t="s">
        <v>968</v>
      </c>
      <c r="E21" s="137">
        <v>80800</v>
      </c>
      <c r="F21" s="137">
        <v>0</v>
      </c>
      <c r="G21" s="137">
        <v>80800</v>
      </c>
      <c r="H21" s="137">
        <v>0</v>
      </c>
      <c r="I21" s="135"/>
      <c r="J21" s="138">
        <v>0</v>
      </c>
      <c r="K21" s="133"/>
      <c r="L21" s="133">
        <v>667</v>
      </c>
      <c r="M21" s="139">
        <v>46020</v>
      </c>
      <c r="N21" s="140" t="s">
        <v>950</v>
      </c>
      <c r="O21" s="134">
        <v>302</v>
      </c>
    </row>
    <row r="22" spans="1:15" x14ac:dyDescent="0.25">
      <c r="A22" s="133">
        <v>22</v>
      </c>
      <c r="B22" s="134" t="s">
        <v>969</v>
      </c>
      <c r="C22" s="135">
        <v>80800</v>
      </c>
      <c r="D22" s="136" t="s">
        <v>968</v>
      </c>
      <c r="E22" s="137">
        <v>80800</v>
      </c>
      <c r="F22" s="137">
        <v>0</v>
      </c>
      <c r="G22" s="137">
        <v>80800</v>
      </c>
      <c r="H22" s="137">
        <v>0</v>
      </c>
      <c r="I22" s="135"/>
      <c r="J22" s="138">
        <v>0</v>
      </c>
      <c r="K22" s="133"/>
      <c r="L22" s="133">
        <v>667</v>
      </c>
      <c r="M22" s="139">
        <v>46020</v>
      </c>
      <c r="N22" s="140" t="s">
        <v>950</v>
      </c>
      <c r="O22" s="134">
        <v>302</v>
      </c>
    </row>
    <row r="23" spans="1:15" x14ac:dyDescent="0.25">
      <c r="A23" s="133">
        <v>23</v>
      </c>
      <c r="B23" s="134" t="s">
        <v>970</v>
      </c>
      <c r="C23" s="135">
        <v>80800</v>
      </c>
      <c r="D23" s="136" t="s">
        <v>968</v>
      </c>
      <c r="E23" s="137">
        <v>80800</v>
      </c>
      <c r="F23" s="137">
        <v>0</v>
      </c>
      <c r="G23" s="137">
        <v>80800</v>
      </c>
      <c r="H23" s="137">
        <v>0</v>
      </c>
      <c r="I23" s="135"/>
      <c r="J23" s="138">
        <v>0</v>
      </c>
      <c r="K23" s="133"/>
      <c r="L23" s="133">
        <v>667</v>
      </c>
      <c r="M23" s="139">
        <v>46020</v>
      </c>
      <c r="N23" s="140" t="s">
        <v>950</v>
      </c>
      <c r="O23" s="134">
        <v>302</v>
      </c>
    </row>
    <row r="24" spans="1:15" x14ac:dyDescent="0.25">
      <c r="A24" s="133">
        <v>24</v>
      </c>
      <c r="B24" s="134" t="s">
        <v>971</v>
      </c>
      <c r="C24" s="135">
        <v>80800</v>
      </c>
      <c r="D24" s="136" t="s">
        <v>968</v>
      </c>
      <c r="E24" s="137">
        <v>80800</v>
      </c>
      <c r="F24" s="137">
        <v>0</v>
      </c>
      <c r="G24" s="137">
        <v>80800</v>
      </c>
      <c r="H24" s="137">
        <v>0</v>
      </c>
      <c r="I24" s="135"/>
      <c r="J24" s="138">
        <v>0</v>
      </c>
      <c r="K24" s="133"/>
      <c r="L24" s="133">
        <v>667</v>
      </c>
      <c r="M24" s="139">
        <v>46020</v>
      </c>
      <c r="N24" s="140" t="s">
        <v>950</v>
      </c>
      <c r="O24" s="134">
        <v>302</v>
      </c>
    </row>
    <row r="25" spans="1:15" x14ac:dyDescent="0.25">
      <c r="A25" s="133">
        <v>25</v>
      </c>
      <c r="B25" s="134" t="s">
        <v>972</v>
      </c>
      <c r="C25" s="135">
        <v>80800</v>
      </c>
      <c r="D25" s="136" t="s">
        <v>968</v>
      </c>
      <c r="E25" s="137">
        <v>80800</v>
      </c>
      <c r="F25" s="137">
        <v>0</v>
      </c>
      <c r="G25" s="137">
        <v>80800</v>
      </c>
      <c r="H25" s="137">
        <v>0</v>
      </c>
      <c r="I25" s="135"/>
      <c r="J25" s="138">
        <v>0</v>
      </c>
      <c r="K25" s="133"/>
      <c r="L25" s="133">
        <v>667</v>
      </c>
      <c r="M25" s="139">
        <v>46020</v>
      </c>
      <c r="N25" s="140" t="s">
        <v>950</v>
      </c>
      <c r="O25" s="134">
        <v>302</v>
      </c>
    </row>
    <row r="26" spans="1:15" x14ac:dyDescent="0.25">
      <c r="A26" s="133">
        <v>26</v>
      </c>
      <c r="B26" s="134" t="s">
        <v>973</v>
      </c>
      <c r="C26" s="135">
        <v>80800</v>
      </c>
      <c r="D26" s="136" t="s">
        <v>968</v>
      </c>
      <c r="E26" s="137">
        <v>80800</v>
      </c>
      <c r="F26" s="137">
        <v>0</v>
      </c>
      <c r="G26" s="137">
        <v>80800</v>
      </c>
      <c r="H26" s="137">
        <v>0</v>
      </c>
      <c r="I26" s="135"/>
      <c r="J26" s="138">
        <v>0</v>
      </c>
      <c r="K26" s="133"/>
      <c r="L26" s="133">
        <v>667</v>
      </c>
      <c r="M26" s="139">
        <v>46020</v>
      </c>
      <c r="N26" s="140" t="s">
        <v>950</v>
      </c>
      <c r="O26" s="134">
        <v>302</v>
      </c>
    </row>
    <row r="27" spans="1:15" x14ac:dyDescent="0.25">
      <c r="A27" s="133">
        <v>27</v>
      </c>
      <c r="B27" s="134" t="s">
        <v>974</v>
      </c>
      <c r="C27" s="135">
        <v>80800</v>
      </c>
      <c r="D27" s="136" t="s">
        <v>968</v>
      </c>
      <c r="E27" s="137">
        <v>80800</v>
      </c>
      <c r="F27" s="137">
        <v>0</v>
      </c>
      <c r="G27" s="137">
        <v>80800</v>
      </c>
      <c r="H27" s="137">
        <v>0</v>
      </c>
      <c r="I27" s="135"/>
      <c r="J27" s="138">
        <v>0</v>
      </c>
      <c r="K27" s="133"/>
      <c r="L27" s="133">
        <v>667</v>
      </c>
      <c r="M27" s="139">
        <v>46020</v>
      </c>
      <c r="N27" s="140" t="s">
        <v>950</v>
      </c>
      <c r="O27" s="134">
        <v>302</v>
      </c>
    </row>
    <row r="28" spans="1:15" x14ac:dyDescent="0.25">
      <c r="A28" s="133">
        <v>28</v>
      </c>
      <c r="B28" s="134" t="s">
        <v>975</v>
      </c>
      <c r="C28" s="135">
        <v>80800</v>
      </c>
      <c r="D28" s="136" t="s">
        <v>968</v>
      </c>
      <c r="E28" s="137">
        <v>80800</v>
      </c>
      <c r="F28" s="137">
        <v>0</v>
      </c>
      <c r="G28" s="137">
        <v>80800</v>
      </c>
      <c r="H28" s="137">
        <v>0</v>
      </c>
      <c r="I28" s="135"/>
      <c r="J28" s="138">
        <v>0</v>
      </c>
      <c r="K28" s="133"/>
      <c r="L28" s="133">
        <v>667</v>
      </c>
      <c r="M28" s="139">
        <v>46020</v>
      </c>
      <c r="N28" s="140" t="s">
        <v>950</v>
      </c>
      <c r="O28" s="134">
        <v>302</v>
      </c>
    </row>
    <row r="29" spans="1:15" x14ac:dyDescent="0.25">
      <c r="A29" s="133">
        <v>29</v>
      </c>
      <c r="B29" s="134" t="s">
        <v>976</v>
      </c>
      <c r="C29" s="135">
        <v>216900</v>
      </c>
      <c r="D29" s="136" t="s">
        <v>968</v>
      </c>
      <c r="E29" s="137">
        <v>216900</v>
      </c>
      <c r="F29" s="137">
        <v>0</v>
      </c>
      <c r="G29" s="137">
        <v>216900</v>
      </c>
      <c r="H29" s="137">
        <v>0</v>
      </c>
      <c r="I29" s="135"/>
      <c r="J29" s="138">
        <v>0</v>
      </c>
      <c r="K29" s="133"/>
      <c r="L29" s="133">
        <v>667</v>
      </c>
      <c r="M29" s="139">
        <v>46020</v>
      </c>
      <c r="N29" s="140" t="s">
        <v>950</v>
      </c>
      <c r="O29" s="134">
        <v>302</v>
      </c>
    </row>
    <row r="30" spans="1:15" x14ac:dyDescent="0.25">
      <c r="A30" s="133">
        <v>30</v>
      </c>
      <c r="B30" s="134" t="s">
        <v>977</v>
      </c>
      <c r="C30" s="135">
        <v>216900</v>
      </c>
      <c r="D30" s="136" t="s">
        <v>968</v>
      </c>
      <c r="E30" s="137">
        <v>216900</v>
      </c>
      <c r="F30" s="137">
        <v>0</v>
      </c>
      <c r="G30" s="137">
        <v>216900</v>
      </c>
      <c r="H30" s="137">
        <v>0</v>
      </c>
      <c r="I30" s="135"/>
      <c r="J30" s="138">
        <v>0</v>
      </c>
      <c r="K30" s="133"/>
      <c r="L30" s="133">
        <v>667</v>
      </c>
      <c r="M30" s="139">
        <v>46020</v>
      </c>
      <c r="N30" s="140" t="s">
        <v>950</v>
      </c>
      <c r="O30" s="134">
        <v>302</v>
      </c>
    </row>
    <row r="31" spans="1:15" x14ac:dyDescent="0.25">
      <c r="A31" s="133">
        <v>31</v>
      </c>
      <c r="B31" s="134" t="s">
        <v>978</v>
      </c>
      <c r="C31" s="135">
        <v>216900</v>
      </c>
      <c r="D31" s="136" t="s">
        <v>968</v>
      </c>
      <c r="E31" s="137">
        <v>216900</v>
      </c>
      <c r="F31" s="137">
        <v>0</v>
      </c>
      <c r="G31" s="137">
        <v>216900</v>
      </c>
      <c r="H31" s="137">
        <v>0</v>
      </c>
      <c r="I31" s="135"/>
      <c r="J31" s="138">
        <v>0</v>
      </c>
      <c r="K31" s="133"/>
      <c r="L31" s="133">
        <v>667</v>
      </c>
      <c r="M31" s="139">
        <v>46020</v>
      </c>
      <c r="N31" s="140" t="s">
        <v>950</v>
      </c>
      <c r="O31" s="134">
        <v>302</v>
      </c>
    </row>
    <row r="32" spans="1:15" x14ac:dyDescent="0.25">
      <c r="A32" s="133">
        <v>32</v>
      </c>
      <c r="B32" s="134" t="s">
        <v>979</v>
      </c>
      <c r="C32" s="135">
        <v>4932383</v>
      </c>
      <c r="D32" s="136" t="s">
        <v>968</v>
      </c>
      <c r="E32" s="137">
        <v>17000</v>
      </c>
      <c r="F32" s="137">
        <v>17000</v>
      </c>
      <c r="G32" s="137">
        <v>0</v>
      </c>
      <c r="H32" s="137">
        <v>0</v>
      </c>
      <c r="I32" s="135"/>
      <c r="J32" s="138">
        <v>0</v>
      </c>
      <c r="K32" s="133"/>
      <c r="L32" s="133">
        <v>668</v>
      </c>
      <c r="M32" s="139">
        <v>46009</v>
      </c>
      <c r="N32" s="140" t="s">
        <v>980</v>
      </c>
      <c r="O32" s="134">
        <v>108</v>
      </c>
    </row>
    <row r="33" spans="1:15" x14ac:dyDescent="0.25">
      <c r="A33" s="133">
        <v>33</v>
      </c>
      <c r="B33" s="134" t="s">
        <v>981</v>
      </c>
      <c r="C33" s="135">
        <v>107913152</v>
      </c>
      <c r="D33" s="136" t="s">
        <v>968</v>
      </c>
      <c r="E33" s="137">
        <v>6659050</v>
      </c>
      <c r="F33" s="137">
        <v>5915650</v>
      </c>
      <c r="G33" s="137">
        <v>743400</v>
      </c>
      <c r="H33" s="137">
        <v>0</v>
      </c>
      <c r="I33" s="135"/>
      <c r="J33" s="138">
        <v>0</v>
      </c>
      <c r="K33" s="133"/>
      <c r="L33" s="133">
        <v>669</v>
      </c>
      <c r="M33" s="139">
        <v>46020</v>
      </c>
      <c r="N33" s="140" t="s">
        <v>982</v>
      </c>
      <c r="O33" s="134">
        <v>206</v>
      </c>
    </row>
    <row r="34" spans="1:15" x14ac:dyDescent="0.25">
      <c r="A34" s="133">
        <v>34</v>
      </c>
      <c r="B34" s="134" t="s">
        <v>983</v>
      </c>
      <c r="C34" s="135">
        <v>68100</v>
      </c>
      <c r="D34" s="136" t="s">
        <v>968</v>
      </c>
      <c r="E34" s="137">
        <v>68100</v>
      </c>
      <c r="F34" s="137">
        <v>0</v>
      </c>
      <c r="G34" s="137">
        <v>68100</v>
      </c>
      <c r="H34" s="137">
        <v>0</v>
      </c>
      <c r="I34" s="135"/>
      <c r="J34" s="138">
        <v>0</v>
      </c>
      <c r="K34" s="133"/>
      <c r="L34" s="133">
        <v>670</v>
      </c>
      <c r="M34" s="139">
        <v>46009</v>
      </c>
      <c r="N34" s="140" t="s">
        <v>950</v>
      </c>
      <c r="O34" s="134">
        <v>302</v>
      </c>
    </row>
    <row r="35" spans="1:15" x14ac:dyDescent="0.25">
      <c r="A35" s="133">
        <v>35</v>
      </c>
      <c r="B35" s="134" t="s">
        <v>984</v>
      </c>
      <c r="C35" s="135">
        <v>421600</v>
      </c>
      <c r="D35" s="136" t="s">
        <v>968</v>
      </c>
      <c r="E35" s="137">
        <v>421600</v>
      </c>
      <c r="F35" s="137">
        <v>0</v>
      </c>
      <c r="G35" s="137">
        <v>421600</v>
      </c>
      <c r="H35" s="137">
        <v>0</v>
      </c>
      <c r="I35" s="135"/>
      <c r="J35" s="138">
        <v>0</v>
      </c>
      <c r="K35" s="133"/>
      <c r="L35" s="133">
        <v>670</v>
      </c>
      <c r="M35" s="139">
        <v>46009</v>
      </c>
      <c r="N35" s="140" t="s">
        <v>950</v>
      </c>
      <c r="O35" s="134">
        <v>302</v>
      </c>
    </row>
    <row r="36" spans="1:15" x14ac:dyDescent="0.25">
      <c r="A36" s="133">
        <v>36</v>
      </c>
      <c r="B36" s="134" t="s">
        <v>985</v>
      </c>
      <c r="C36" s="135">
        <v>147800</v>
      </c>
      <c r="D36" s="136" t="s">
        <v>968</v>
      </c>
      <c r="E36" s="137">
        <v>147800</v>
      </c>
      <c r="F36" s="137">
        <v>0</v>
      </c>
      <c r="G36" s="137">
        <v>147800</v>
      </c>
      <c r="H36" s="137">
        <v>0</v>
      </c>
      <c r="I36" s="135"/>
      <c r="J36" s="138">
        <v>0</v>
      </c>
      <c r="K36" s="133"/>
      <c r="L36" s="133">
        <v>670</v>
      </c>
      <c r="M36" s="139">
        <v>46009</v>
      </c>
      <c r="N36" s="140" t="s">
        <v>950</v>
      </c>
      <c r="O36" s="134">
        <v>302</v>
      </c>
    </row>
    <row r="37" spans="1:15" x14ac:dyDescent="0.25">
      <c r="A37" s="133">
        <v>37</v>
      </c>
      <c r="B37" s="134" t="s">
        <v>986</v>
      </c>
      <c r="C37" s="135">
        <v>147800</v>
      </c>
      <c r="D37" s="136" t="s">
        <v>968</v>
      </c>
      <c r="E37" s="137">
        <v>147800</v>
      </c>
      <c r="F37" s="137">
        <v>0</v>
      </c>
      <c r="G37" s="137">
        <v>147800</v>
      </c>
      <c r="H37" s="137">
        <v>0</v>
      </c>
      <c r="I37" s="135"/>
      <c r="J37" s="138">
        <v>0</v>
      </c>
      <c r="K37" s="133"/>
      <c r="L37" s="133">
        <v>671</v>
      </c>
      <c r="M37" s="139">
        <v>46009</v>
      </c>
      <c r="N37" s="140" t="s">
        <v>950</v>
      </c>
      <c r="O37" s="134">
        <v>302</v>
      </c>
    </row>
    <row r="38" spans="1:15" x14ac:dyDescent="0.25">
      <c r="A38" s="133">
        <v>38</v>
      </c>
      <c r="B38" s="134" t="s">
        <v>987</v>
      </c>
      <c r="C38" s="135">
        <v>250800</v>
      </c>
      <c r="D38" s="136" t="s">
        <v>968</v>
      </c>
      <c r="E38" s="137">
        <v>250800</v>
      </c>
      <c r="F38" s="137">
        <v>0</v>
      </c>
      <c r="G38" s="137">
        <v>250800</v>
      </c>
      <c r="H38" s="137">
        <v>0</v>
      </c>
      <c r="I38" s="135"/>
      <c r="J38" s="138">
        <v>0</v>
      </c>
      <c r="K38" s="133"/>
      <c r="L38" s="133">
        <v>671</v>
      </c>
      <c r="M38" s="139">
        <v>46009</v>
      </c>
      <c r="N38" s="140" t="s">
        <v>950</v>
      </c>
      <c r="O38" s="134">
        <v>302</v>
      </c>
    </row>
    <row r="39" spans="1:15" x14ac:dyDescent="0.25">
      <c r="A39" s="133">
        <v>39</v>
      </c>
      <c r="B39" s="134" t="s">
        <v>988</v>
      </c>
      <c r="C39" s="135">
        <v>1369032</v>
      </c>
      <c r="D39" s="136" t="s">
        <v>968</v>
      </c>
      <c r="E39" s="137">
        <v>1369032</v>
      </c>
      <c r="F39" s="137">
        <v>0</v>
      </c>
      <c r="G39" s="137">
        <v>1369032</v>
      </c>
      <c r="H39" s="137">
        <v>0</v>
      </c>
      <c r="I39" s="135"/>
      <c r="J39" s="138">
        <v>0</v>
      </c>
      <c r="K39" s="133"/>
      <c r="L39" s="133">
        <v>671</v>
      </c>
      <c r="M39" s="139">
        <v>46009</v>
      </c>
      <c r="N39" s="140" t="s">
        <v>950</v>
      </c>
      <c r="O39" s="134">
        <v>302</v>
      </c>
    </row>
    <row r="40" spans="1:15" x14ac:dyDescent="0.25">
      <c r="A40" s="133">
        <v>40</v>
      </c>
      <c r="B40" s="134" t="s">
        <v>989</v>
      </c>
      <c r="C40" s="135">
        <v>851000</v>
      </c>
      <c r="D40" s="136" t="s">
        <v>968</v>
      </c>
      <c r="E40" s="137">
        <v>61900</v>
      </c>
      <c r="F40" s="137">
        <v>21300</v>
      </c>
      <c r="G40" s="137">
        <v>40600</v>
      </c>
      <c r="H40" s="137">
        <v>0</v>
      </c>
      <c r="I40" s="135"/>
      <c r="J40" s="138">
        <v>0</v>
      </c>
      <c r="K40" s="133"/>
      <c r="L40" s="133">
        <v>672</v>
      </c>
      <c r="M40" s="139">
        <v>46020</v>
      </c>
      <c r="N40" s="140" t="s">
        <v>990</v>
      </c>
      <c r="O40" s="134">
        <v>208</v>
      </c>
    </row>
    <row r="41" spans="1:15" x14ac:dyDescent="0.25">
      <c r="A41" s="133">
        <v>41</v>
      </c>
      <c r="B41" s="134" t="s">
        <v>991</v>
      </c>
      <c r="C41" s="135">
        <v>920800</v>
      </c>
      <c r="D41" s="136" t="s">
        <v>968</v>
      </c>
      <c r="E41" s="137">
        <v>61900</v>
      </c>
      <c r="F41" s="137">
        <v>21300</v>
      </c>
      <c r="G41" s="137">
        <v>40600</v>
      </c>
      <c r="H41" s="137">
        <v>0</v>
      </c>
      <c r="I41" s="135"/>
      <c r="J41" s="138">
        <v>0</v>
      </c>
      <c r="K41" s="133"/>
      <c r="L41" s="133">
        <v>672</v>
      </c>
      <c r="M41" s="139">
        <v>46020</v>
      </c>
      <c r="N41" s="140" t="s">
        <v>990</v>
      </c>
      <c r="O41" s="134">
        <v>208</v>
      </c>
    </row>
    <row r="42" spans="1:15" x14ac:dyDescent="0.25">
      <c r="A42" s="133">
        <v>42</v>
      </c>
      <c r="B42" s="134" t="s">
        <v>992</v>
      </c>
      <c r="C42" s="135">
        <v>779300</v>
      </c>
      <c r="D42" s="136" t="s">
        <v>968</v>
      </c>
      <c r="E42" s="137">
        <v>61900</v>
      </c>
      <c r="F42" s="137">
        <v>21300</v>
      </c>
      <c r="G42" s="137">
        <v>40600</v>
      </c>
      <c r="H42" s="137">
        <v>0</v>
      </c>
      <c r="I42" s="135"/>
      <c r="J42" s="138">
        <v>0</v>
      </c>
      <c r="K42" s="133"/>
      <c r="L42" s="133">
        <v>672</v>
      </c>
      <c r="M42" s="139">
        <v>46020</v>
      </c>
      <c r="N42" s="140" t="s">
        <v>990</v>
      </c>
      <c r="O42" s="134">
        <v>208</v>
      </c>
    </row>
    <row r="43" spans="1:15" x14ac:dyDescent="0.25">
      <c r="A43" s="133">
        <v>43</v>
      </c>
      <c r="B43" s="134" t="s">
        <v>993</v>
      </c>
      <c r="C43" s="135">
        <v>133800</v>
      </c>
      <c r="D43" s="136" t="s">
        <v>968</v>
      </c>
      <c r="E43" s="137">
        <v>133800</v>
      </c>
      <c r="F43" s="137">
        <v>0</v>
      </c>
      <c r="G43" s="137">
        <v>133800</v>
      </c>
      <c r="H43" s="137">
        <v>0</v>
      </c>
      <c r="I43" s="135"/>
      <c r="J43" s="138">
        <v>0</v>
      </c>
      <c r="K43" s="133"/>
      <c r="L43" s="133">
        <v>673</v>
      </c>
      <c r="M43" s="139">
        <v>46020</v>
      </c>
      <c r="N43" s="140" t="s">
        <v>950</v>
      </c>
      <c r="O43" s="134">
        <v>508</v>
      </c>
    </row>
    <row r="44" spans="1:15" x14ac:dyDescent="0.25">
      <c r="A44" s="133">
        <v>44</v>
      </c>
      <c r="B44" s="134" t="s">
        <v>994</v>
      </c>
      <c r="C44" s="135">
        <v>309100</v>
      </c>
      <c r="D44" s="136" t="s">
        <v>968</v>
      </c>
      <c r="E44" s="137">
        <v>309100</v>
      </c>
      <c r="F44" s="137">
        <v>0</v>
      </c>
      <c r="G44" s="137">
        <v>309100</v>
      </c>
      <c r="H44" s="137">
        <v>0</v>
      </c>
      <c r="I44" s="135"/>
      <c r="J44" s="138">
        <v>0</v>
      </c>
      <c r="K44" s="133"/>
      <c r="L44" s="133">
        <v>674</v>
      </c>
      <c r="M44" s="139">
        <v>46009</v>
      </c>
      <c r="N44" s="140" t="s">
        <v>950</v>
      </c>
      <c r="O44" s="134">
        <v>330</v>
      </c>
    </row>
    <row r="45" spans="1:15" x14ac:dyDescent="0.25">
      <c r="A45" s="133">
        <v>45</v>
      </c>
      <c r="B45" s="134" t="s">
        <v>995</v>
      </c>
      <c r="C45" s="135">
        <v>4536708</v>
      </c>
      <c r="D45" s="136" t="s">
        <v>968</v>
      </c>
      <c r="E45" s="137">
        <v>1369508</v>
      </c>
      <c r="F45" s="137">
        <v>0</v>
      </c>
      <c r="G45" s="137">
        <v>1369508</v>
      </c>
      <c r="H45" s="137">
        <v>0</v>
      </c>
      <c r="I45" s="135"/>
      <c r="J45" s="138">
        <v>0</v>
      </c>
      <c r="K45" s="133"/>
      <c r="L45" s="133">
        <v>675</v>
      </c>
      <c r="M45" s="139">
        <v>46020</v>
      </c>
      <c r="N45" s="140" t="s">
        <v>950</v>
      </c>
      <c r="O45" s="134">
        <v>223</v>
      </c>
    </row>
    <row r="46" spans="1:15" x14ac:dyDescent="0.25">
      <c r="A46" s="133">
        <v>46</v>
      </c>
      <c r="B46" s="134" t="s">
        <v>996</v>
      </c>
      <c r="C46" s="135">
        <v>93915024</v>
      </c>
      <c r="D46" s="136" t="s">
        <v>968</v>
      </c>
      <c r="E46" s="137">
        <v>7239800</v>
      </c>
      <c r="F46" s="137">
        <v>6462632</v>
      </c>
      <c r="G46" s="137">
        <v>777168</v>
      </c>
      <c r="H46" s="137">
        <v>0</v>
      </c>
      <c r="I46" s="135"/>
      <c r="J46" s="138">
        <v>0</v>
      </c>
      <c r="K46" s="133"/>
      <c r="L46" s="133">
        <v>676</v>
      </c>
      <c r="M46" s="139">
        <v>46008</v>
      </c>
      <c r="N46" s="140" t="s">
        <v>997</v>
      </c>
      <c r="O46" s="134">
        <v>223</v>
      </c>
    </row>
    <row r="47" spans="1:15" x14ac:dyDescent="0.25">
      <c r="A47" s="133">
        <v>47</v>
      </c>
      <c r="B47" s="134" t="s">
        <v>998</v>
      </c>
      <c r="C47" s="135">
        <v>37556079</v>
      </c>
      <c r="D47" s="136" t="s">
        <v>968</v>
      </c>
      <c r="E47" s="137">
        <v>186600</v>
      </c>
      <c r="F47" s="137">
        <v>186600</v>
      </c>
      <c r="G47" s="137">
        <v>0</v>
      </c>
      <c r="H47" s="137">
        <v>0</v>
      </c>
      <c r="I47" s="135"/>
      <c r="J47" s="138">
        <v>0</v>
      </c>
      <c r="K47" s="133"/>
      <c r="L47" s="133">
        <v>676</v>
      </c>
      <c r="M47" s="139">
        <v>46008</v>
      </c>
      <c r="N47" s="140" t="s">
        <v>999</v>
      </c>
      <c r="O47" s="134">
        <v>123</v>
      </c>
    </row>
    <row r="48" spans="1:15" x14ac:dyDescent="0.25">
      <c r="A48" s="133">
        <v>48</v>
      </c>
      <c r="B48" s="134" t="s">
        <v>1000</v>
      </c>
      <c r="C48" s="135">
        <v>52950295</v>
      </c>
      <c r="D48" s="136" t="s">
        <v>968</v>
      </c>
      <c r="E48" s="137">
        <v>6751300</v>
      </c>
      <c r="F48" s="137">
        <v>4353100</v>
      </c>
      <c r="G48" s="137">
        <v>2398200</v>
      </c>
      <c r="H48" s="137">
        <v>0</v>
      </c>
      <c r="I48" s="135"/>
      <c r="J48" s="138">
        <v>0</v>
      </c>
      <c r="K48" s="133"/>
      <c r="L48" s="133">
        <v>676</v>
      </c>
      <c r="M48" s="139">
        <v>46008</v>
      </c>
      <c r="N48" s="140" t="s">
        <v>1001</v>
      </c>
      <c r="O48" s="134">
        <v>223</v>
      </c>
    </row>
    <row r="49" spans="1:15" x14ac:dyDescent="0.25">
      <c r="A49" s="133">
        <v>49</v>
      </c>
      <c r="B49" s="134" t="s">
        <v>1002</v>
      </c>
      <c r="C49" s="135">
        <v>103501208</v>
      </c>
      <c r="D49" s="136" t="s">
        <v>968</v>
      </c>
      <c r="E49" s="137">
        <v>186600</v>
      </c>
      <c r="F49" s="137">
        <v>186600</v>
      </c>
      <c r="G49" s="137">
        <v>0</v>
      </c>
      <c r="H49" s="137">
        <v>0</v>
      </c>
      <c r="I49" s="135"/>
      <c r="J49" s="138">
        <v>0</v>
      </c>
      <c r="K49" s="133"/>
      <c r="L49" s="133">
        <v>676</v>
      </c>
      <c r="M49" s="139">
        <v>46008</v>
      </c>
      <c r="N49" s="140" t="s">
        <v>1003</v>
      </c>
      <c r="O49" s="134">
        <v>123</v>
      </c>
    </row>
    <row r="50" spans="1:15" x14ac:dyDescent="0.25">
      <c r="A50" s="133">
        <v>50</v>
      </c>
      <c r="B50" s="134" t="s">
        <v>1004</v>
      </c>
      <c r="C50" s="135">
        <v>72900</v>
      </c>
      <c r="D50" s="136" t="s">
        <v>968</v>
      </c>
      <c r="E50" s="137">
        <v>72900</v>
      </c>
      <c r="F50" s="137">
        <v>0</v>
      </c>
      <c r="G50" s="137">
        <v>72900</v>
      </c>
      <c r="H50" s="137">
        <v>0</v>
      </c>
      <c r="I50" s="135"/>
      <c r="J50" s="138">
        <v>0</v>
      </c>
      <c r="K50" s="133"/>
      <c r="L50" s="133">
        <v>677</v>
      </c>
      <c r="M50" s="139">
        <v>46009</v>
      </c>
      <c r="N50" s="140" t="s">
        <v>950</v>
      </c>
      <c r="O50" s="134">
        <v>302</v>
      </c>
    </row>
    <row r="51" spans="1:15" x14ac:dyDescent="0.25">
      <c r="A51" s="133">
        <v>51</v>
      </c>
      <c r="B51" s="134" t="s">
        <v>1005</v>
      </c>
      <c r="C51" s="135">
        <v>502200</v>
      </c>
      <c r="D51" s="136" t="s">
        <v>968</v>
      </c>
      <c r="E51" s="137">
        <v>502200</v>
      </c>
      <c r="F51" s="137">
        <v>0</v>
      </c>
      <c r="G51" s="137">
        <v>502200</v>
      </c>
      <c r="H51" s="137">
        <v>0</v>
      </c>
      <c r="I51" s="135"/>
      <c r="J51" s="138">
        <v>0</v>
      </c>
      <c r="K51" s="133"/>
      <c r="L51" s="133">
        <v>677</v>
      </c>
      <c r="M51" s="139">
        <v>46009</v>
      </c>
      <c r="N51" s="140" t="s">
        <v>950</v>
      </c>
      <c r="O51" s="134">
        <v>302</v>
      </c>
    </row>
    <row r="52" spans="1:15" x14ac:dyDescent="0.25">
      <c r="A52" s="133">
        <v>52</v>
      </c>
      <c r="B52" s="134" t="s">
        <v>1006</v>
      </c>
      <c r="C52" s="135">
        <v>696500</v>
      </c>
      <c r="D52" s="136" t="s">
        <v>968</v>
      </c>
      <c r="E52" s="135">
        <v>696500</v>
      </c>
      <c r="F52" s="135">
        <v>696500</v>
      </c>
      <c r="G52" s="137">
        <v>0</v>
      </c>
      <c r="H52" s="137">
        <v>0</v>
      </c>
      <c r="I52" s="135"/>
      <c r="J52" s="138">
        <v>0</v>
      </c>
      <c r="K52" s="133"/>
      <c r="L52" s="133">
        <v>678</v>
      </c>
      <c r="M52" s="139">
        <v>46009</v>
      </c>
      <c r="N52" s="140" t="s">
        <v>1007</v>
      </c>
      <c r="O52" s="134">
        <v>816</v>
      </c>
    </row>
    <row r="53" spans="1:15" x14ac:dyDescent="0.25">
      <c r="A53" s="133">
        <v>53</v>
      </c>
      <c r="B53" s="134" t="s">
        <v>1008</v>
      </c>
      <c r="C53" s="135">
        <v>3571800</v>
      </c>
      <c r="D53" s="136" t="s">
        <v>968</v>
      </c>
      <c r="E53" s="137">
        <v>174600</v>
      </c>
      <c r="F53" s="137">
        <v>0</v>
      </c>
      <c r="G53" s="137">
        <v>174600</v>
      </c>
      <c r="H53" s="137">
        <v>0</v>
      </c>
      <c r="I53" s="135"/>
      <c r="J53" s="138">
        <v>0</v>
      </c>
      <c r="K53" s="133"/>
      <c r="L53" s="133">
        <v>679</v>
      </c>
      <c r="M53" s="139">
        <v>46002</v>
      </c>
      <c r="N53" s="140" t="s">
        <v>950</v>
      </c>
      <c r="O53" s="134" t="s">
        <v>237</v>
      </c>
    </row>
    <row r="54" spans="1:15" x14ac:dyDescent="0.25">
      <c r="A54" s="133">
        <v>54</v>
      </c>
      <c r="B54" s="134" t="s">
        <v>1009</v>
      </c>
      <c r="C54" s="135">
        <v>905300</v>
      </c>
      <c r="D54" s="136" t="s">
        <v>968</v>
      </c>
      <c r="E54" s="137">
        <v>45900</v>
      </c>
      <c r="F54" s="137">
        <v>45900</v>
      </c>
      <c r="G54" s="137">
        <v>0</v>
      </c>
      <c r="H54" s="137">
        <v>0</v>
      </c>
      <c r="I54" s="135"/>
      <c r="J54" s="138">
        <v>0</v>
      </c>
      <c r="K54" s="133"/>
      <c r="L54" s="133">
        <v>680</v>
      </c>
      <c r="M54" s="139">
        <v>46008</v>
      </c>
      <c r="N54" s="140" t="s">
        <v>1010</v>
      </c>
      <c r="O54" s="134" t="s">
        <v>208</v>
      </c>
    </row>
    <row r="55" spans="1:15" x14ac:dyDescent="0.25">
      <c r="A55" s="133">
        <v>55</v>
      </c>
      <c r="B55" s="134" t="s">
        <v>1011</v>
      </c>
      <c r="C55" s="135">
        <v>157800</v>
      </c>
      <c r="D55" s="136" t="s">
        <v>968</v>
      </c>
      <c r="E55" s="137">
        <v>72100</v>
      </c>
      <c r="F55" s="137">
        <v>0</v>
      </c>
      <c r="G55" s="137">
        <v>72100</v>
      </c>
      <c r="H55" s="137"/>
      <c r="I55" s="135"/>
      <c r="J55" s="138">
        <v>0</v>
      </c>
      <c r="K55" s="133"/>
      <c r="L55" s="133">
        <v>681</v>
      </c>
      <c r="M55" s="139">
        <v>46002</v>
      </c>
      <c r="N55" s="140" t="s">
        <v>950</v>
      </c>
      <c r="O55" s="134" t="s">
        <v>237</v>
      </c>
    </row>
    <row r="56" spans="1:15" x14ac:dyDescent="0.25">
      <c r="A56" s="133">
        <v>56</v>
      </c>
      <c r="B56" s="134" t="s">
        <v>1012</v>
      </c>
      <c r="C56" s="135">
        <v>905300</v>
      </c>
      <c r="D56" s="136" t="s">
        <v>968</v>
      </c>
      <c r="E56" s="137">
        <v>45900</v>
      </c>
      <c r="F56" s="137">
        <v>45900</v>
      </c>
      <c r="G56" s="137">
        <v>0</v>
      </c>
      <c r="H56" s="137">
        <v>0</v>
      </c>
      <c r="I56" s="135"/>
      <c r="J56" s="138">
        <v>0</v>
      </c>
      <c r="K56" s="133"/>
      <c r="L56" s="133">
        <v>682</v>
      </c>
      <c r="M56" s="139">
        <v>46008</v>
      </c>
      <c r="N56" s="140" t="s">
        <v>1013</v>
      </c>
      <c r="O56" s="134" t="s">
        <v>190</v>
      </c>
    </row>
    <row r="57" spans="1:15" x14ac:dyDescent="0.25">
      <c r="A57" s="133">
        <v>57</v>
      </c>
      <c r="B57" s="134" t="s">
        <v>1014</v>
      </c>
      <c r="C57" s="135">
        <v>54830900</v>
      </c>
      <c r="D57" s="136" t="s">
        <v>968</v>
      </c>
      <c r="E57" s="137">
        <v>4472000</v>
      </c>
      <c r="F57" s="137">
        <v>1788800</v>
      </c>
      <c r="G57" s="137">
        <v>2683200</v>
      </c>
      <c r="H57" s="137">
        <v>0</v>
      </c>
      <c r="I57" s="135"/>
      <c r="J57" s="138">
        <v>0</v>
      </c>
      <c r="K57" s="133"/>
      <c r="L57" s="133">
        <v>683</v>
      </c>
      <c r="M57" s="139">
        <v>46008</v>
      </c>
      <c r="N57" s="140" t="s">
        <v>1015</v>
      </c>
      <c r="O57" s="134" t="s">
        <v>1016</v>
      </c>
    </row>
    <row r="58" spans="1:15" x14ac:dyDescent="0.25">
      <c r="A58" s="133">
        <v>58</v>
      </c>
      <c r="B58" s="134" t="s">
        <v>1014</v>
      </c>
      <c r="C58" s="135">
        <v>54830900</v>
      </c>
      <c r="D58" s="136" t="s">
        <v>968</v>
      </c>
      <c r="E58" s="137">
        <v>158000</v>
      </c>
      <c r="F58" s="137">
        <v>158000</v>
      </c>
      <c r="G58" s="137">
        <v>0</v>
      </c>
      <c r="H58" s="137">
        <v>0</v>
      </c>
      <c r="I58" s="135"/>
      <c r="J58" s="138">
        <v>0</v>
      </c>
      <c r="K58" s="133"/>
      <c r="L58" s="133">
        <v>683</v>
      </c>
      <c r="M58" s="139">
        <v>46008</v>
      </c>
      <c r="N58" s="140" t="s">
        <v>1017</v>
      </c>
      <c r="O58" s="134" t="s">
        <v>190</v>
      </c>
    </row>
    <row r="59" spans="1:15" x14ac:dyDescent="0.25">
      <c r="A59" s="133">
        <v>59</v>
      </c>
      <c r="B59" s="134" t="s">
        <v>1018</v>
      </c>
      <c r="C59" s="135">
        <v>13683900</v>
      </c>
      <c r="D59" s="136" t="s">
        <v>968</v>
      </c>
      <c r="E59" s="137">
        <v>393600</v>
      </c>
      <c r="F59" s="137">
        <v>358600</v>
      </c>
      <c r="G59" s="137">
        <v>35000</v>
      </c>
      <c r="H59" s="137">
        <v>0</v>
      </c>
      <c r="I59" s="135"/>
      <c r="J59" s="138">
        <v>0</v>
      </c>
      <c r="K59" s="133"/>
      <c r="L59" s="133">
        <v>684</v>
      </c>
      <c r="M59" s="139">
        <v>46009</v>
      </c>
      <c r="N59" s="140" t="s">
        <v>1019</v>
      </c>
      <c r="O59" s="134" t="s">
        <v>1020</v>
      </c>
    </row>
    <row r="60" spans="1:15" x14ac:dyDescent="0.25">
      <c r="A60" s="133">
        <v>60</v>
      </c>
      <c r="B60" s="134" t="s">
        <v>1021</v>
      </c>
      <c r="C60" s="135">
        <v>9095600</v>
      </c>
      <c r="D60" s="136" t="s">
        <v>968</v>
      </c>
      <c r="E60" s="137">
        <v>332200</v>
      </c>
      <c r="F60" s="137">
        <v>289600</v>
      </c>
      <c r="G60" s="137">
        <v>42600</v>
      </c>
      <c r="H60" s="137">
        <v>0</v>
      </c>
      <c r="I60" s="135"/>
      <c r="J60" s="138">
        <v>0</v>
      </c>
      <c r="K60" s="133"/>
      <c r="L60" s="133">
        <v>685</v>
      </c>
      <c r="M60" s="139">
        <v>46008</v>
      </c>
      <c r="N60" s="140" t="s">
        <v>1022</v>
      </c>
      <c r="O60" s="134" t="s">
        <v>212</v>
      </c>
    </row>
    <row r="61" spans="1:15" x14ac:dyDescent="0.25">
      <c r="A61" s="133">
        <v>61</v>
      </c>
      <c r="B61" s="134" t="s">
        <v>1023</v>
      </c>
      <c r="C61" s="135">
        <v>6041600</v>
      </c>
      <c r="D61" s="136" t="s">
        <v>968</v>
      </c>
      <c r="E61" s="137">
        <v>12900</v>
      </c>
      <c r="F61" s="137">
        <v>12900</v>
      </c>
      <c r="G61" s="137">
        <v>0</v>
      </c>
      <c r="H61" s="137">
        <v>0</v>
      </c>
      <c r="I61" s="135"/>
      <c r="J61" s="138">
        <v>0</v>
      </c>
      <c r="K61" s="133"/>
      <c r="L61" s="133">
        <v>686</v>
      </c>
      <c r="M61" s="139">
        <v>46020</v>
      </c>
      <c r="N61" s="140" t="s">
        <v>1024</v>
      </c>
      <c r="O61" s="134" t="s">
        <v>230</v>
      </c>
    </row>
    <row r="62" spans="1:15" x14ac:dyDescent="0.25">
      <c r="A62" s="133">
        <v>62</v>
      </c>
      <c r="B62" s="134" t="s">
        <v>1025</v>
      </c>
      <c r="C62" s="135">
        <v>31902390</v>
      </c>
      <c r="D62" s="136" t="s">
        <v>968</v>
      </c>
      <c r="E62" s="137">
        <v>192600</v>
      </c>
      <c r="F62" s="137">
        <v>46900</v>
      </c>
      <c r="G62" s="137">
        <v>145700</v>
      </c>
      <c r="H62" s="137">
        <v>0</v>
      </c>
      <c r="I62" s="135"/>
      <c r="J62" s="138">
        <v>0</v>
      </c>
      <c r="K62" s="133"/>
      <c r="L62" s="133">
        <v>687</v>
      </c>
      <c r="M62" s="139">
        <v>46020</v>
      </c>
      <c r="N62" s="140" t="s">
        <v>1026</v>
      </c>
      <c r="O62" s="134" t="s">
        <v>185</v>
      </c>
    </row>
    <row r="63" spans="1:15" x14ac:dyDescent="0.25">
      <c r="A63" s="133">
        <v>63</v>
      </c>
      <c r="B63" s="134" t="s">
        <v>1025</v>
      </c>
      <c r="C63" s="135">
        <v>31902390</v>
      </c>
      <c r="D63" s="136" t="s">
        <v>968</v>
      </c>
      <c r="E63" s="137">
        <v>5400</v>
      </c>
      <c r="F63" s="137">
        <v>5400</v>
      </c>
      <c r="G63" s="137">
        <v>0</v>
      </c>
      <c r="H63" s="137">
        <v>0</v>
      </c>
      <c r="I63" s="135"/>
      <c r="J63" s="138">
        <v>0</v>
      </c>
      <c r="K63" s="133"/>
      <c r="L63" s="133">
        <v>687</v>
      </c>
      <c r="M63" s="139">
        <v>46020</v>
      </c>
      <c r="N63" s="140" t="s">
        <v>1027</v>
      </c>
      <c r="O63" s="134" t="s">
        <v>325</v>
      </c>
    </row>
    <row r="64" spans="1:15" x14ac:dyDescent="0.25">
      <c r="A64" s="133">
        <v>64</v>
      </c>
      <c r="B64" s="134" t="s">
        <v>1028</v>
      </c>
      <c r="C64" s="135">
        <v>4586200</v>
      </c>
      <c r="D64" s="136" t="s">
        <v>968</v>
      </c>
      <c r="E64" s="137">
        <v>174600</v>
      </c>
      <c r="F64" s="137">
        <v>0</v>
      </c>
      <c r="G64" s="137">
        <v>174600</v>
      </c>
      <c r="H64" s="137">
        <v>0</v>
      </c>
      <c r="I64" s="135"/>
      <c r="J64" s="138">
        <v>0</v>
      </c>
      <c r="K64" s="133"/>
      <c r="L64" s="133">
        <v>688</v>
      </c>
      <c r="M64" s="139">
        <v>46008</v>
      </c>
      <c r="N64" s="140" t="s">
        <v>1029</v>
      </c>
      <c r="O64" s="134" t="s">
        <v>237</v>
      </c>
    </row>
    <row r="65" spans="1:15" x14ac:dyDescent="0.25">
      <c r="A65" s="133">
        <v>65</v>
      </c>
      <c r="B65" s="134" t="s">
        <v>1028</v>
      </c>
      <c r="C65" s="135">
        <v>4586200</v>
      </c>
      <c r="D65" s="136" t="s">
        <v>968</v>
      </c>
      <c r="E65" s="137">
        <v>84200</v>
      </c>
      <c r="F65" s="137">
        <v>84200</v>
      </c>
      <c r="G65" s="137">
        <v>0</v>
      </c>
      <c r="H65" s="137">
        <v>0</v>
      </c>
      <c r="I65" s="135"/>
      <c r="J65" s="138">
        <v>0</v>
      </c>
      <c r="K65" s="133"/>
      <c r="L65" s="133">
        <v>688</v>
      </c>
      <c r="M65" s="139">
        <v>46008</v>
      </c>
      <c r="N65" s="140" t="s">
        <v>1030</v>
      </c>
      <c r="O65" s="134" t="s">
        <v>325</v>
      </c>
    </row>
    <row r="66" spans="1:15" x14ac:dyDescent="0.25">
      <c r="A66" s="133">
        <v>66</v>
      </c>
      <c r="B66" s="134" t="s">
        <v>1031</v>
      </c>
      <c r="C66" s="135">
        <v>13395295</v>
      </c>
      <c r="D66" s="136" t="s">
        <v>968</v>
      </c>
      <c r="E66" s="137">
        <v>71200</v>
      </c>
      <c r="F66" s="137">
        <v>26800</v>
      </c>
      <c r="G66" s="137">
        <v>44400</v>
      </c>
      <c r="H66" s="137">
        <v>0</v>
      </c>
      <c r="I66" s="135"/>
      <c r="J66" s="138">
        <v>0</v>
      </c>
      <c r="K66" s="133"/>
      <c r="L66" s="133">
        <v>689</v>
      </c>
      <c r="M66" s="139">
        <v>46008</v>
      </c>
      <c r="N66" s="140" t="s">
        <v>1032</v>
      </c>
      <c r="O66" s="134" t="s">
        <v>212</v>
      </c>
    </row>
    <row r="67" spans="1:15" x14ac:dyDescent="0.25">
      <c r="A67" s="133">
        <v>67</v>
      </c>
      <c r="B67" s="134" t="s">
        <v>1033</v>
      </c>
      <c r="C67" s="135">
        <v>8896642</v>
      </c>
      <c r="D67" s="136" t="s">
        <v>968</v>
      </c>
      <c r="E67" s="137">
        <v>2414900</v>
      </c>
      <c r="F67" s="137">
        <v>0</v>
      </c>
      <c r="G67" s="137">
        <v>2414900</v>
      </c>
      <c r="H67" s="137">
        <v>0</v>
      </c>
      <c r="I67" s="135"/>
      <c r="J67" s="138">
        <v>0</v>
      </c>
      <c r="K67" s="133"/>
      <c r="L67" s="133">
        <v>690</v>
      </c>
      <c r="M67" s="139">
        <v>46002</v>
      </c>
      <c r="N67" s="140" t="s">
        <v>1029</v>
      </c>
      <c r="O67" s="134" t="s">
        <v>237</v>
      </c>
    </row>
    <row r="68" spans="1:15" x14ac:dyDescent="0.25">
      <c r="A68" s="133">
        <v>68</v>
      </c>
      <c r="B68" s="134" t="s">
        <v>1033</v>
      </c>
      <c r="C68" s="135">
        <v>8896642</v>
      </c>
      <c r="D68" s="136" t="s">
        <v>968</v>
      </c>
      <c r="E68" s="137">
        <v>34900</v>
      </c>
      <c r="F68" s="137">
        <v>34900</v>
      </c>
      <c r="G68" s="137">
        <v>0</v>
      </c>
      <c r="H68" s="137">
        <v>0</v>
      </c>
      <c r="I68" s="135"/>
      <c r="J68" s="138">
        <v>0</v>
      </c>
      <c r="K68" s="133"/>
      <c r="L68" s="133">
        <v>690</v>
      </c>
      <c r="M68" s="139">
        <v>46002</v>
      </c>
      <c r="N68" s="140" t="s">
        <v>1034</v>
      </c>
      <c r="O68" s="134" t="s">
        <v>230</v>
      </c>
    </row>
    <row r="69" spans="1:15" x14ac:dyDescent="0.25">
      <c r="A69" s="133">
        <v>69</v>
      </c>
      <c r="B69" s="134" t="s">
        <v>1035</v>
      </c>
      <c r="C69" s="135">
        <v>25000069</v>
      </c>
      <c r="D69" s="136" t="s">
        <v>968</v>
      </c>
      <c r="E69" s="137">
        <v>16200</v>
      </c>
      <c r="F69" s="137">
        <v>16200</v>
      </c>
      <c r="G69" s="137">
        <v>0</v>
      </c>
      <c r="H69" s="137">
        <v>0</v>
      </c>
      <c r="I69" s="135"/>
      <c r="J69" s="138">
        <v>0</v>
      </c>
      <c r="K69" s="133"/>
      <c r="L69" s="133">
        <v>691</v>
      </c>
      <c r="M69" s="139">
        <v>46020</v>
      </c>
      <c r="N69" s="140" t="s">
        <v>1036</v>
      </c>
      <c r="O69" s="134" t="s">
        <v>1016</v>
      </c>
    </row>
    <row r="70" spans="1:15" x14ac:dyDescent="0.25">
      <c r="A70" s="133">
        <v>70</v>
      </c>
      <c r="B70" s="134" t="s">
        <v>1035</v>
      </c>
      <c r="C70" s="135">
        <v>25000069</v>
      </c>
      <c r="D70" s="136" t="s">
        <v>968</v>
      </c>
      <c r="E70" s="137">
        <v>4979100</v>
      </c>
      <c r="F70" s="137">
        <v>22680</v>
      </c>
      <c r="G70" s="137">
        <v>4956420</v>
      </c>
      <c r="H70" s="137">
        <v>0</v>
      </c>
      <c r="I70" s="135"/>
      <c r="J70" s="138">
        <v>0</v>
      </c>
      <c r="K70" s="133"/>
      <c r="L70" s="133">
        <v>691</v>
      </c>
      <c r="M70" s="139">
        <v>46020</v>
      </c>
      <c r="N70" s="140" t="s">
        <v>1037</v>
      </c>
      <c r="O70" s="134" t="s">
        <v>215</v>
      </c>
    </row>
    <row r="71" spans="1:15" x14ac:dyDescent="0.25">
      <c r="A71" s="133">
        <v>71</v>
      </c>
      <c r="B71" s="134" t="s">
        <v>1038</v>
      </c>
      <c r="C71" s="135">
        <v>87700</v>
      </c>
      <c r="D71" s="136" t="s">
        <v>968</v>
      </c>
      <c r="E71" s="137">
        <v>87700</v>
      </c>
      <c r="F71" s="137">
        <v>0</v>
      </c>
      <c r="G71" s="137">
        <v>87700</v>
      </c>
      <c r="H71" s="137">
        <v>0</v>
      </c>
      <c r="I71" s="135"/>
      <c r="J71" s="138">
        <v>0</v>
      </c>
      <c r="K71" s="133"/>
      <c r="L71" s="133">
        <v>692</v>
      </c>
      <c r="M71" s="139">
        <v>46002</v>
      </c>
      <c r="N71" s="140" t="s">
        <v>1029</v>
      </c>
      <c r="O71" s="134" t="s">
        <v>237</v>
      </c>
    </row>
    <row r="72" spans="1:15" x14ac:dyDescent="0.25">
      <c r="A72" s="133">
        <v>72</v>
      </c>
      <c r="B72" s="134" t="s">
        <v>1039</v>
      </c>
      <c r="C72" s="135">
        <v>201206102</v>
      </c>
      <c r="D72" s="136" t="s">
        <v>968</v>
      </c>
      <c r="E72" s="137">
        <v>5692140</v>
      </c>
      <c r="F72" s="137">
        <v>2032200</v>
      </c>
      <c r="G72" s="137">
        <v>3659940</v>
      </c>
      <c r="H72" s="137">
        <v>0</v>
      </c>
      <c r="I72" s="135"/>
      <c r="J72" s="138">
        <v>0</v>
      </c>
      <c r="K72" s="133"/>
      <c r="L72" s="133">
        <v>693</v>
      </c>
      <c r="M72" s="139">
        <v>46008</v>
      </c>
      <c r="N72" s="140" t="s">
        <v>1040</v>
      </c>
      <c r="O72" s="134" t="s">
        <v>1016</v>
      </c>
    </row>
    <row r="73" spans="1:15" x14ac:dyDescent="0.25">
      <c r="A73" s="133">
        <v>73</v>
      </c>
      <c r="B73" s="134" t="s">
        <v>1041</v>
      </c>
      <c r="C73" s="135">
        <v>10320900</v>
      </c>
      <c r="D73" s="136" t="s">
        <v>968</v>
      </c>
      <c r="E73" s="137">
        <v>39300</v>
      </c>
      <c r="F73" s="137">
        <v>28080</v>
      </c>
      <c r="G73" s="137">
        <v>11220</v>
      </c>
      <c r="H73" s="137">
        <v>0</v>
      </c>
      <c r="I73" s="135"/>
      <c r="J73" s="138">
        <v>0</v>
      </c>
      <c r="K73" s="133"/>
      <c r="L73" s="133">
        <v>694</v>
      </c>
      <c r="M73" s="139">
        <v>46008</v>
      </c>
      <c r="N73" s="140" t="s">
        <v>1042</v>
      </c>
      <c r="O73" s="134" t="s">
        <v>230</v>
      </c>
    </row>
    <row r="74" spans="1:15" x14ac:dyDescent="0.25">
      <c r="A74" s="133">
        <v>74</v>
      </c>
      <c r="B74" s="134" t="s">
        <v>1043</v>
      </c>
      <c r="C74" s="135">
        <v>17390600</v>
      </c>
      <c r="D74" s="136" t="s">
        <v>968</v>
      </c>
      <c r="E74" s="137">
        <v>7792318</v>
      </c>
      <c r="F74" s="137">
        <v>3116927</v>
      </c>
      <c r="G74" s="137">
        <v>4675391</v>
      </c>
      <c r="H74" s="137">
        <v>0</v>
      </c>
      <c r="I74" s="135"/>
      <c r="J74" s="138">
        <v>0</v>
      </c>
      <c r="K74" s="133"/>
      <c r="L74" s="133">
        <v>696</v>
      </c>
      <c r="M74" s="139">
        <v>45992</v>
      </c>
      <c r="N74" s="140" t="s">
        <v>1044</v>
      </c>
      <c r="O74" s="134">
        <v>223</v>
      </c>
    </row>
    <row r="75" spans="1:15" x14ac:dyDescent="0.25">
      <c r="A75" s="133">
        <v>75</v>
      </c>
      <c r="B75" s="134" t="s">
        <v>1045</v>
      </c>
      <c r="C75" s="135">
        <v>283600</v>
      </c>
      <c r="D75" s="136" t="s">
        <v>1046</v>
      </c>
      <c r="E75" s="137">
        <v>21000</v>
      </c>
      <c r="F75" s="137">
        <v>21000</v>
      </c>
      <c r="G75" s="137">
        <v>0</v>
      </c>
      <c r="H75" s="137">
        <v>0</v>
      </c>
      <c r="I75" s="135"/>
      <c r="J75" s="138">
        <v>0</v>
      </c>
      <c r="K75" s="133"/>
      <c r="L75" s="133">
        <v>699</v>
      </c>
      <c r="M75" s="139">
        <v>46045</v>
      </c>
      <c r="N75" s="140" t="s">
        <v>1047</v>
      </c>
      <c r="O75" s="134" t="s">
        <v>241</v>
      </c>
    </row>
    <row r="76" spans="1:15" x14ac:dyDescent="0.25">
      <c r="A76" s="133">
        <v>76</v>
      </c>
      <c r="B76" s="134" t="s">
        <v>1045</v>
      </c>
      <c r="C76" s="135">
        <v>283600</v>
      </c>
      <c r="D76" s="136" t="s">
        <v>1046</v>
      </c>
      <c r="E76" s="137">
        <v>36300</v>
      </c>
      <c r="F76" s="137"/>
      <c r="G76" s="137">
        <v>36300</v>
      </c>
      <c r="H76" s="137">
        <v>0</v>
      </c>
      <c r="I76" s="135"/>
      <c r="J76" s="138">
        <v>0</v>
      </c>
      <c r="K76" s="133"/>
      <c r="L76" s="133">
        <v>699</v>
      </c>
      <c r="M76" s="139">
        <v>46045</v>
      </c>
      <c r="N76" s="140" t="s">
        <v>950</v>
      </c>
      <c r="O76" s="134" t="s">
        <v>241</v>
      </c>
    </row>
    <row r="77" spans="1:15" x14ac:dyDescent="0.25">
      <c r="A77" s="133">
        <v>77</v>
      </c>
      <c r="B77" s="134" t="s">
        <v>1045</v>
      </c>
      <c r="C77" s="135">
        <v>283600</v>
      </c>
      <c r="D77" s="136" t="s">
        <v>1046</v>
      </c>
      <c r="E77" s="137">
        <v>17500</v>
      </c>
      <c r="F77" s="137">
        <v>17500</v>
      </c>
      <c r="G77" s="137"/>
      <c r="H77" s="137">
        <v>0</v>
      </c>
      <c r="I77" s="135"/>
      <c r="J77" s="138">
        <v>0</v>
      </c>
      <c r="K77" s="133"/>
      <c r="L77" s="133">
        <v>699</v>
      </c>
      <c r="M77" s="139">
        <v>46045</v>
      </c>
      <c r="N77" s="140" t="s">
        <v>1048</v>
      </c>
      <c r="O77" s="134" t="s">
        <v>241</v>
      </c>
    </row>
    <row r="78" spans="1:15" x14ac:dyDescent="0.25">
      <c r="A78" s="133">
        <v>78</v>
      </c>
      <c r="B78" s="134" t="s">
        <v>1045</v>
      </c>
      <c r="C78" s="135">
        <v>283600</v>
      </c>
      <c r="D78" s="136" t="s">
        <v>1046</v>
      </c>
      <c r="E78" s="137">
        <v>52800</v>
      </c>
      <c r="F78" s="137">
        <v>52800</v>
      </c>
      <c r="G78" s="137"/>
      <c r="H78" s="137">
        <v>0</v>
      </c>
      <c r="I78" s="135"/>
      <c r="J78" s="138">
        <v>0</v>
      </c>
      <c r="K78" s="133"/>
      <c r="L78" s="133">
        <v>699</v>
      </c>
      <c r="M78" s="139">
        <v>46045</v>
      </c>
      <c r="N78" s="140" t="s">
        <v>1049</v>
      </c>
      <c r="O78" s="134" t="s">
        <v>241</v>
      </c>
    </row>
    <row r="79" spans="1:15" x14ac:dyDescent="0.25">
      <c r="A79" s="133">
        <v>79</v>
      </c>
      <c r="B79" s="134" t="s">
        <v>1045</v>
      </c>
      <c r="C79" s="135">
        <v>283600</v>
      </c>
      <c r="D79" s="136" t="s">
        <v>1046</v>
      </c>
      <c r="E79" s="137">
        <v>51300</v>
      </c>
      <c r="F79" s="137">
        <v>51300</v>
      </c>
      <c r="G79" s="137"/>
      <c r="H79" s="137">
        <v>0</v>
      </c>
      <c r="I79" s="135"/>
      <c r="J79" s="138">
        <v>0</v>
      </c>
      <c r="K79" s="133"/>
      <c r="L79" s="133">
        <v>699</v>
      </c>
      <c r="M79" s="139">
        <v>46045</v>
      </c>
      <c r="N79" s="140" t="s">
        <v>1050</v>
      </c>
      <c r="O79" s="134" t="s">
        <v>241</v>
      </c>
    </row>
    <row r="80" spans="1:15" x14ac:dyDescent="0.25">
      <c r="A80" s="133">
        <v>80</v>
      </c>
      <c r="B80" s="134" t="s">
        <v>1045</v>
      </c>
      <c r="C80" s="135">
        <v>283600</v>
      </c>
      <c r="D80" s="136" t="s">
        <v>1046</v>
      </c>
      <c r="E80" s="137">
        <v>104700</v>
      </c>
      <c r="F80" s="137"/>
      <c r="G80" s="137">
        <v>104700</v>
      </c>
      <c r="H80" s="137">
        <v>0</v>
      </c>
      <c r="I80" s="135"/>
      <c r="J80" s="138">
        <v>0</v>
      </c>
      <c r="K80" s="133"/>
      <c r="L80" s="133">
        <v>699</v>
      </c>
      <c r="M80" s="139">
        <v>46045</v>
      </c>
      <c r="N80" s="140" t="s">
        <v>950</v>
      </c>
      <c r="O80" s="134" t="s">
        <v>241</v>
      </c>
    </row>
    <row r="81" spans="1:15" x14ac:dyDescent="0.25">
      <c r="A81" s="133">
        <v>81</v>
      </c>
      <c r="B81" s="134" t="s">
        <v>1051</v>
      </c>
      <c r="C81" s="135">
        <v>12788088</v>
      </c>
      <c r="D81" s="136" t="s">
        <v>1046</v>
      </c>
      <c r="E81" s="137">
        <v>15000</v>
      </c>
      <c r="F81" s="137"/>
      <c r="G81" s="137">
        <v>15000</v>
      </c>
      <c r="H81" s="137">
        <v>0</v>
      </c>
      <c r="I81" s="135"/>
      <c r="J81" s="138">
        <v>0</v>
      </c>
      <c r="K81" s="133"/>
      <c r="L81" s="133">
        <v>699</v>
      </c>
      <c r="M81" s="139">
        <v>46045</v>
      </c>
      <c r="N81" s="140" t="s">
        <v>950</v>
      </c>
      <c r="O81" s="134" t="s">
        <v>1016</v>
      </c>
    </row>
    <row r="82" spans="1:15" x14ac:dyDescent="0.25">
      <c r="A82" s="133">
        <v>82</v>
      </c>
      <c r="B82" s="134" t="s">
        <v>1051</v>
      </c>
      <c r="C82" s="135">
        <v>12788088</v>
      </c>
      <c r="D82" s="136" t="s">
        <v>1046</v>
      </c>
      <c r="E82" s="137">
        <v>400</v>
      </c>
      <c r="F82" s="137"/>
      <c r="G82" s="137">
        <v>400</v>
      </c>
      <c r="H82" s="137">
        <v>0</v>
      </c>
      <c r="I82" s="135"/>
      <c r="J82" s="138">
        <v>0</v>
      </c>
      <c r="K82" s="133"/>
      <c r="L82" s="133">
        <v>699</v>
      </c>
      <c r="M82" s="139">
        <v>46045</v>
      </c>
      <c r="N82" s="140" t="s">
        <v>950</v>
      </c>
      <c r="O82" s="134" t="s">
        <v>1016</v>
      </c>
    </row>
    <row r="83" spans="1:15" x14ac:dyDescent="0.25">
      <c r="A83" s="133">
        <v>83</v>
      </c>
      <c r="B83" s="134" t="s">
        <v>1051</v>
      </c>
      <c r="C83" s="135">
        <v>12788088</v>
      </c>
      <c r="D83" s="136" t="s">
        <v>1046</v>
      </c>
      <c r="E83" s="137">
        <v>4500</v>
      </c>
      <c r="F83" s="137"/>
      <c r="G83" s="137">
        <v>4500</v>
      </c>
      <c r="H83" s="137">
        <v>0</v>
      </c>
      <c r="I83" s="135"/>
      <c r="J83" s="138">
        <v>0</v>
      </c>
      <c r="K83" s="133"/>
      <c r="L83" s="133">
        <v>699</v>
      </c>
      <c r="M83" s="139">
        <v>46045</v>
      </c>
      <c r="N83" s="140" t="s">
        <v>950</v>
      </c>
      <c r="O83" s="134" t="s">
        <v>1016</v>
      </c>
    </row>
    <row r="84" spans="1:15" x14ac:dyDescent="0.25">
      <c r="A84" s="133">
        <v>84</v>
      </c>
      <c r="B84" s="134" t="s">
        <v>1051</v>
      </c>
      <c r="C84" s="135">
        <v>12788088</v>
      </c>
      <c r="D84" s="136" t="s">
        <v>1046</v>
      </c>
      <c r="E84" s="137">
        <v>1800</v>
      </c>
      <c r="F84" s="137"/>
      <c r="G84" s="137">
        <v>1800</v>
      </c>
      <c r="H84" s="137">
        <v>0</v>
      </c>
      <c r="I84" s="135"/>
      <c r="J84" s="138">
        <v>0</v>
      </c>
      <c r="K84" s="133"/>
      <c r="L84" s="133">
        <v>699</v>
      </c>
      <c r="M84" s="139">
        <v>46045</v>
      </c>
      <c r="N84" s="140" t="s">
        <v>950</v>
      </c>
      <c r="O84" s="134" t="s">
        <v>1016</v>
      </c>
    </row>
    <row r="85" spans="1:15" x14ac:dyDescent="0.25">
      <c r="A85" s="133">
        <v>85</v>
      </c>
      <c r="B85" s="134" t="s">
        <v>1051</v>
      </c>
      <c r="C85" s="135">
        <v>12788088</v>
      </c>
      <c r="D85" s="136" t="s">
        <v>1046</v>
      </c>
      <c r="E85" s="137">
        <v>6200</v>
      </c>
      <c r="F85" s="137"/>
      <c r="G85" s="137">
        <v>6200</v>
      </c>
      <c r="H85" s="137">
        <v>0</v>
      </c>
      <c r="I85" s="135"/>
      <c r="J85" s="138">
        <v>0</v>
      </c>
      <c r="K85" s="133"/>
      <c r="L85" s="133">
        <v>699</v>
      </c>
      <c r="M85" s="139">
        <v>46045</v>
      </c>
      <c r="N85" s="140" t="s">
        <v>950</v>
      </c>
      <c r="O85" s="134" t="s">
        <v>1016</v>
      </c>
    </row>
    <row r="86" spans="1:15" x14ac:dyDescent="0.25">
      <c r="A86" s="133">
        <v>86</v>
      </c>
      <c r="B86" s="134" t="s">
        <v>1051</v>
      </c>
      <c r="C86" s="135">
        <v>12788088</v>
      </c>
      <c r="D86" s="136" t="s">
        <v>1046</v>
      </c>
      <c r="E86" s="137">
        <v>16200</v>
      </c>
      <c r="F86" s="137"/>
      <c r="G86" s="137">
        <v>16200</v>
      </c>
      <c r="H86" s="137">
        <v>0</v>
      </c>
      <c r="I86" s="135"/>
      <c r="J86" s="138">
        <v>0</v>
      </c>
      <c r="K86" s="133"/>
      <c r="L86" s="133">
        <v>699</v>
      </c>
      <c r="M86" s="139">
        <v>46045</v>
      </c>
      <c r="N86" s="140" t="s">
        <v>950</v>
      </c>
      <c r="O86" s="134" t="s">
        <v>1016</v>
      </c>
    </row>
    <row r="87" spans="1:15" x14ac:dyDescent="0.25">
      <c r="A87" s="133">
        <v>87</v>
      </c>
      <c r="B87" s="134" t="s">
        <v>1051</v>
      </c>
      <c r="C87" s="135">
        <v>12788088</v>
      </c>
      <c r="D87" s="136" t="s">
        <v>1046</v>
      </c>
      <c r="E87" s="137">
        <v>800</v>
      </c>
      <c r="F87" s="137"/>
      <c r="G87" s="137">
        <v>800</v>
      </c>
      <c r="H87" s="137">
        <v>0</v>
      </c>
      <c r="I87" s="135"/>
      <c r="J87" s="138">
        <v>0</v>
      </c>
      <c r="K87" s="133"/>
      <c r="L87" s="133">
        <v>699</v>
      </c>
      <c r="M87" s="139">
        <v>46045</v>
      </c>
      <c r="N87" s="140" t="s">
        <v>950</v>
      </c>
      <c r="O87" s="134" t="s">
        <v>1016</v>
      </c>
    </row>
    <row r="88" spans="1:15" x14ac:dyDescent="0.25">
      <c r="A88" s="133">
        <v>88</v>
      </c>
      <c r="B88" s="134" t="s">
        <v>1051</v>
      </c>
      <c r="C88" s="135">
        <v>12788088</v>
      </c>
      <c r="D88" s="136" t="s">
        <v>1046</v>
      </c>
      <c r="E88" s="137">
        <v>115604</v>
      </c>
      <c r="F88" s="137">
        <v>23120</v>
      </c>
      <c r="G88" s="137">
        <v>92484</v>
      </c>
      <c r="H88" s="137">
        <v>0</v>
      </c>
      <c r="I88" s="135"/>
      <c r="J88" s="138">
        <v>0</v>
      </c>
      <c r="K88" s="133"/>
      <c r="L88" s="133">
        <v>699</v>
      </c>
      <c r="M88" s="139">
        <v>46045</v>
      </c>
      <c r="N88" s="140" t="s">
        <v>1052</v>
      </c>
      <c r="O88" s="134" t="s">
        <v>1016</v>
      </c>
    </row>
    <row r="89" spans="1:15" x14ac:dyDescent="0.25">
      <c r="A89" s="133">
        <v>89</v>
      </c>
      <c r="B89" s="134" t="s">
        <v>1053</v>
      </c>
      <c r="C89" s="135">
        <v>2055700</v>
      </c>
      <c r="D89" s="136" t="s">
        <v>1054</v>
      </c>
      <c r="E89" s="137">
        <v>1800</v>
      </c>
      <c r="F89" s="137">
        <v>0</v>
      </c>
      <c r="G89" s="137">
        <v>1800</v>
      </c>
      <c r="H89" s="137">
        <v>0</v>
      </c>
      <c r="I89" s="135"/>
      <c r="J89" s="138">
        <v>0</v>
      </c>
      <c r="K89" s="133"/>
      <c r="L89" s="133">
        <v>701</v>
      </c>
      <c r="M89" s="139">
        <v>46055</v>
      </c>
      <c r="N89" s="140" t="s">
        <v>950</v>
      </c>
      <c r="O89" s="134">
        <v>506</v>
      </c>
    </row>
    <row r="90" spans="1:15" x14ac:dyDescent="0.25">
      <c r="A90" s="133">
        <v>90</v>
      </c>
      <c r="B90" s="134" t="s">
        <v>1053</v>
      </c>
      <c r="C90" s="135">
        <v>2055700</v>
      </c>
      <c r="D90" s="136" t="s">
        <v>1054</v>
      </c>
      <c r="E90" s="137">
        <v>74900</v>
      </c>
      <c r="F90" s="137">
        <v>0</v>
      </c>
      <c r="G90" s="137">
        <v>74900</v>
      </c>
      <c r="H90" s="137">
        <v>0</v>
      </c>
      <c r="I90" s="135"/>
      <c r="J90" s="138">
        <v>0</v>
      </c>
      <c r="K90" s="133"/>
      <c r="L90" s="133">
        <v>701</v>
      </c>
      <c r="M90" s="139">
        <v>46055</v>
      </c>
      <c r="N90" s="140" t="s">
        <v>950</v>
      </c>
      <c r="O90" s="134">
        <v>229</v>
      </c>
    </row>
    <row r="91" spans="1:15" x14ac:dyDescent="0.25">
      <c r="A91" s="133">
        <v>91</v>
      </c>
      <c r="B91" s="134" t="s">
        <v>1055</v>
      </c>
      <c r="C91" s="135">
        <v>22944867</v>
      </c>
      <c r="D91" s="136" t="s">
        <v>1054</v>
      </c>
      <c r="E91" s="137">
        <v>85300</v>
      </c>
      <c r="F91" s="137">
        <v>0</v>
      </c>
      <c r="G91" s="137">
        <v>85300</v>
      </c>
      <c r="H91" s="137">
        <v>0</v>
      </c>
      <c r="I91" s="135"/>
      <c r="J91" s="138">
        <v>0</v>
      </c>
      <c r="K91" s="133"/>
      <c r="L91" s="133">
        <v>701</v>
      </c>
      <c r="M91" s="139">
        <v>46055</v>
      </c>
      <c r="N91" s="140" t="s">
        <v>950</v>
      </c>
      <c r="O91" s="134">
        <v>102</v>
      </c>
    </row>
    <row r="92" spans="1:15" x14ac:dyDescent="0.25">
      <c r="A92" s="133">
        <v>92</v>
      </c>
      <c r="B92" s="134" t="s">
        <v>1055</v>
      </c>
      <c r="C92" s="135">
        <v>22944867</v>
      </c>
      <c r="D92" s="136" t="s">
        <v>1054</v>
      </c>
      <c r="E92" s="137">
        <v>1677200</v>
      </c>
      <c r="F92" s="137">
        <v>693800</v>
      </c>
      <c r="G92" s="137">
        <v>983400</v>
      </c>
      <c r="H92" s="137">
        <v>0</v>
      </c>
      <c r="I92" s="135"/>
      <c r="J92" s="138">
        <v>0</v>
      </c>
      <c r="K92" s="133"/>
      <c r="L92" s="133">
        <v>701</v>
      </c>
      <c r="M92" s="139">
        <v>46055</v>
      </c>
      <c r="N92" s="140" t="s">
        <v>1056</v>
      </c>
      <c r="O92" s="134">
        <v>201</v>
      </c>
    </row>
    <row r="93" spans="1:15" x14ac:dyDescent="0.25">
      <c r="A93" s="133">
        <v>93</v>
      </c>
      <c r="B93" s="134" t="s">
        <v>1055</v>
      </c>
      <c r="C93" s="135">
        <v>22944867</v>
      </c>
      <c r="D93" s="136" t="s">
        <v>1054</v>
      </c>
      <c r="E93" s="137">
        <v>25700</v>
      </c>
      <c r="F93" s="137">
        <v>0</v>
      </c>
      <c r="G93" s="137">
        <v>25700</v>
      </c>
      <c r="H93" s="137">
        <v>0</v>
      </c>
      <c r="I93" s="135"/>
      <c r="J93" s="138">
        <v>0</v>
      </c>
      <c r="K93" s="133"/>
      <c r="L93" s="133">
        <v>701</v>
      </c>
      <c r="M93" s="139">
        <v>46055</v>
      </c>
      <c r="N93" s="140" t="s">
        <v>950</v>
      </c>
      <c r="O93" s="134">
        <v>202</v>
      </c>
    </row>
    <row r="94" spans="1:15" x14ac:dyDescent="0.25">
      <c r="A94" s="133">
        <v>94</v>
      </c>
      <c r="B94" s="134" t="s">
        <v>1055</v>
      </c>
      <c r="C94" s="135">
        <v>22944867</v>
      </c>
      <c r="D94" s="136" t="s">
        <v>1054</v>
      </c>
      <c r="E94" s="137">
        <v>275800</v>
      </c>
      <c r="F94" s="137">
        <v>0</v>
      </c>
      <c r="G94" s="137">
        <v>275800</v>
      </c>
      <c r="H94" s="137">
        <v>0</v>
      </c>
      <c r="I94" s="135"/>
      <c r="J94" s="138">
        <v>0</v>
      </c>
      <c r="K94" s="133"/>
      <c r="L94" s="133">
        <v>701</v>
      </c>
      <c r="M94" s="139">
        <v>46055</v>
      </c>
      <c r="N94" s="140" t="s">
        <v>950</v>
      </c>
      <c r="O94" s="134">
        <v>203</v>
      </c>
    </row>
    <row r="95" spans="1:15" x14ac:dyDescent="0.25">
      <c r="A95" s="133">
        <v>95</v>
      </c>
      <c r="B95" s="134" t="s">
        <v>1055</v>
      </c>
      <c r="C95" s="135">
        <v>22944867</v>
      </c>
      <c r="D95" s="136" t="s">
        <v>1054</v>
      </c>
      <c r="E95" s="137">
        <v>29500</v>
      </c>
      <c r="F95" s="137">
        <v>0</v>
      </c>
      <c r="G95" s="137">
        <v>29500</v>
      </c>
      <c r="H95" s="137">
        <v>0</v>
      </c>
      <c r="I95" s="135"/>
      <c r="J95" s="138">
        <v>0</v>
      </c>
      <c r="K95" s="133"/>
      <c r="L95" s="133">
        <v>701</v>
      </c>
      <c r="M95" s="139">
        <v>46055</v>
      </c>
      <c r="N95" s="140" t="s">
        <v>950</v>
      </c>
      <c r="O95" s="134">
        <v>208</v>
      </c>
    </row>
    <row r="96" spans="1:15" x14ac:dyDescent="0.25">
      <c r="A96" s="133">
        <v>96</v>
      </c>
      <c r="B96" s="134" t="s">
        <v>1055</v>
      </c>
      <c r="C96" s="135">
        <v>22944867</v>
      </c>
      <c r="D96" s="136" t="s">
        <v>1054</v>
      </c>
      <c r="E96" s="137">
        <v>22200</v>
      </c>
      <c r="F96" s="137">
        <v>0</v>
      </c>
      <c r="G96" s="137">
        <v>22200</v>
      </c>
      <c r="H96" s="137">
        <v>0</v>
      </c>
      <c r="I96" s="135"/>
      <c r="J96" s="138">
        <v>0</v>
      </c>
      <c r="K96" s="133"/>
      <c r="L96" s="133">
        <v>701</v>
      </c>
      <c r="M96" s="139">
        <v>46055</v>
      </c>
      <c r="N96" s="140" t="s">
        <v>950</v>
      </c>
      <c r="O96" s="134">
        <v>223</v>
      </c>
    </row>
    <row r="97" spans="1:15" x14ac:dyDescent="0.25">
      <c r="A97" s="133">
        <v>97</v>
      </c>
      <c r="B97" s="134" t="s">
        <v>1055</v>
      </c>
      <c r="C97" s="135">
        <v>22944867</v>
      </c>
      <c r="D97" s="136" t="s">
        <v>1054</v>
      </c>
      <c r="E97" s="137">
        <v>1008904</v>
      </c>
      <c r="F97" s="137">
        <v>0</v>
      </c>
      <c r="G97" s="137">
        <v>1008904</v>
      </c>
      <c r="H97" s="137">
        <v>0</v>
      </c>
      <c r="I97" s="135"/>
      <c r="J97" s="138">
        <v>0</v>
      </c>
      <c r="K97" s="133"/>
      <c r="L97" s="133">
        <v>701</v>
      </c>
      <c r="M97" s="139">
        <v>46055</v>
      </c>
      <c r="N97" s="140" t="s">
        <v>950</v>
      </c>
      <c r="O97" s="134">
        <v>430</v>
      </c>
    </row>
    <row r="98" spans="1:15" x14ac:dyDescent="0.25">
      <c r="A98" s="133">
        <v>98</v>
      </c>
      <c r="B98" s="134" t="s">
        <v>1057</v>
      </c>
      <c r="C98" s="135">
        <v>33334229</v>
      </c>
      <c r="D98" s="136" t="s">
        <v>1054</v>
      </c>
      <c r="E98" s="137">
        <v>1328200</v>
      </c>
      <c r="F98" s="137">
        <v>0</v>
      </c>
      <c r="G98" s="137">
        <v>1328200</v>
      </c>
      <c r="H98" s="137">
        <v>0</v>
      </c>
      <c r="I98" s="135"/>
      <c r="J98" s="138">
        <v>0</v>
      </c>
      <c r="K98" s="133"/>
      <c r="L98" s="133">
        <v>701</v>
      </c>
      <c r="M98" s="139">
        <v>46055</v>
      </c>
      <c r="N98" s="140" t="s">
        <v>950</v>
      </c>
      <c r="O98" s="134">
        <v>101</v>
      </c>
    </row>
    <row r="99" spans="1:15" x14ac:dyDescent="0.25">
      <c r="A99" s="133">
        <v>99</v>
      </c>
      <c r="B99" s="134" t="s">
        <v>1057</v>
      </c>
      <c r="C99" s="135">
        <v>33334229</v>
      </c>
      <c r="D99" s="136" t="s">
        <v>1054</v>
      </c>
      <c r="E99" s="137">
        <v>82700</v>
      </c>
      <c r="F99" s="137">
        <v>0</v>
      </c>
      <c r="G99" s="137">
        <v>82700</v>
      </c>
      <c r="H99" s="137">
        <v>0</v>
      </c>
      <c r="I99" s="135"/>
      <c r="J99" s="138">
        <v>0</v>
      </c>
      <c r="K99" s="133"/>
      <c r="L99" s="133">
        <v>701</v>
      </c>
      <c r="M99" s="139">
        <v>46055</v>
      </c>
      <c r="N99" s="140" t="s">
        <v>950</v>
      </c>
      <c r="O99" s="134">
        <v>102</v>
      </c>
    </row>
    <row r="100" spans="1:15" x14ac:dyDescent="0.25">
      <c r="A100" s="133">
        <v>100</v>
      </c>
      <c r="B100" s="134" t="s">
        <v>1057</v>
      </c>
      <c r="C100" s="135">
        <v>33334229</v>
      </c>
      <c r="D100" s="136" t="s">
        <v>1054</v>
      </c>
      <c r="E100" s="137">
        <v>103300</v>
      </c>
      <c r="F100" s="137">
        <v>0</v>
      </c>
      <c r="G100" s="137">
        <v>103300</v>
      </c>
      <c r="H100" s="137">
        <v>0</v>
      </c>
      <c r="I100" s="135"/>
      <c r="J100" s="138">
        <v>0</v>
      </c>
      <c r="K100" s="133"/>
      <c r="L100" s="133">
        <v>701</v>
      </c>
      <c r="M100" s="139">
        <v>46055</v>
      </c>
      <c r="N100" s="140" t="s">
        <v>950</v>
      </c>
      <c r="O100" s="134">
        <v>106</v>
      </c>
    </row>
    <row r="101" spans="1:15" x14ac:dyDescent="0.25">
      <c r="A101" s="133">
        <v>101</v>
      </c>
      <c r="B101" s="134" t="s">
        <v>1057</v>
      </c>
      <c r="C101" s="135">
        <v>33334229</v>
      </c>
      <c r="D101" s="136" t="s">
        <v>1054</v>
      </c>
      <c r="E101" s="137">
        <v>1823500</v>
      </c>
      <c r="F101" s="137">
        <v>0</v>
      </c>
      <c r="G101" s="137">
        <v>1823500</v>
      </c>
      <c r="H101" s="137">
        <v>0</v>
      </c>
      <c r="I101" s="135"/>
      <c r="J101" s="138">
        <v>0</v>
      </c>
      <c r="K101" s="133"/>
      <c r="L101" s="133">
        <v>701</v>
      </c>
      <c r="M101" s="139">
        <v>46055</v>
      </c>
      <c r="N101" s="140" t="s">
        <v>950</v>
      </c>
      <c r="O101" s="134">
        <v>202</v>
      </c>
    </row>
    <row r="102" spans="1:15" x14ac:dyDescent="0.25">
      <c r="A102" s="133">
        <v>102</v>
      </c>
      <c r="B102" s="134" t="s">
        <v>1057</v>
      </c>
      <c r="C102" s="135">
        <v>33334229</v>
      </c>
      <c r="D102" s="136" t="s">
        <v>1054</v>
      </c>
      <c r="E102" s="137">
        <v>1779000</v>
      </c>
      <c r="F102" s="137">
        <v>0</v>
      </c>
      <c r="G102" s="137">
        <v>1779000</v>
      </c>
      <c r="H102" s="137">
        <v>0</v>
      </c>
      <c r="I102" s="135"/>
      <c r="J102" s="138">
        <v>0</v>
      </c>
      <c r="K102" s="133"/>
      <c r="L102" s="133">
        <v>701</v>
      </c>
      <c r="M102" s="139">
        <v>46055</v>
      </c>
      <c r="N102" s="140" t="s">
        <v>950</v>
      </c>
      <c r="O102" s="134">
        <v>203</v>
      </c>
    </row>
    <row r="103" spans="1:15" x14ac:dyDescent="0.25">
      <c r="A103" s="133">
        <v>103</v>
      </c>
      <c r="B103" s="134" t="s">
        <v>1057</v>
      </c>
      <c r="C103" s="135">
        <v>33334229</v>
      </c>
      <c r="D103" s="136" t="s">
        <v>1054</v>
      </c>
      <c r="E103" s="137">
        <v>318400</v>
      </c>
      <c r="F103" s="137">
        <v>0</v>
      </c>
      <c r="G103" s="137">
        <v>318400</v>
      </c>
      <c r="H103" s="137">
        <v>0</v>
      </c>
      <c r="I103" s="135"/>
      <c r="J103" s="138">
        <v>0</v>
      </c>
      <c r="K103" s="133"/>
      <c r="L103" s="133">
        <v>701</v>
      </c>
      <c r="M103" s="139">
        <v>46055</v>
      </c>
      <c r="N103" s="140" t="s">
        <v>950</v>
      </c>
      <c r="O103" s="134">
        <v>205</v>
      </c>
    </row>
    <row r="104" spans="1:15" x14ac:dyDescent="0.25">
      <c r="A104" s="133">
        <v>104</v>
      </c>
      <c r="B104" s="134" t="s">
        <v>1057</v>
      </c>
      <c r="C104" s="135">
        <v>33334229</v>
      </c>
      <c r="D104" s="136" t="s">
        <v>1054</v>
      </c>
      <c r="E104" s="137">
        <v>96100</v>
      </c>
      <c r="F104" s="137">
        <v>0</v>
      </c>
      <c r="G104" s="137">
        <v>96100</v>
      </c>
      <c r="H104" s="137">
        <v>0</v>
      </c>
      <c r="I104" s="135"/>
      <c r="J104" s="138">
        <v>0</v>
      </c>
      <c r="K104" s="133"/>
      <c r="L104" s="133">
        <v>701</v>
      </c>
      <c r="M104" s="139">
        <v>46055</v>
      </c>
      <c r="N104" s="140" t="s">
        <v>950</v>
      </c>
      <c r="O104" s="134">
        <v>206</v>
      </c>
    </row>
    <row r="105" spans="1:15" x14ac:dyDescent="0.25">
      <c r="A105" s="133">
        <v>105</v>
      </c>
      <c r="B105" s="134" t="s">
        <v>1057</v>
      </c>
      <c r="C105" s="135">
        <v>33334229</v>
      </c>
      <c r="D105" s="136" t="s">
        <v>1054</v>
      </c>
      <c r="E105" s="137">
        <v>264495</v>
      </c>
      <c r="F105" s="137">
        <v>0</v>
      </c>
      <c r="G105" s="137">
        <v>264495</v>
      </c>
      <c r="H105" s="137">
        <v>0</v>
      </c>
      <c r="I105" s="135"/>
      <c r="J105" s="138">
        <v>0</v>
      </c>
      <c r="K105" s="133"/>
      <c r="L105" s="133">
        <v>701</v>
      </c>
      <c r="M105" s="139">
        <v>46055</v>
      </c>
      <c r="N105" s="140" t="s">
        <v>950</v>
      </c>
      <c r="O105" s="134">
        <v>207</v>
      </c>
    </row>
    <row r="106" spans="1:15" x14ac:dyDescent="0.25">
      <c r="A106" s="133">
        <v>106</v>
      </c>
      <c r="B106" s="134" t="s">
        <v>1057</v>
      </c>
      <c r="C106" s="135">
        <v>33334229</v>
      </c>
      <c r="D106" s="136" t="s">
        <v>1054</v>
      </c>
      <c r="E106" s="137">
        <v>340300</v>
      </c>
      <c r="F106" s="137">
        <v>0</v>
      </c>
      <c r="G106" s="137">
        <v>340300</v>
      </c>
      <c r="H106" s="137">
        <v>0</v>
      </c>
      <c r="I106" s="135"/>
      <c r="J106" s="138">
        <v>0</v>
      </c>
      <c r="K106" s="133"/>
      <c r="L106" s="133">
        <v>701</v>
      </c>
      <c r="M106" s="139">
        <v>46055</v>
      </c>
      <c r="N106" s="140" t="s">
        <v>950</v>
      </c>
      <c r="O106" s="134">
        <v>208</v>
      </c>
    </row>
    <row r="107" spans="1:15" x14ac:dyDescent="0.25">
      <c r="A107" s="133">
        <v>107</v>
      </c>
      <c r="B107" s="134" t="s">
        <v>1057</v>
      </c>
      <c r="C107" s="135">
        <v>33334229</v>
      </c>
      <c r="D107" s="136" t="s">
        <v>1054</v>
      </c>
      <c r="E107" s="137">
        <v>8599167</v>
      </c>
      <c r="F107" s="137">
        <v>0</v>
      </c>
      <c r="G107" s="137">
        <v>8599167</v>
      </c>
      <c r="H107" s="137">
        <v>0</v>
      </c>
      <c r="I107" s="135"/>
      <c r="J107" s="138">
        <v>0</v>
      </c>
      <c r="K107" s="133"/>
      <c r="L107" s="133">
        <v>701</v>
      </c>
      <c r="M107" s="139">
        <v>46055</v>
      </c>
      <c r="N107" s="140" t="s">
        <v>950</v>
      </c>
      <c r="O107" s="134">
        <v>307</v>
      </c>
    </row>
    <row r="108" spans="1:15" x14ac:dyDescent="0.25">
      <c r="A108" s="133">
        <v>108</v>
      </c>
      <c r="B108" s="134" t="s">
        <v>1057</v>
      </c>
      <c r="C108" s="135">
        <v>33334229</v>
      </c>
      <c r="D108" s="136" t="s">
        <v>1054</v>
      </c>
      <c r="E108" s="137">
        <v>327500</v>
      </c>
      <c r="F108" s="137">
        <v>0</v>
      </c>
      <c r="G108" s="137">
        <v>327500</v>
      </c>
      <c r="H108" s="137">
        <v>0</v>
      </c>
      <c r="I108" s="135"/>
      <c r="J108" s="138">
        <v>0</v>
      </c>
      <c r="K108" s="133"/>
      <c r="L108" s="133">
        <v>701</v>
      </c>
      <c r="M108" s="139">
        <v>46055</v>
      </c>
      <c r="N108" s="140" t="s">
        <v>950</v>
      </c>
      <c r="O108" s="134">
        <v>402</v>
      </c>
    </row>
    <row r="109" spans="1:15" x14ac:dyDescent="0.25">
      <c r="A109" s="133">
        <v>109</v>
      </c>
      <c r="B109" s="134" t="s">
        <v>1057</v>
      </c>
      <c r="C109" s="135">
        <v>33334229</v>
      </c>
      <c r="D109" s="136" t="s">
        <v>1054</v>
      </c>
      <c r="E109" s="137">
        <v>186900</v>
      </c>
      <c r="F109" s="137">
        <v>0</v>
      </c>
      <c r="G109" s="137">
        <v>186900</v>
      </c>
      <c r="H109" s="137">
        <v>0</v>
      </c>
      <c r="I109" s="135"/>
      <c r="J109" s="138">
        <v>0</v>
      </c>
      <c r="K109" s="133"/>
      <c r="L109" s="133">
        <v>701</v>
      </c>
      <c r="M109" s="139">
        <v>46055</v>
      </c>
      <c r="N109" s="140" t="s">
        <v>950</v>
      </c>
      <c r="O109" s="134">
        <v>602</v>
      </c>
    </row>
    <row r="110" spans="1:15" x14ac:dyDescent="0.25">
      <c r="A110" s="133">
        <v>110</v>
      </c>
      <c r="B110" s="134" t="s">
        <v>1058</v>
      </c>
      <c r="C110" s="135">
        <v>934061</v>
      </c>
      <c r="D110" s="136" t="s">
        <v>1054</v>
      </c>
      <c r="E110" s="137">
        <v>238870</v>
      </c>
      <c r="F110" s="137">
        <v>0</v>
      </c>
      <c r="G110" s="137">
        <v>238870</v>
      </c>
      <c r="H110" s="137">
        <v>0</v>
      </c>
      <c r="I110" s="135"/>
      <c r="J110" s="138">
        <v>0</v>
      </c>
      <c r="K110" s="133"/>
      <c r="L110" s="133">
        <v>701</v>
      </c>
      <c r="M110" s="139">
        <v>46055</v>
      </c>
      <c r="N110" s="140" t="s">
        <v>950</v>
      </c>
      <c r="O110" s="134">
        <v>106</v>
      </c>
    </row>
    <row r="111" spans="1:15" x14ac:dyDescent="0.25">
      <c r="A111" s="133">
        <v>111</v>
      </c>
      <c r="B111" s="134" t="s">
        <v>1058</v>
      </c>
      <c r="C111" s="135">
        <v>934061</v>
      </c>
      <c r="D111" s="136" t="s">
        <v>1054</v>
      </c>
      <c r="E111" s="137">
        <v>69464</v>
      </c>
      <c r="F111" s="137">
        <v>0</v>
      </c>
      <c r="G111" s="137">
        <v>69464</v>
      </c>
      <c r="H111" s="137">
        <v>0</v>
      </c>
      <c r="I111" s="135"/>
      <c r="J111" s="138">
        <v>0</v>
      </c>
      <c r="K111" s="133"/>
      <c r="L111" s="133">
        <v>701</v>
      </c>
      <c r="M111" s="139">
        <v>46055</v>
      </c>
      <c r="N111" s="140" t="s">
        <v>950</v>
      </c>
      <c r="O111" s="134">
        <v>207</v>
      </c>
    </row>
    <row r="112" spans="1:15" x14ac:dyDescent="0.25">
      <c r="A112" s="133">
        <v>112</v>
      </c>
      <c r="B112" s="134" t="s">
        <v>1058</v>
      </c>
      <c r="C112" s="135">
        <v>934061</v>
      </c>
      <c r="D112" s="136" t="s">
        <v>1054</v>
      </c>
      <c r="E112" s="137">
        <v>2100</v>
      </c>
      <c r="F112" s="137">
        <v>0</v>
      </c>
      <c r="G112" s="137">
        <v>2100</v>
      </c>
      <c r="H112" s="137">
        <v>0</v>
      </c>
      <c r="I112" s="135"/>
      <c r="J112" s="138">
        <v>0</v>
      </c>
      <c r="K112" s="133"/>
      <c r="L112" s="133">
        <v>701</v>
      </c>
      <c r="M112" s="139">
        <v>46055</v>
      </c>
      <c r="N112" s="140" t="s">
        <v>950</v>
      </c>
      <c r="O112" s="134">
        <v>506</v>
      </c>
    </row>
    <row r="113" spans="1:15" x14ac:dyDescent="0.25">
      <c r="A113" s="133">
        <v>113</v>
      </c>
      <c r="B113" s="134" t="s">
        <v>1059</v>
      </c>
      <c r="C113" s="135">
        <v>2493367</v>
      </c>
      <c r="D113" s="136" t="s">
        <v>1054</v>
      </c>
      <c r="E113" s="137">
        <v>739681</v>
      </c>
      <c r="F113" s="137">
        <v>739681</v>
      </c>
      <c r="G113" s="137">
        <v>0</v>
      </c>
      <c r="H113" s="137">
        <v>0</v>
      </c>
      <c r="I113" s="135"/>
      <c r="J113" s="138">
        <v>0</v>
      </c>
      <c r="K113" s="133"/>
      <c r="L113" s="133">
        <v>701</v>
      </c>
      <c r="M113" s="139">
        <v>46055</v>
      </c>
      <c r="N113" s="140" t="s">
        <v>1060</v>
      </c>
      <c r="O113" s="134">
        <v>106</v>
      </c>
    </row>
    <row r="114" spans="1:15" x14ac:dyDescent="0.25">
      <c r="A114" s="133">
        <v>114</v>
      </c>
      <c r="B114" s="134" t="s">
        <v>1059</v>
      </c>
      <c r="C114" s="135">
        <v>2493367</v>
      </c>
      <c r="D114" s="136" t="s">
        <v>1054</v>
      </c>
      <c r="E114" s="137">
        <v>38300</v>
      </c>
      <c r="F114" s="137">
        <v>0</v>
      </c>
      <c r="G114" s="137">
        <v>38300</v>
      </c>
      <c r="H114" s="137">
        <v>0</v>
      </c>
      <c r="I114" s="135"/>
      <c r="J114" s="138">
        <v>0</v>
      </c>
      <c r="K114" s="133"/>
      <c r="L114" s="133">
        <v>701</v>
      </c>
      <c r="M114" s="139">
        <v>46055</v>
      </c>
      <c r="N114" s="140" t="s">
        <v>950</v>
      </c>
      <c r="O114" s="134">
        <v>201</v>
      </c>
    </row>
    <row r="115" spans="1:15" x14ac:dyDescent="0.25">
      <c r="A115" s="133">
        <v>115</v>
      </c>
      <c r="B115" s="134" t="s">
        <v>1061</v>
      </c>
      <c r="C115" s="135">
        <v>3460800</v>
      </c>
      <c r="D115" s="136" t="s">
        <v>1054</v>
      </c>
      <c r="E115" s="137">
        <v>6347</v>
      </c>
      <c r="F115" s="137">
        <v>0</v>
      </c>
      <c r="G115" s="137">
        <v>6347</v>
      </c>
      <c r="H115" s="137">
        <v>0</v>
      </c>
      <c r="I115" s="135"/>
      <c r="J115" s="138">
        <v>0</v>
      </c>
      <c r="K115" s="133"/>
      <c r="L115" s="133">
        <v>701</v>
      </c>
      <c r="M115" s="139">
        <v>46055</v>
      </c>
      <c r="N115" s="140" t="s">
        <v>950</v>
      </c>
      <c r="O115" s="134">
        <v>207</v>
      </c>
    </row>
    <row r="116" spans="1:15" x14ac:dyDescent="0.25">
      <c r="A116" s="133">
        <v>116</v>
      </c>
      <c r="B116" s="134" t="s">
        <v>1062</v>
      </c>
      <c r="C116" s="135">
        <v>14111689</v>
      </c>
      <c r="D116" s="136" t="s">
        <v>1054</v>
      </c>
      <c r="E116" s="137">
        <v>96700</v>
      </c>
      <c r="F116" s="137">
        <v>0</v>
      </c>
      <c r="G116" s="137">
        <v>96700</v>
      </c>
      <c r="H116" s="137">
        <v>0</v>
      </c>
      <c r="I116" s="135"/>
      <c r="J116" s="138">
        <v>0</v>
      </c>
      <c r="K116" s="133"/>
      <c r="L116" s="133">
        <v>701</v>
      </c>
      <c r="M116" s="139">
        <v>46055</v>
      </c>
      <c r="N116" s="140" t="s">
        <v>950</v>
      </c>
      <c r="O116" s="134">
        <v>108</v>
      </c>
    </row>
    <row r="117" spans="1:15" x14ac:dyDescent="0.25">
      <c r="A117" s="133">
        <v>117</v>
      </c>
      <c r="B117" s="134" t="s">
        <v>1062</v>
      </c>
      <c r="C117" s="135">
        <v>14111689</v>
      </c>
      <c r="D117" s="136" t="s">
        <v>1054</v>
      </c>
      <c r="E117" s="137">
        <v>2997400</v>
      </c>
      <c r="F117" s="137">
        <v>937109</v>
      </c>
      <c r="G117" s="137">
        <v>2060291</v>
      </c>
      <c r="H117" s="137">
        <v>0</v>
      </c>
      <c r="I117" s="135"/>
      <c r="J117" s="138">
        <v>0</v>
      </c>
      <c r="K117" s="133"/>
      <c r="L117" s="133">
        <v>701</v>
      </c>
      <c r="M117" s="139">
        <v>46055</v>
      </c>
      <c r="N117" s="140" t="s">
        <v>1063</v>
      </c>
      <c r="O117" s="134">
        <v>207</v>
      </c>
    </row>
    <row r="118" spans="1:15" x14ac:dyDescent="0.25">
      <c r="A118" s="133">
        <v>118</v>
      </c>
      <c r="B118" s="134" t="s">
        <v>1064</v>
      </c>
      <c r="C118" s="135">
        <v>46052433</v>
      </c>
      <c r="D118" s="136" t="s">
        <v>1054</v>
      </c>
      <c r="E118" s="137">
        <v>651080</v>
      </c>
      <c r="F118" s="137">
        <v>130100</v>
      </c>
      <c r="G118" s="137">
        <v>520980</v>
      </c>
      <c r="H118" s="137">
        <v>0</v>
      </c>
      <c r="I118" s="135"/>
      <c r="J118" s="138">
        <v>0</v>
      </c>
      <c r="K118" s="133"/>
      <c r="L118" s="133">
        <v>701</v>
      </c>
      <c r="M118" s="139">
        <v>46055</v>
      </c>
      <c r="N118" s="140" t="s">
        <v>1065</v>
      </c>
      <c r="O118" s="134">
        <v>111</v>
      </c>
    </row>
    <row r="119" spans="1:15" x14ac:dyDescent="0.25">
      <c r="A119" s="133">
        <v>119</v>
      </c>
      <c r="B119" s="134" t="s">
        <v>1064</v>
      </c>
      <c r="C119" s="135">
        <v>46052433</v>
      </c>
      <c r="D119" s="136" t="s">
        <v>1054</v>
      </c>
      <c r="E119" s="137">
        <v>727700</v>
      </c>
      <c r="F119" s="137">
        <v>533900</v>
      </c>
      <c r="G119" s="137">
        <v>193800</v>
      </c>
      <c r="H119" s="137">
        <v>0</v>
      </c>
      <c r="I119" s="135"/>
      <c r="J119" s="138">
        <v>0</v>
      </c>
      <c r="K119" s="133"/>
      <c r="L119" s="133">
        <v>701</v>
      </c>
      <c r="M119" s="139">
        <v>46055</v>
      </c>
      <c r="N119" s="140" t="s">
        <v>1066</v>
      </c>
      <c r="O119" s="134">
        <v>201</v>
      </c>
    </row>
    <row r="120" spans="1:15" x14ac:dyDescent="0.25">
      <c r="A120" s="133">
        <v>120</v>
      </c>
      <c r="B120" s="134" t="s">
        <v>1064</v>
      </c>
      <c r="C120" s="135">
        <v>46052433</v>
      </c>
      <c r="D120" s="136" t="s">
        <v>1054</v>
      </c>
      <c r="E120" s="137">
        <v>50300</v>
      </c>
      <c r="F120" s="137">
        <v>0</v>
      </c>
      <c r="G120" s="137">
        <v>50300</v>
      </c>
      <c r="H120" s="137">
        <v>0</v>
      </c>
      <c r="I120" s="135"/>
      <c r="J120" s="138">
        <v>0</v>
      </c>
      <c r="K120" s="133"/>
      <c r="L120" s="133">
        <v>701</v>
      </c>
      <c r="M120" s="139">
        <v>46055</v>
      </c>
      <c r="N120" s="140" t="s">
        <v>950</v>
      </c>
      <c r="O120" s="134">
        <v>202</v>
      </c>
    </row>
    <row r="121" spans="1:15" x14ac:dyDescent="0.25">
      <c r="A121" s="133">
        <v>121</v>
      </c>
      <c r="B121" s="134" t="s">
        <v>1064</v>
      </c>
      <c r="C121" s="135">
        <v>46052433</v>
      </c>
      <c r="D121" s="136" t="s">
        <v>1054</v>
      </c>
      <c r="E121" s="137">
        <v>259000</v>
      </c>
      <c r="F121" s="137">
        <v>0</v>
      </c>
      <c r="G121" s="137">
        <v>259000</v>
      </c>
      <c r="H121" s="137">
        <v>0</v>
      </c>
      <c r="I121" s="135"/>
      <c r="J121" s="138">
        <v>0</v>
      </c>
      <c r="K121" s="133"/>
      <c r="L121" s="133">
        <v>701</v>
      </c>
      <c r="M121" s="139">
        <v>46055</v>
      </c>
      <c r="N121" s="140" t="s">
        <v>950</v>
      </c>
      <c r="O121" s="134">
        <v>203</v>
      </c>
    </row>
    <row r="122" spans="1:15" x14ac:dyDescent="0.25">
      <c r="A122" s="133">
        <v>122</v>
      </c>
      <c r="B122" s="134" t="s">
        <v>1064</v>
      </c>
      <c r="C122" s="135">
        <v>46052433</v>
      </c>
      <c r="D122" s="136" t="s">
        <v>1054</v>
      </c>
      <c r="E122" s="137">
        <v>183600</v>
      </c>
      <c r="F122" s="137">
        <v>0</v>
      </c>
      <c r="G122" s="137">
        <v>183600</v>
      </c>
      <c r="H122" s="137">
        <v>0</v>
      </c>
      <c r="I122" s="135"/>
      <c r="J122" s="138">
        <v>0</v>
      </c>
      <c r="K122" s="133"/>
      <c r="L122" s="133">
        <v>701</v>
      </c>
      <c r="M122" s="139">
        <v>46055</v>
      </c>
      <c r="N122" s="140" t="s">
        <v>950</v>
      </c>
      <c r="O122" s="134">
        <v>205</v>
      </c>
    </row>
    <row r="123" spans="1:15" x14ac:dyDescent="0.25">
      <c r="A123" s="133">
        <v>123</v>
      </c>
      <c r="B123" s="134" t="s">
        <v>1064</v>
      </c>
      <c r="C123" s="135">
        <v>46052433</v>
      </c>
      <c r="D123" s="136" t="s">
        <v>1054</v>
      </c>
      <c r="E123" s="137">
        <v>96300</v>
      </c>
      <c r="F123" s="137">
        <v>0</v>
      </c>
      <c r="G123" s="137">
        <v>96300</v>
      </c>
      <c r="H123" s="137">
        <v>0</v>
      </c>
      <c r="I123" s="135"/>
      <c r="J123" s="138">
        <v>0</v>
      </c>
      <c r="K123" s="133"/>
      <c r="L123" s="133">
        <v>701</v>
      </c>
      <c r="M123" s="139">
        <v>46055</v>
      </c>
      <c r="N123" s="140" t="s">
        <v>950</v>
      </c>
      <c r="O123" s="134">
        <v>206</v>
      </c>
    </row>
    <row r="124" spans="1:15" x14ac:dyDescent="0.25">
      <c r="A124" s="133">
        <v>124</v>
      </c>
      <c r="B124" s="134" t="s">
        <v>1064</v>
      </c>
      <c r="C124" s="135">
        <v>46052433</v>
      </c>
      <c r="D124" s="136" t="s">
        <v>1054</v>
      </c>
      <c r="E124" s="137">
        <v>210000</v>
      </c>
      <c r="F124" s="137">
        <v>0</v>
      </c>
      <c r="G124" s="137">
        <v>210000</v>
      </c>
      <c r="H124" s="137">
        <v>0</v>
      </c>
      <c r="I124" s="135"/>
      <c r="J124" s="138">
        <v>0</v>
      </c>
      <c r="K124" s="133"/>
      <c r="L124" s="133">
        <v>701</v>
      </c>
      <c r="M124" s="139">
        <v>46055</v>
      </c>
      <c r="N124" s="140" t="s">
        <v>950</v>
      </c>
      <c r="O124" s="134">
        <v>623</v>
      </c>
    </row>
    <row r="125" spans="1:15" x14ac:dyDescent="0.25">
      <c r="A125" s="133">
        <v>125</v>
      </c>
      <c r="B125" s="134" t="s">
        <v>1067</v>
      </c>
      <c r="C125" s="135">
        <v>753531</v>
      </c>
      <c r="D125" s="136" t="s">
        <v>1054</v>
      </c>
      <c r="E125" s="137">
        <v>16900</v>
      </c>
      <c r="F125" s="137">
        <v>0</v>
      </c>
      <c r="G125" s="137">
        <v>16900</v>
      </c>
      <c r="H125" s="137">
        <v>0</v>
      </c>
      <c r="I125" s="135"/>
      <c r="J125" s="138">
        <v>0</v>
      </c>
      <c r="K125" s="133"/>
      <c r="L125" s="133">
        <v>701</v>
      </c>
      <c r="M125" s="139">
        <v>46055</v>
      </c>
      <c r="N125" s="140" t="s">
        <v>950</v>
      </c>
      <c r="O125" s="134">
        <v>201</v>
      </c>
    </row>
    <row r="126" spans="1:15" x14ac:dyDescent="0.25">
      <c r="A126" s="133">
        <v>126</v>
      </c>
      <c r="B126" s="134" t="s">
        <v>1067</v>
      </c>
      <c r="C126" s="135">
        <v>753531</v>
      </c>
      <c r="D126" s="136" t="s">
        <v>1054</v>
      </c>
      <c r="E126" s="137">
        <v>6000</v>
      </c>
      <c r="F126" s="137">
        <v>0</v>
      </c>
      <c r="G126" s="137">
        <v>6000</v>
      </c>
      <c r="H126" s="137">
        <v>0</v>
      </c>
      <c r="I126" s="135"/>
      <c r="J126" s="138">
        <v>0</v>
      </c>
      <c r="K126" s="133"/>
      <c r="L126" s="133">
        <v>701</v>
      </c>
      <c r="M126" s="139">
        <v>46055</v>
      </c>
      <c r="N126" s="140" t="s">
        <v>950</v>
      </c>
      <c r="O126" s="134">
        <v>223</v>
      </c>
    </row>
    <row r="127" spans="1:15" x14ac:dyDescent="0.25">
      <c r="A127" s="133">
        <v>127</v>
      </c>
      <c r="B127" s="134" t="s">
        <v>1068</v>
      </c>
      <c r="C127" s="135">
        <v>19176615</v>
      </c>
      <c r="D127" s="136" t="s">
        <v>1054</v>
      </c>
      <c r="E127" s="137">
        <v>180000</v>
      </c>
      <c r="F127" s="137">
        <v>0</v>
      </c>
      <c r="G127" s="137">
        <v>180000</v>
      </c>
      <c r="H127" s="137">
        <v>0</v>
      </c>
      <c r="I127" s="135"/>
      <c r="J127" s="138">
        <v>0</v>
      </c>
      <c r="K127" s="133"/>
      <c r="L127" s="133">
        <v>701</v>
      </c>
      <c r="M127" s="139">
        <v>46055</v>
      </c>
      <c r="N127" s="140" t="s">
        <v>950</v>
      </c>
      <c r="O127" s="134">
        <v>106</v>
      </c>
    </row>
    <row r="128" spans="1:15" x14ac:dyDescent="0.25">
      <c r="A128" s="133">
        <v>128</v>
      </c>
      <c r="B128" s="134" t="s">
        <v>1068</v>
      </c>
      <c r="C128" s="135">
        <v>19176615</v>
      </c>
      <c r="D128" s="136" t="s">
        <v>1054</v>
      </c>
      <c r="E128" s="137">
        <v>17600</v>
      </c>
      <c r="F128" s="137">
        <v>0</v>
      </c>
      <c r="G128" s="137">
        <v>17600</v>
      </c>
      <c r="H128" s="137">
        <v>0</v>
      </c>
      <c r="I128" s="135"/>
      <c r="J128" s="138">
        <v>0</v>
      </c>
      <c r="K128" s="133"/>
      <c r="L128" s="133">
        <v>701</v>
      </c>
      <c r="M128" s="139">
        <v>46055</v>
      </c>
      <c r="N128" s="140" t="s">
        <v>950</v>
      </c>
      <c r="O128" s="134">
        <v>111</v>
      </c>
    </row>
    <row r="129" spans="1:15" x14ac:dyDescent="0.25">
      <c r="A129" s="133">
        <v>129</v>
      </c>
      <c r="B129" s="134" t="s">
        <v>1068</v>
      </c>
      <c r="C129" s="135">
        <v>19176615</v>
      </c>
      <c r="D129" s="136" t="s">
        <v>1054</v>
      </c>
      <c r="E129" s="137">
        <v>695700</v>
      </c>
      <c r="F129" s="137">
        <v>0</v>
      </c>
      <c r="G129" s="137">
        <v>695700</v>
      </c>
      <c r="H129" s="137">
        <v>0</v>
      </c>
      <c r="I129" s="135"/>
      <c r="J129" s="138">
        <v>0</v>
      </c>
      <c r="K129" s="133"/>
      <c r="L129" s="133">
        <v>701</v>
      </c>
      <c r="M129" s="139">
        <v>46055</v>
      </c>
      <c r="N129" s="140" t="s">
        <v>950</v>
      </c>
      <c r="O129" s="134">
        <v>201</v>
      </c>
    </row>
    <row r="130" spans="1:15" x14ac:dyDescent="0.25">
      <c r="A130" s="133">
        <v>130</v>
      </c>
      <c r="B130" s="134" t="s">
        <v>1068</v>
      </c>
      <c r="C130" s="135">
        <v>19176615</v>
      </c>
      <c r="D130" s="136" t="s">
        <v>1054</v>
      </c>
      <c r="E130" s="137">
        <v>74900</v>
      </c>
      <c r="F130" s="137">
        <v>0</v>
      </c>
      <c r="G130" s="137">
        <v>74900</v>
      </c>
      <c r="H130" s="137">
        <v>0</v>
      </c>
      <c r="I130" s="135"/>
      <c r="J130" s="138">
        <v>0</v>
      </c>
      <c r="K130" s="133"/>
      <c r="L130" s="133">
        <v>701</v>
      </c>
      <c r="M130" s="139">
        <v>46055</v>
      </c>
      <c r="N130" s="140" t="s">
        <v>950</v>
      </c>
      <c r="O130" s="134">
        <v>203</v>
      </c>
    </row>
    <row r="131" spans="1:15" x14ac:dyDescent="0.25">
      <c r="A131" s="133">
        <v>131</v>
      </c>
      <c r="B131" s="134" t="s">
        <v>1069</v>
      </c>
      <c r="C131" s="135">
        <v>29486558</v>
      </c>
      <c r="D131" s="136" t="s">
        <v>1054</v>
      </c>
      <c r="E131" s="137">
        <v>1042300</v>
      </c>
      <c r="F131" s="137">
        <v>0</v>
      </c>
      <c r="G131" s="137">
        <v>1042300</v>
      </c>
      <c r="H131" s="137">
        <v>0</v>
      </c>
      <c r="I131" s="135"/>
      <c r="J131" s="138">
        <v>0</v>
      </c>
      <c r="K131" s="133"/>
      <c r="L131" s="133">
        <v>701</v>
      </c>
      <c r="M131" s="139">
        <v>46055</v>
      </c>
      <c r="N131" s="140" t="s">
        <v>950</v>
      </c>
      <c r="O131" s="134">
        <v>102</v>
      </c>
    </row>
    <row r="132" spans="1:15" x14ac:dyDescent="0.25">
      <c r="A132" s="133">
        <v>132</v>
      </c>
      <c r="B132" s="134" t="s">
        <v>1069</v>
      </c>
      <c r="C132" s="135">
        <v>29486558</v>
      </c>
      <c r="D132" s="136" t="s">
        <v>1054</v>
      </c>
      <c r="E132" s="137">
        <v>522200</v>
      </c>
      <c r="F132" s="137">
        <v>152905</v>
      </c>
      <c r="G132" s="137">
        <v>369295</v>
      </c>
      <c r="H132" s="137">
        <v>0</v>
      </c>
      <c r="I132" s="135"/>
      <c r="J132" s="138">
        <v>0</v>
      </c>
      <c r="K132" s="133"/>
      <c r="L132" s="133">
        <v>701</v>
      </c>
      <c r="M132" s="139">
        <v>46055</v>
      </c>
      <c r="N132" s="140" t="s">
        <v>1070</v>
      </c>
      <c r="O132" s="134">
        <v>106</v>
      </c>
    </row>
    <row r="133" spans="1:15" x14ac:dyDescent="0.25">
      <c r="A133" s="133">
        <v>133</v>
      </c>
      <c r="B133" s="134" t="s">
        <v>1069</v>
      </c>
      <c r="C133" s="135">
        <v>29486558</v>
      </c>
      <c r="D133" s="136" t="s">
        <v>1054</v>
      </c>
      <c r="E133" s="137">
        <v>421300</v>
      </c>
      <c r="F133" s="137">
        <v>0</v>
      </c>
      <c r="G133" s="137">
        <v>421300</v>
      </c>
      <c r="H133" s="137">
        <v>0</v>
      </c>
      <c r="I133" s="135"/>
      <c r="J133" s="138">
        <v>0</v>
      </c>
      <c r="K133" s="133"/>
      <c r="L133" s="133">
        <v>701</v>
      </c>
      <c r="M133" s="139">
        <v>46055</v>
      </c>
      <c r="N133" s="140" t="s">
        <v>950</v>
      </c>
      <c r="O133" s="134">
        <v>201</v>
      </c>
    </row>
    <row r="134" spans="1:15" x14ac:dyDescent="0.25">
      <c r="A134" s="133">
        <v>134</v>
      </c>
      <c r="B134" s="134" t="s">
        <v>1069</v>
      </c>
      <c r="C134" s="135">
        <v>29486558</v>
      </c>
      <c r="D134" s="136" t="s">
        <v>1054</v>
      </c>
      <c r="E134" s="137">
        <v>39600</v>
      </c>
      <c r="F134" s="137">
        <v>0</v>
      </c>
      <c r="G134" s="137">
        <v>39600</v>
      </c>
      <c r="H134" s="137">
        <v>0</v>
      </c>
      <c r="I134" s="135"/>
      <c r="J134" s="138">
        <v>0</v>
      </c>
      <c r="K134" s="133"/>
      <c r="L134" s="133">
        <v>701</v>
      </c>
      <c r="M134" s="139">
        <v>46055</v>
      </c>
      <c r="N134" s="140" t="s">
        <v>950</v>
      </c>
      <c r="O134" s="134">
        <v>202</v>
      </c>
    </row>
    <row r="135" spans="1:15" x14ac:dyDescent="0.25">
      <c r="A135" s="133">
        <v>135</v>
      </c>
      <c r="B135" s="134" t="s">
        <v>1069</v>
      </c>
      <c r="C135" s="135">
        <v>29486558</v>
      </c>
      <c r="D135" s="136" t="s">
        <v>1054</v>
      </c>
      <c r="E135" s="137">
        <v>1572300</v>
      </c>
      <c r="F135" s="137">
        <v>684000</v>
      </c>
      <c r="G135" s="137">
        <v>888300</v>
      </c>
      <c r="H135" s="137">
        <v>0</v>
      </c>
      <c r="I135" s="135"/>
      <c r="J135" s="138">
        <v>0</v>
      </c>
      <c r="K135" s="133"/>
      <c r="L135" s="133">
        <v>701</v>
      </c>
      <c r="M135" s="139">
        <v>46055</v>
      </c>
      <c r="N135" s="140" t="s">
        <v>1071</v>
      </c>
      <c r="O135" s="134">
        <v>203</v>
      </c>
    </row>
    <row r="136" spans="1:15" x14ac:dyDescent="0.25">
      <c r="A136" s="133">
        <v>136</v>
      </c>
      <c r="B136" s="134" t="s">
        <v>1069</v>
      </c>
      <c r="C136" s="135">
        <v>29486558</v>
      </c>
      <c r="D136" s="136" t="s">
        <v>1054</v>
      </c>
      <c r="E136" s="137">
        <v>26000</v>
      </c>
      <c r="F136" s="137">
        <v>0</v>
      </c>
      <c r="G136" s="137">
        <v>26000</v>
      </c>
      <c r="H136" s="137">
        <v>0</v>
      </c>
      <c r="I136" s="135"/>
      <c r="J136" s="138">
        <v>0</v>
      </c>
      <c r="K136" s="133"/>
      <c r="L136" s="133">
        <v>701</v>
      </c>
      <c r="M136" s="139">
        <v>46055</v>
      </c>
      <c r="N136" s="140" t="s">
        <v>950</v>
      </c>
      <c r="O136" s="134">
        <v>206</v>
      </c>
    </row>
    <row r="137" spans="1:15" x14ac:dyDescent="0.25">
      <c r="A137" s="133">
        <v>137</v>
      </c>
      <c r="B137" s="134" t="s">
        <v>1069</v>
      </c>
      <c r="C137" s="135">
        <v>29486558</v>
      </c>
      <c r="D137" s="136" t="s">
        <v>1054</v>
      </c>
      <c r="E137" s="137">
        <v>1879600</v>
      </c>
      <c r="F137" s="137">
        <v>0</v>
      </c>
      <c r="G137" s="137">
        <v>1879600</v>
      </c>
      <c r="H137" s="137">
        <v>0</v>
      </c>
      <c r="I137" s="135"/>
      <c r="J137" s="138">
        <v>0</v>
      </c>
      <c r="K137" s="133"/>
      <c r="L137" s="133">
        <v>701</v>
      </c>
      <c r="M137" s="139">
        <v>46055</v>
      </c>
      <c r="N137" s="140" t="s">
        <v>950</v>
      </c>
      <c r="O137" s="134">
        <v>208</v>
      </c>
    </row>
    <row r="138" spans="1:15" x14ac:dyDescent="0.25">
      <c r="A138" s="133">
        <v>138</v>
      </c>
      <c r="B138" s="134" t="s">
        <v>1069</v>
      </c>
      <c r="C138" s="135">
        <v>29486558</v>
      </c>
      <c r="D138" s="136" t="s">
        <v>1054</v>
      </c>
      <c r="E138" s="137">
        <v>616300</v>
      </c>
      <c r="F138" s="137">
        <v>216700</v>
      </c>
      <c r="G138" s="137">
        <v>399600</v>
      </c>
      <c r="H138" s="137">
        <v>0</v>
      </c>
      <c r="I138" s="135"/>
      <c r="J138" s="138">
        <v>0</v>
      </c>
      <c r="K138" s="133"/>
      <c r="L138" s="133">
        <v>701</v>
      </c>
      <c r="M138" s="139">
        <v>46055</v>
      </c>
      <c r="N138" s="140" t="s">
        <v>1072</v>
      </c>
      <c r="O138" s="134">
        <v>223</v>
      </c>
    </row>
    <row r="139" spans="1:15" x14ac:dyDescent="0.25">
      <c r="A139" s="133">
        <v>139</v>
      </c>
      <c r="B139" s="134" t="s">
        <v>1069</v>
      </c>
      <c r="C139" s="135">
        <v>29486558</v>
      </c>
      <c r="D139" s="136" t="s">
        <v>1054</v>
      </c>
      <c r="E139" s="137">
        <v>8720400</v>
      </c>
      <c r="F139" s="137">
        <v>2940000</v>
      </c>
      <c r="G139" s="137">
        <v>5780400</v>
      </c>
      <c r="H139" s="137">
        <v>0</v>
      </c>
      <c r="I139" s="135"/>
      <c r="J139" s="138">
        <v>0</v>
      </c>
      <c r="K139" s="133"/>
      <c r="L139" s="133">
        <v>701</v>
      </c>
      <c r="M139" s="139">
        <v>46055</v>
      </c>
      <c r="N139" s="140" t="s">
        <v>1073</v>
      </c>
      <c r="O139" s="134">
        <v>623</v>
      </c>
    </row>
    <row r="140" spans="1:15" x14ac:dyDescent="0.25">
      <c r="A140" s="133">
        <v>140</v>
      </c>
      <c r="B140" s="134" t="s">
        <v>1069</v>
      </c>
      <c r="C140" s="135">
        <v>29486558</v>
      </c>
      <c r="D140" s="136" t="s">
        <v>1054</v>
      </c>
      <c r="E140" s="137">
        <v>123200</v>
      </c>
      <c r="F140" s="137">
        <v>0</v>
      </c>
      <c r="G140" s="137">
        <v>123200</v>
      </c>
      <c r="H140" s="137">
        <v>0</v>
      </c>
      <c r="I140" s="135"/>
      <c r="J140" s="138">
        <v>0</v>
      </c>
      <c r="K140" s="133"/>
      <c r="L140" s="133">
        <v>701</v>
      </c>
      <c r="M140" s="139">
        <v>46055</v>
      </c>
      <c r="N140" s="140" t="s">
        <v>950</v>
      </c>
      <c r="O140" s="134">
        <v>430</v>
      </c>
    </row>
    <row r="141" spans="1:15" x14ac:dyDescent="0.25">
      <c r="A141" s="133">
        <v>141</v>
      </c>
      <c r="B141" s="134" t="s">
        <v>1069</v>
      </c>
      <c r="C141" s="135">
        <v>29486558</v>
      </c>
      <c r="D141" s="136" t="s">
        <v>1054</v>
      </c>
      <c r="E141" s="137">
        <v>329800</v>
      </c>
      <c r="F141" s="137">
        <v>0</v>
      </c>
      <c r="G141" s="137">
        <v>329800</v>
      </c>
      <c r="H141" s="137">
        <v>0</v>
      </c>
      <c r="I141" s="135"/>
      <c r="J141" s="138">
        <v>0</v>
      </c>
      <c r="K141" s="133"/>
      <c r="L141" s="133">
        <v>701</v>
      </c>
      <c r="M141" s="139">
        <v>46055</v>
      </c>
      <c r="N141" s="140" t="s">
        <v>950</v>
      </c>
      <c r="O141" s="134">
        <v>105</v>
      </c>
    </row>
    <row r="142" spans="1:15" x14ac:dyDescent="0.25">
      <c r="A142" s="133">
        <v>142</v>
      </c>
      <c r="B142" s="134" t="s">
        <v>1074</v>
      </c>
      <c r="C142" s="135">
        <v>11351123</v>
      </c>
      <c r="D142" s="136" t="s">
        <v>1054</v>
      </c>
      <c r="E142" s="137">
        <v>190400</v>
      </c>
      <c r="F142" s="137">
        <v>0</v>
      </c>
      <c r="G142" s="137">
        <v>190400</v>
      </c>
      <c r="H142" s="137">
        <v>0</v>
      </c>
      <c r="I142" s="135"/>
      <c r="J142" s="138">
        <v>0</v>
      </c>
      <c r="K142" s="133"/>
      <c r="L142" s="133">
        <v>701</v>
      </c>
      <c r="M142" s="139">
        <v>46055</v>
      </c>
      <c r="N142" s="140" t="s">
        <v>950</v>
      </c>
      <c r="O142" s="134">
        <v>106</v>
      </c>
    </row>
    <row r="143" spans="1:15" x14ac:dyDescent="0.25">
      <c r="A143" s="133">
        <v>143</v>
      </c>
      <c r="B143" s="134" t="s">
        <v>1074</v>
      </c>
      <c r="C143" s="135">
        <v>11351123</v>
      </c>
      <c r="D143" s="136" t="s">
        <v>1054</v>
      </c>
      <c r="E143" s="137">
        <v>588847</v>
      </c>
      <c r="F143" s="137">
        <v>0</v>
      </c>
      <c r="G143" s="137">
        <v>588847</v>
      </c>
      <c r="H143" s="137">
        <v>0</v>
      </c>
      <c r="I143" s="135"/>
      <c r="J143" s="138">
        <v>0</v>
      </c>
      <c r="K143" s="133"/>
      <c r="L143" s="133">
        <v>701</v>
      </c>
      <c r="M143" s="139">
        <v>46055</v>
      </c>
      <c r="N143" s="140" t="s">
        <v>950</v>
      </c>
      <c r="O143" s="134">
        <v>120</v>
      </c>
    </row>
    <row r="144" spans="1:15" x14ac:dyDescent="0.25">
      <c r="A144" s="133">
        <v>144</v>
      </c>
      <c r="B144" s="134" t="s">
        <v>1074</v>
      </c>
      <c r="C144" s="135">
        <v>11351123</v>
      </c>
      <c r="D144" s="136" t="s">
        <v>1054</v>
      </c>
      <c r="E144" s="137">
        <v>664100</v>
      </c>
      <c r="F144" s="137">
        <v>308000</v>
      </c>
      <c r="G144" s="137">
        <v>356100</v>
      </c>
      <c r="H144" s="137">
        <v>0</v>
      </c>
      <c r="I144" s="135"/>
      <c r="J144" s="138">
        <v>0</v>
      </c>
      <c r="K144" s="133"/>
      <c r="L144" s="133">
        <v>701</v>
      </c>
      <c r="M144" s="139">
        <v>46055</v>
      </c>
      <c r="N144" s="140" t="s">
        <v>1075</v>
      </c>
      <c r="O144" s="134">
        <v>201</v>
      </c>
    </row>
    <row r="145" spans="1:15" x14ac:dyDescent="0.25">
      <c r="A145" s="133">
        <v>145</v>
      </c>
      <c r="B145" s="134" t="s">
        <v>1074</v>
      </c>
      <c r="C145" s="135">
        <v>11351123</v>
      </c>
      <c r="D145" s="136" t="s">
        <v>1054</v>
      </c>
      <c r="E145" s="137">
        <v>153100</v>
      </c>
      <c r="F145" s="137">
        <v>0</v>
      </c>
      <c r="G145" s="137">
        <v>153100</v>
      </c>
      <c r="H145" s="137">
        <v>0</v>
      </c>
      <c r="I145" s="135"/>
      <c r="J145" s="138">
        <v>0</v>
      </c>
      <c r="K145" s="133"/>
      <c r="L145" s="133">
        <v>701</v>
      </c>
      <c r="M145" s="139">
        <v>46055</v>
      </c>
      <c r="N145" s="140" t="s">
        <v>950</v>
      </c>
      <c r="O145" s="134">
        <v>202</v>
      </c>
    </row>
    <row r="146" spans="1:15" x14ac:dyDescent="0.25">
      <c r="A146" s="133">
        <v>146</v>
      </c>
      <c r="B146" s="134" t="s">
        <v>1074</v>
      </c>
      <c r="C146" s="135">
        <v>11351123</v>
      </c>
      <c r="D146" s="136" t="s">
        <v>1054</v>
      </c>
      <c r="E146" s="137">
        <v>93700</v>
      </c>
      <c r="F146" s="137">
        <v>0</v>
      </c>
      <c r="G146" s="137">
        <v>93700</v>
      </c>
      <c r="H146" s="137">
        <v>0</v>
      </c>
      <c r="I146" s="135"/>
      <c r="J146" s="138">
        <v>0</v>
      </c>
      <c r="K146" s="133"/>
      <c r="L146" s="133">
        <v>701</v>
      </c>
      <c r="M146" s="139">
        <v>46055</v>
      </c>
      <c r="N146" s="140" t="s">
        <v>950</v>
      </c>
      <c r="O146" s="134">
        <v>208</v>
      </c>
    </row>
    <row r="147" spans="1:15" x14ac:dyDescent="0.25">
      <c r="A147" s="133">
        <v>147</v>
      </c>
      <c r="B147" s="134" t="s">
        <v>1074</v>
      </c>
      <c r="C147" s="135">
        <v>11351123</v>
      </c>
      <c r="D147" s="136" t="s">
        <v>1054</v>
      </c>
      <c r="E147" s="137">
        <v>142200</v>
      </c>
      <c r="F147" s="137">
        <v>0</v>
      </c>
      <c r="G147" s="137">
        <v>142200</v>
      </c>
      <c r="H147" s="137">
        <v>0</v>
      </c>
      <c r="I147" s="135"/>
      <c r="J147" s="138">
        <v>0</v>
      </c>
      <c r="K147" s="133"/>
      <c r="L147" s="133">
        <v>701</v>
      </c>
      <c r="M147" s="139">
        <v>46055</v>
      </c>
      <c r="N147" s="140" t="s">
        <v>950</v>
      </c>
      <c r="O147" s="134">
        <v>223</v>
      </c>
    </row>
    <row r="148" spans="1:15" x14ac:dyDescent="0.25">
      <c r="A148" s="133">
        <v>148</v>
      </c>
      <c r="B148" s="134" t="s">
        <v>1076</v>
      </c>
      <c r="C148" s="135">
        <v>6447901</v>
      </c>
      <c r="D148" s="136" t="s">
        <v>1054</v>
      </c>
      <c r="E148" s="137">
        <v>38300</v>
      </c>
      <c r="F148" s="137">
        <v>0</v>
      </c>
      <c r="G148" s="137">
        <v>38300</v>
      </c>
      <c r="H148" s="137">
        <v>0</v>
      </c>
      <c r="I148" s="135"/>
      <c r="J148" s="138">
        <v>0</v>
      </c>
      <c r="K148" s="133"/>
      <c r="L148" s="133">
        <v>701</v>
      </c>
      <c r="M148" s="139">
        <v>46055</v>
      </c>
      <c r="N148" s="140" t="s">
        <v>950</v>
      </c>
      <c r="O148" s="134">
        <v>201</v>
      </c>
    </row>
    <row r="149" spans="1:15" x14ac:dyDescent="0.25">
      <c r="A149" s="133">
        <v>149</v>
      </c>
      <c r="B149" s="134" t="s">
        <v>1076</v>
      </c>
      <c r="C149" s="135">
        <v>6447901</v>
      </c>
      <c r="D149" s="136" t="s">
        <v>1054</v>
      </c>
      <c r="E149" s="137">
        <v>45400</v>
      </c>
      <c r="F149" s="137">
        <v>0</v>
      </c>
      <c r="G149" s="137">
        <v>45400</v>
      </c>
      <c r="H149" s="137">
        <v>0</v>
      </c>
      <c r="I149" s="135"/>
      <c r="J149" s="138">
        <v>0</v>
      </c>
      <c r="K149" s="133"/>
      <c r="L149" s="133">
        <v>701</v>
      </c>
      <c r="M149" s="139">
        <v>46055</v>
      </c>
      <c r="N149" s="140" t="s">
        <v>950</v>
      </c>
      <c r="O149" s="134">
        <v>203</v>
      </c>
    </row>
    <row r="150" spans="1:15" x14ac:dyDescent="0.25">
      <c r="A150" s="133">
        <v>150</v>
      </c>
      <c r="B150" s="134" t="s">
        <v>1076</v>
      </c>
      <c r="C150" s="135">
        <v>6447901</v>
      </c>
      <c r="D150" s="136" t="s">
        <v>1054</v>
      </c>
      <c r="E150" s="137">
        <v>46900</v>
      </c>
      <c r="F150" s="137">
        <v>0</v>
      </c>
      <c r="G150" s="137">
        <v>46900</v>
      </c>
      <c r="H150" s="137">
        <v>0</v>
      </c>
      <c r="I150" s="135"/>
      <c r="J150" s="138">
        <v>0</v>
      </c>
      <c r="K150" s="133"/>
      <c r="L150" s="133">
        <v>701</v>
      </c>
      <c r="M150" s="139">
        <v>46055</v>
      </c>
      <c r="N150" s="140" t="s">
        <v>950</v>
      </c>
      <c r="O150" s="134">
        <v>205</v>
      </c>
    </row>
    <row r="151" spans="1:15" x14ac:dyDescent="0.25">
      <c r="A151" s="133">
        <v>151</v>
      </c>
      <c r="B151" s="134" t="s">
        <v>1076</v>
      </c>
      <c r="C151" s="135">
        <v>6447901</v>
      </c>
      <c r="D151" s="136" t="s">
        <v>1054</v>
      </c>
      <c r="E151" s="137">
        <v>26000</v>
      </c>
      <c r="F151" s="137">
        <v>0</v>
      </c>
      <c r="G151" s="137">
        <v>26000</v>
      </c>
      <c r="H151" s="137">
        <v>0</v>
      </c>
      <c r="I151" s="135"/>
      <c r="J151" s="138">
        <v>0</v>
      </c>
      <c r="K151" s="133"/>
      <c r="L151" s="133">
        <v>701</v>
      </c>
      <c r="M151" s="139">
        <v>46055</v>
      </c>
      <c r="N151" s="140" t="s">
        <v>950</v>
      </c>
      <c r="O151" s="134">
        <v>206</v>
      </c>
    </row>
    <row r="152" spans="1:15" x14ac:dyDescent="0.25">
      <c r="A152" s="133">
        <v>152</v>
      </c>
      <c r="B152" s="134" t="s">
        <v>1076</v>
      </c>
      <c r="C152" s="135">
        <v>6447901</v>
      </c>
      <c r="D152" s="136" t="s">
        <v>1054</v>
      </c>
      <c r="E152" s="137">
        <v>5254301</v>
      </c>
      <c r="F152" s="137">
        <v>1207840</v>
      </c>
      <c r="G152" s="137">
        <v>4046461</v>
      </c>
      <c r="H152" s="137">
        <v>0</v>
      </c>
      <c r="I152" s="135"/>
      <c r="J152" s="138">
        <v>0</v>
      </c>
      <c r="K152" s="133"/>
      <c r="L152" s="133">
        <v>701</v>
      </c>
      <c r="M152" s="139">
        <v>46055</v>
      </c>
      <c r="N152" s="140" t="s">
        <v>1077</v>
      </c>
      <c r="O152" s="134">
        <v>406</v>
      </c>
    </row>
    <row r="153" spans="1:15" x14ac:dyDescent="0.25">
      <c r="A153" s="133">
        <v>153</v>
      </c>
      <c r="B153" s="134" t="s">
        <v>1078</v>
      </c>
      <c r="C153" s="135">
        <v>16695709</v>
      </c>
      <c r="D153" s="136" t="s">
        <v>1054</v>
      </c>
      <c r="E153" s="137">
        <v>212756</v>
      </c>
      <c r="F153" s="137">
        <v>0</v>
      </c>
      <c r="G153" s="137">
        <v>212756</v>
      </c>
      <c r="H153" s="137">
        <v>0</v>
      </c>
      <c r="I153" s="135"/>
      <c r="J153" s="138">
        <v>0</v>
      </c>
      <c r="K153" s="133"/>
      <c r="L153" s="133">
        <v>701</v>
      </c>
      <c r="M153" s="139">
        <v>46055</v>
      </c>
      <c r="N153" s="140" t="s">
        <v>950</v>
      </c>
      <c r="O153" s="134">
        <v>106</v>
      </c>
    </row>
    <row r="154" spans="1:15" x14ac:dyDescent="0.25">
      <c r="A154" s="133">
        <v>154</v>
      </c>
      <c r="B154" s="134" t="s">
        <v>1078</v>
      </c>
      <c r="C154" s="135">
        <v>16695709</v>
      </c>
      <c r="D154" s="136" t="s">
        <v>1054</v>
      </c>
      <c r="E154" s="137">
        <v>598000</v>
      </c>
      <c r="F154" s="137">
        <v>0</v>
      </c>
      <c r="G154" s="137">
        <v>598000</v>
      </c>
      <c r="H154" s="137">
        <v>0</v>
      </c>
      <c r="I154" s="135"/>
      <c r="J154" s="138">
        <v>0</v>
      </c>
      <c r="K154" s="133"/>
      <c r="L154" s="133">
        <v>701</v>
      </c>
      <c r="M154" s="139">
        <v>46055</v>
      </c>
      <c r="N154" s="140" t="s">
        <v>950</v>
      </c>
      <c r="O154" s="134">
        <v>201</v>
      </c>
    </row>
    <row r="155" spans="1:15" x14ac:dyDescent="0.25">
      <c r="A155" s="133">
        <v>155</v>
      </c>
      <c r="B155" s="134" t="s">
        <v>1078</v>
      </c>
      <c r="C155" s="135">
        <v>16695709</v>
      </c>
      <c r="D155" s="136" t="s">
        <v>1054</v>
      </c>
      <c r="E155" s="137">
        <v>5300</v>
      </c>
      <c r="F155" s="137">
        <v>0</v>
      </c>
      <c r="G155" s="137">
        <v>5300</v>
      </c>
      <c r="H155" s="137">
        <v>0</v>
      </c>
      <c r="I155" s="135"/>
      <c r="J155" s="138">
        <v>0</v>
      </c>
      <c r="K155" s="133"/>
      <c r="L155" s="133">
        <v>701</v>
      </c>
      <c r="M155" s="139">
        <v>46055</v>
      </c>
      <c r="N155" s="140" t="s">
        <v>950</v>
      </c>
      <c r="O155" s="134">
        <v>202</v>
      </c>
    </row>
    <row r="156" spans="1:15" x14ac:dyDescent="0.25">
      <c r="A156" s="133">
        <v>156</v>
      </c>
      <c r="B156" s="134" t="s">
        <v>1078</v>
      </c>
      <c r="C156" s="135">
        <v>16695709</v>
      </c>
      <c r="D156" s="136" t="s">
        <v>1054</v>
      </c>
      <c r="E156" s="137">
        <v>1066800</v>
      </c>
      <c r="F156" s="137">
        <v>288700</v>
      </c>
      <c r="G156" s="137">
        <v>778100</v>
      </c>
      <c r="H156" s="137">
        <v>0</v>
      </c>
      <c r="I156" s="135"/>
      <c r="J156" s="138">
        <v>0</v>
      </c>
      <c r="K156" s="133"/>
      <c r="L156" s="133">
        <v>701</v>
      </c>
      <c r="M156" s="139">
        <v>46055</v>
      </c>
      <c r="N156" s="140" t="s">
        <v>1079</v>
      </c>
      <c r="O156" s="134">
        <v>208</v>
      </c>
    </row>
    <row r="157" spans="1:15" x14ac:dyDescent="0.25">
      <c r="A157" s="133">
        <v>157</v>
      </c>
      <c r="B157" s="134" t="s">
        <v>1080</v>
      </c>
      <c r="C157" s="135">
        <v>1801840</v>
      </c>
      <c r="D157" s="136" t="s">
        <v>1054</v>
      </c>
      <c r="E157" s="137">
        <v>18700</v>
      </c>
      <c r="F157" s="137">
        <v>0</v>
      </c>
      <c r="G157" s="137">
        <v>18700</v>
      </c>
      <c r="H157" s="137">
        <v>0</v>
      </c>
      <c r="I157" s="135"/>
      <c r="J157" s="138">
        <v>0</v>
      </c>
      <c r="K157" s="133"/>
      <c r="L157" s="133">
        <v>701</v>
      </c>
      <c r="M157" s="139">
        <v>46055</v>
      </c>
      <c r="N157" s="140" t="s">
        <v>950</v>
      </c>
      <c r="O157" s="134">
        <v>108</v>
      </c>
    </row>
    <row r="158" spans="1:15" x14ac:dyDescent="0.25">
      <c r="A158" s="133">
        <v>158</v>
      </c>
      <c r="B158" s="134" t="s">
        <v>1080</v>
      </c>
      <c r="C158" s="135">
        <v>1801840</v>
      </c>
      <c r="D158" s="136" t="s">
        <v>1054</v>
      </c>
      <c r="E158" s="137">
        <v>41200</v>
      </c>
      <c r="F158" s="137">
        <v>0</v>
      </c>
      <c r="G158" s="137">
        <v>41200</v>
      </c>
      <c r="H158" s="137">
        <v>0</v>
      </c>
      <c r="I158" s="135"/>
      <c r="J158" s="138">
        <v>0</v>
      </c>
      <c r="K158" s="133"/>
      <c r="L158" s="133">
        <v>701</v>
      </c>
      <c r="M158" s="139">
        <v>46055</v>
      </c>
      <c r="N158" s="140" t="s">
        <v>950</v>
      </c>
      <c r="O158" s="134">
        <v>208</v>
      </c>
    </row>
    <row r="159" spans="1:15" x14ac:dyDescent="0.25">
      <c r="A159" s="133">
        <v>159</v>
      </c>
      <c r="B159" s="134" t="s">
        <v>1081</v>
      </c>
      <c r="C159" s="135">
        <v>6161695</v>
      </c>
      <c r="D159" s="136" t="s">
        <v>1054</v>
      </c>
      <c r="E159" s="137">
        <v>6400</v>
      </c>
      <c r="F159" s="137">
        <v>0</v>
      </c>
      <c r="G159" s="137">
        <v>6400</v>
      </c>
      <c r="H159" s="137">
        <v>0</v>
      </c>
      <c r="I159" s="135"/>
      <c r="J159" s="138">
        <v>0</v>
      </c>
      <c r="K159" s="133"/>
      <c r="L159" s="133">
        <v>701</v>
      </c>
      <c r="M159" s="139">
        <v>46055</v>
      </c>
      <c r="N159" s="140" t="s">
        <v>950</v>
      </c>
      <c r="O159" s="134">
        <v>106</v>
      </c>
    </row>
    <row r="160" spans="1:15" x14ac:dyDescent="0.25">
      <c r="A160" s="133">
        <v>160</v>
      </c>
      <c r="B160" s="134" t="s">
        <v>1081</v>
      </c>
      <c r="C160" s="135">
        <v>6161695</v>
      </c>
      <c r="D160" s="136" t="s">
        <v>1054</v>
      </c>
      <c r="E160" s="137">
        <v>76600</v>
      </c>
      <c r="F160" s="137">
        <v>0</v>
      </c>
      <c r="G160" s="137">
        <v>76600</v>
      </c>
      <c r="H160" s="137">
        <v>0</v>
      </c>
      <c r="I160" s="135"/>
      <c r="J160" s="138">
        <v>0</v>
      </c>
      <c r="K160" s="133"/>
      <c r="L160" s="133">
        <v>701</v>
      </c>
      <c r="M160" s="139">
        <v>46055</v>
      </c>
      <c r="N160" s="140" t="s">
        <v>950</v>
      </c>
      <c r="O160" s="134">
        <v>201</v>
      </c>
    </row>
    <row r="161" spans="1:15" x14ac:dyDescent="0.25">
      <c r="A161" s="133">
        <v>161</v>
      </c>
      <c r="B161" s="134" t="s">
        <v>1081</v>
      </c>
      <c r="C161" s="135">
        <v>6161695</v>
      </c>
      <c r="D161" s="136" t="s">
        <v>1054</v>
      </c>
      <c r="E161" s="137">
        <v>54200</v>
      </c>
      <c r="F161" s="137">
        <v>0</v>
      </c>
      <c r="G161" s="137">
        <v>54200</v>
      </c>
      <c r="H161" s="137">
        <v>0</v>
      </c>
      <c r="I161" s="135"/>
      <c r="J161" s="138">
        <v>0</v>
      </c>
      <c r="K161" s="133"/>
      <c r="L161" s="133">
        <v>701</v>
      </c>
      <c r="M161" s="139">
        <v>46055</v>
      </c>
      <c r="N161" s="140" t="s">
        <v>950</v>
      </c>
      <c r="O161" s="134">
        <v>202</v>
      </c>
    </row>
    <row r="162" spans="1:15" x14ac:dyDescent="0.25">
      <c r="A162" s="133">
        <v>162</v>
      </c>
      <c r="B162" s="134" t="s">
        <v>1081</v>
      </c>
      <c r="C162" s="135">
        <v>6161695</v>
      </c>
      <c r="D162" s="136" t="s">
        <v>1054</v>
      </c>
      <c r="E162" s="137">
        <v>1596100</v>
      </c>
      <c r="F162" s="137">
        <v>0</v>
      </c>
      <c r="G162" s="137">
        <v>1596100</v>
      </c>
      <c r="H162" s="137">
        <v>0</v>
      </c>
      <c r="I162" s="135"/>
      <c r="J162" s="138">
        <v>0</v>
      </c>
      <c r="K162" s="133"/>
      <c r="L162" s="133">
        <v>701</v>
      </c>
      <c r="M162" s="139">
        <v>46055</v>
      </c>
      <c r="N162" s="140" t="s">
        <v>950</v>
      </c>
      <c r="O162" s="134">
        <v>203</v>
      </c>
    </row>
    <row r="163" spans="1:15" x14ac:dyDescent="0.25">
      <c r="A163" s="133">
        <v>163</v>
      </c>
      <c r="B163" s="134" t="s">
        <v>1081</v>
      </c>
      <c r="C163" s="135">
        <v>6161695</v>
      </c>
      <c r="D163" s="136" t="s">
        <v>1054</v>
      </c>
      <c r="E163" s="137">
        <v>318400</v>
      </c>
      <c r="F163" s="137">
        <v>0</v>
      </c>
      <c r="G163" s="137">
        <v>318400</v>
      </c>
      <c r="H163" s="137">
        <v>0</v>
      </c>
      <c r="I163" s="135"/>
      <c r="J163" s="138">
        <v>0</v>
      </c>
      <c r="K163" s="133"/>
      <c r="L163" s="133">
        <v>701</v>
      </c>
      <c r="M163" s="139">
        <v>46055</v>
      </c>
      <c r="N163" s="140" t="s">
        <v>950</v>
      </c>
      <c r="O163" s="134">
        <v>205</v>
      </c>
    </row>
    <row r="164" spans="1:15" x14ac:dyDescent="0.25">
      <c r="A164" s="133">
        <v>164</v>
      </c>
      <c r="B164" s="134" t="s">
        <v>1081</v>
      </c>
      <c r="C164" s="135">
        <v>6161695</v>
      </c>
      <c r="D164" s="136" t="s">
        <v>1054</v>
      </c>
      <c r="E164" s="137">
        <v>96100</v>
      </c>
      <c r="F164" s="137">
        <v>0</v>
      </c>
      <c r="G164" s="137">
        <v>96100</v>
      </c>
      <c r="H164" s="137">
        <v>0</v>
      </c>
      <c r="I164" s="135"/>
      <c r="J164" s="138">
        <v>0</v>
      </c>
      <c r="K164" s="133"/>
      <c r="L164" s="133">
        <v>701</v>
      </c>
      <c r="M164" s="139">
        <v>46055</v>
      </c>
      <c r="N164" s="140" t="s">
        <v>950</v>
      </c>
      <c r="O164" s="134">
        <v>206</v>
      </c>
    </row>
    <row r="165" spans="1:15" x14ac:dyDescent="0.25">
      <c r="A165" s="133">
        <v>165</v>
      </c>
      <c r="B165" s="134" t="s">
        <v>1081</v>
      </c>
      <c r="C165" s="135">
        <v>6161695</v>
      </c>
      <c r="D165" s="136" t="s">
        <v>1054</v>
      </c>
      <c r="E165" s="137">
        <v>56900</v>
      </c>
      <c r="F165" s="137">
        <v>0</v>
      </c>
      <c r="G165" s="137">
        <v>56900</v>
      </c>
      <c r="H165" s="137">
        <v>0</v>
      </c>
      <c r="I165" s="135"/>
      <c r="J165" s="138">
        <v>0</v>
      </c>
      <c r="K165" s="133"/>
      <c r="L165" s="133">
        <v>701</v>
      </c>
      <c r="M165" s="139">
        <v>46055</v>
      </c>
      <c r="N165" s="140" t="s">
        <v>950</v>
      </c>
      <c r="O165" s="134">
        <v>208</v>
      </c>
    </row>
    <row r="166" spans="1:15" x14ac:dyDescent="0.25">
      <c r="A166" s="133">
        <v>166</v>
      </c>
      <c r="B166" s="134" t="s">
        <v>1082</v>
      </c>
      <c r="C166" s="135">
        <v>2378715</v>
      </c>
      <c r="D166" s="136" t="s">
        <v>1054</v>
      </c>
      <c r="E166" s="137">
        <v>298530</v>
      </c>
      <c r="F166" s="137">
        <v>0</v>
      </c>
      <c r="G166" s="137">
        <v>298530</v>
      </c>
      <c r="H166" s="137">
        <v>0</v>
      </c>
      <c r="I166" s="135"/>
      <c r="J166" s="138">
        <v>0</v>
      </c>
      <c r="K166" s="133"/>
      <c r="L166" s="133">
        <v>701</v>
      </c>
      <c r="M166" s="139">
        <v>46055</v>
      </c>
      <c r="N166" s="140" t="s">
        <v>950</v>
      </c>
      <c r="O166" s="134">
        <v>111</v>
      </c>
    </row>
    <row r="167" spans="1:15" x14ac:dyDescent="0.25">
      <c r="A167" s="133">
        <v>167</v>
      </c>
      <c r="B167" s="134" t="s">
        <v>1082</v>
      </c>
      <c r="C167" s="135">
        <v>2378715</v>
      </c>
      <c r="D167" s="136" t="s">
        <v>1054</v>
      </c>
      <c r="E167" s="137">
        <v>273552</v>
      </c>
      <c r="F167" s="137">
        <v>0</v>
      </c>
      <c r="G167" s="137">
        <v>273552</v>
      </c>
      <c r="H167" s="137">
        <v>0</v>
      </c>
      <c r="I167" s="135"/>
      <c r="J167" s="138">
        <v>0</v>
      </c>
      <c r="K167" s="133"/>
      <c r="L167" s="133">
        <v>701</v>
      </c>
      <c r="M167" s="139">
        <v>46055</v>
      </c>
      <c r="N167" s="140" t="s">
        <v>950</v>
      </c>
      <c r="O167" s="134">
        <v>120</v>
      </c>
    </row>
    <row r="168" spans="1:15" x14ac:dyDescent="0.25">
      <c r="A168" s="133">
        <v>168</v>
      </c>
      <c r="B168" s="134" t="s">
        <v>1082</v>
      </c>
      <c r="C168" s="135">
        <v>2378715</v>
      </c>
      <c r="D168" s="136" t="s">
        <v>1054</v>
      </c>
      <c r="E168" s="137">
        <v>38000</v>
      </c>
      <c r="F168" s="137">
        <v>0</v>
      </c>
      <c r="G168" s="137">
        <v>38000</v>
      </c>
      <c r="H168" s="137">
        <v>0</v>
      </c>
      <c r="I168" s="135"/>
      <c r="J168" s="138">
        <v>0</v>
      </c>
      <c r="K168" s="133"/>
      <c r="L168" s="133">
        <v>701</v>
      </c>
      <c r="M168" s="139">
        <v>46055</v>
      </c>
      <c r="N168" s="140" t="s">
        <v>950</v>
      </c>
      <c r="O168" s="134">
        <v>201</v>
      </c>
    </row>
    <row r="169" spans="1:15" x14ac:dyDescent="0.25">
      <c r="A169" s="133">
        <v>169</v>
      </c>
      <c r="B169" s="134" t="s">
        <v>1082</v>
      </c>
      <c r="C169" s="135">
        <v>2378715</v>
      </c>
      <c r="D169" s="136" t="s">
        <v>1054</v>
      </c>
      <c r="E169" s="137">
        <v>87400</v>
      </c>
      <c r="F169" s="137">
        <v>0</v>
      </c>
      <c r="G169" s="137">
        <v>87400</v>
      </c>
      <c r="H169" s="137">
        <v>0</v>
      </c>
      <c r="I169" s="135"/>
      <c r="J169" s="138">
        <v>0</v>
      </c>
      <c r="K169" s="133"/>
      <c r="L169" s="133">
        <v>701</v>
      </c>
      <c r="M169" s="139">
        <v>46055</v>
      </c>
      <c r="N169" s="140" t="s">
        <v>950</v>
      </c>
      <c r="O169" s="134">
        <v>203</v>
      </c>
    </row>
    <row r="170" spans="1:15" x14ac:dyDescent="0.25">
      <c r="A170" s="133">
        <v>170</v>
      </c>
      <c r="B170" s="134" t="s">
        <v>1082</v>
      </c>
      <c r="C170" s="135">
        <v>2378715</v>
      </c>
      <c r="D170" s="136" t="s">
        <v>1054</v>
      </c>
      <c r="E170" s="137">
        <v>92800</v>
      </c>
      <c r="F170" s="137">
        <v>0</v>
      </c>
      <c r="G170" s="137">
        <v>92800</v>
      </c>
      <c r="H170" s="137">
        <v>0</v>
      </c>
      <c r="I170" s="135"/>
      <c r="J170" s="138">
        <v>0</v>
      </c>
      <c r="K170" s="133"/>
      <c r="L170" s="133">
        <v>701</v>
      </c>
      <c r="M170" s="139">
        <v>46055</v>
      </c>
      <c r="N170" s="140" t="s">
        <v>950</v>
      </c>
      <c r="O170" s="134">
        <v>205</v>
      </c>
    </row>
    <row r="171" spans="1:15" x14ac:dyDescent="0.25">
      <c r="A171" s="133">
        <v>171</v>
      </c>
      <c r="B171" s="134" t="s">
        <v>1082</v>
      </c>
      <c r="C171" s="135">
        <v>2378715</v>
      </c>
      <c r="D171" s="136" t="s">
        <v>1054</v>
      </c>
      <c r="E171" s="137">
        <v>26000</v>
      </c>
      <c r="F171" s="137">
        <v>0</v>
      </c>
      <c r="G171" s="137">
        <v>26000</v>
      </c>
      <c r="H171" s="137">
        <v>0</v>
      </c>
      <c r="I171" s="135"/>
      <c r="J171" s="138">
        <v>0</v>
      </c>
      <c r="K171" s="133"/>
      <c r="L171" s="133">
        <v>701</v>
      </c>
      <c r="M171" s="139">
        <v>46055</v>
      </c>
      <c r="N171" s="140" t="s">
        <v>950</v>
      </c>
      <c r="O171" s="134">
        <v>206</v>
      </c>
    </row>
    <row r="172" spans="1:15" x14ac:dyDescent="0.25">
      <c r="A172" s="133">
        <v>172</v>
      </c>
      <c r="B172" s="134" t="s">
        <v>1083</v>
      </c>
      <c r="C172" s="135">
        <v>1367091</v>
      </c>
      <c r="D172" s="136" t="s">
        <v>1054</v>
      </c>
      <c r="E172" s="137">
        <v>76600</v>
      </c>
      <c r="F172" s="137">
        <v>0</v>
      </c>
      <c r="G172" s="137">
        <v>76600</v>
      </c>
      <c r="H172" s="137">
        <v>0</v>
      </c>
      <c r="I172" s="135"/>
      <c r="J172" s="138">
        <v>0</v>
      </c>
      <c r="K172" s="133"/>
      <c r="L172" s="133">
        <v>701</v>
      </c>
      <c r="M172" s="139">
        <v>46055</v>
      </c>
      <c r="N172" s="140" t="s">
        <v>950</v>
      </c>
      <c r="O172" s="134">
        <v>201</v>
      </c>
    </row>
    <row r="173" spans="1:15" x14ac:dyDescent="0.25">
      <c r="A173" s="133">
        <v>173</v>
      </c>
      <c r="B173" s="134" t="s">
        <v>1083</v>
      </c>
      <c r="C173" s="135">
        <v>1367091</v>
      </c>
      <c r="D173" s="136" t="s">
        <v>1054</v>
      </c>
      <c r="E173" s="137">
        <v>15400</v>
      </c>
      <c r="F173" s="137">
        <v>0</v>
      </c>
      <c r="G173" s="137">
        <v>15400</v>
      </c>
      <c r="H173" s="137">
        <v>0</v>
      </c>
      <c r="I173" s="135"/>
      <c r="J173" s="138">
        <v>0</v>
      </c>
      <c r="K173" s="133"/>
      <c r="L173" s="133">
        <v>701</v>
      </c>
      <c r="M173" s="139">
        <v>46055</v>
      </c>
      <c r="N173" s="140" t="s">
        <v>950</v>
      </c>
      <c r="O173" s="134">
        <v>208</v>
      </c>
    </row>
    <row r="174" spans="1:15" x14ac:dyDescent="0.25">
      <c r="A174" s="133">
        <v>174</v>
      </c>
      <c r="B174" s="134" t="s">
        <v>1084</v>
      </c>
      <c r="C174" s="135">
        <v>24630044</v>
      </c>
      <c r="D174" s="136" t="s">
        <v>1054</v>
      </c>
      <c r="E174" s="137">
        <v>191500</v>
      </c>
      <c r="F174" s="137">
        <v>0</v>
      </c>
      <c r="G174" s="137">
        <v>191500</v>
      </c>
      <c r="H174" s="137">
        <v>0</v>
      </c>
      <c r="I174" s="135"/>
      <c r="J174" s="138">
        <v>0</v>
      </c>
      <c r="K174" s="133"/>
      <c r="L174" s="133">
        <v>701</v>
      </c>
      <c r="M174" s="139">
        <v>46055</v>
      </c>
      <c r="N174" s="140" t="s">
        <v>950</v>
      </c>
      <c r="O174" s="134">
        <v>201</v>
      </c>
    </row>
    <row r="175" spans="1:15" x14ac:dyDescent="0.25">
      <c r="A175" s="133">
        <v>175</v>
      </c>
      <c r="B175" s="134" t="s">
        <v>1084</v>
      </c>
      <c r="C175" s="135">
        <v>24630044</v>
      </c>
      <c r="D175" s="136" t="s">
        <v>1054</v>
      </c>
      <c r="E175" s="137">
        <v>2013100</v>
      </c>
      <c r="F175" s="137">
        <v>984000</v>
      </c>
      <c r="G175" s="137">
        <v>1029100</v>
      </c>
      <c r="H175" s="137">
        <v>0</v>
      </c>
      <c r="I175" s="135"/>
      <c r="J175" s="138">
        <v>0</v>
      </c>
      <c r="K175" s="133"/>
      <c r="L175" s="133">
        <v>701</v>
      </c>
      <c r="M175" s="139">
        <v>46055</v>
      </c>
      <c r="N175" s="140" t="s">
        <v>1085</v>
      </c>
      <c r="O175" s="134">
        <v>203</v>
      </c>
    </row>
    <row r="176" spans="1:15" x14ac:dyDescent="0.25">
      <c r="A176" s="133">
        <v>176</v>
      </c>
      <c r="B176" s="134" t="s">
        <v>1084</v>
      </c>
      <c r="C176" s="135">
        <v>24630044</v>
      </c>
      <c r="D176" s="136" t="s">
        <v>1054</v>
      </c>
      <c r="E176" s="137">
        <v>193100</v>
      </c>
      <c r="F176" s="137">
        <v>193100</v>
      </c>
      <c r="G176" s="137">
        <v>0</v>
      </c>
      <c r="H176" s="137">
        <v>0</v>
      </c>
      <c r="I176" s="135"/>
      <c r="J176" s="138">
        <v>0</v>
      </c>
      <c r="K176" s="133"/>
      <c r="L176" s="133">
        <v>701</v>
      </c>
      <c r="M176" s="139">
        <v>46055</v>
      </c>
      <c r="N176" s="140" t="s">
        <v>1086</v>
      </c>
      <c r="O176" s="134">
        <v>205</v>
      </c>
    </row>
    <row r="177" spans="1:15" x14ac:dyDescent="0.25">
      <c r="A177" s="133">
        <v>177</v>
      </c>
      <c r="B177" s="134" t="s">
        <v>1084</v>
      </c>
      <c r="C177" s="135">
        <v>24630044</v>
      </c>
      <c r="D177" s="136" t="s">
        <v>1054</v>
      </c>
      <c r="E177" s="137">
        <v>96300</v>
      </c>
      <c r="F177" s="137">
        <v>96300</v>
      </c>
      <c r="G177" s="137">
        <v>0</v>
      </c>
      <c r="H177" s="137">
        <v>0</v>
      </c>
      <c r="I177" s="135"/>
      <c r="J177" s="138">
        <v>0</v>
      </c>
      <c r="K177" s="133"/>
      <c r="L177" s="133">
        <v>701</v>
      </c>
      <c r="M177" s="139">
        <v>46055</v>
      </c>
      <c r="N177" s="140" t="s">
        <v>1087</v>
      </c>
      <c r="O177" s="134">
        <v>206</v>
      </c>
    </row>
    <row r="178" spans="1:15" x14ac:dyDescent="0.25">
      <c r="A178" s="133">
        <v>178</v>
      </c>
      <c r="B178" s="134" t="s">
        <v>1084</v>
      </c>
      <c r="C178" s="135">
        <v>24630044</v>
      </c>
      <c r="D178" s="136" t="s">
        <v>1054</v>
      </c>
      <c r="E178" s="137">
        <v>2474100</v>
      </c>
      <c r="F178" s="137">
        <v>0</v>
      </c>
      <c r="G178" s="137">
        <v>2474100</v>
      </c>
      <c r="H178" s="137">
        <v>0</v>
      </c>
      <c r="I178" s="135"/>
      <c r="J178" s="138">
        <v>0</v>
      </c>
      <c r="K178" s="133"/>
      <c r="L178" s="133">
        <v>701</v>
      </c>
      <c r="M178" s="139">
        <v>46055</v>
      </c>
      <c r="N178" s="140" t="s">
        <v>950</v>
      </c>
      <c r="O178" s="134">
        <v>430</v>
      </c>
    </row>
    <row r="179" spans="1:15" x14ac:dyDescent="0.25">
      <c r="A179" s="133">
        <v>179</v>
      </c>
      <c r="B179" s="134" t="s">
        <v>1088</v>
      </c>
      <c r="C179" s="135">
        <v>45060381</v>
      </c>
      <c r="D179" s="136" t="s">
        <v>1054</v>
      </c>
      <c r="E179" s="137">
        <v>558700</v>
      </c>
      <c r="F179" s="137">
        <v>362300</v>
      </c>
      <c r="G179" s="137">
        <v>196400</v>
      </c>
      <c r="H179" s="137">
        <v>0</v>
      </c>
      <c r="I179" s="135"/>
      <c r="J179" s="138">
        <v>0</v>
      </c>
      <c r="K179" s="133"/>
      <c r="L179" s="133">
        <v>701</v>
      </c>
      <c r="M179" s="139">
        <v>46055</v>
      </c>
      <c r="N179" s="140" t="s">
        <v>1089</v>
      </c>
      <c r="O179" s="134">
        <v>111</v>
      </c>
    </row>
    <row r="180" spans="1:15" x14ac:dyDescent="0.25">
      <c r="A180" s="133">
        <v>180</v>
      </c>
      <c r="B180" s="134" t="s">
        <v>1088</v>
      </c>
      <c r="C180" s="135">
        <v>45060381</v>
      </c>
      <c r="D180" s="136" t="s">
        <v>1054</v>
      </c>
      <c r="E180" s="137">
        <v>1712500</v>
      </c>
      <c r="F180" s="137">
        <v>965600</v>
      </c>
      <c r="G180" s="137">
        <v>746900</v>
      </c>
      <c r="H180" s="137">
        <v>0</v>
      </c>
      <c r="I180" s="135"/>
      <c r="J180" s="138">
        <v>0</v>
      </c>
      <c r="K180" s="133"/>
      <c r="L180" s="133">
        <v>701</v>
      </c>
      <c r="M180" s="139">
        <v>46055</v>
      </c>
      <c r="N180" s="140" t="s">
        <v>1090</v>
      </c>
      <c r="O180" s="134">
        <v>201</v>
      </c>
    </row>
    <row r="181" spans="1:15" x14ac:dyDescent="0.25">
      <c r="A181" s="133">
        <v>181</v>
      </c>
      <c r="B181" s="134" t="s">
        <v>1088</v>
      </c>
      <c r="C181" s="135">
        <v>45060381</v>
      </c>
      <c r="D181" s="136" t="s">
        <v>1054</v>
      </c>
      <c r="E181" s="137">
        <v>3066416</v>
      </c>
      <c r="F181" s="137">
        <v>312000</v>
      </c>
      <c r="G181" s="137">
        <v>2754416</v>
      </c>
      <c r="H181" s="137">
        <v>0</v>
      </c>
      <c r="I181" s="135"/>
      <c r="J181" s="138">
        <v>0</v>
      </c>
      <c r="K181" s="133"/>
      <c r="L181" s="133">
        <v>701</v>
      </c>
      <c r="M181" s="139">
        <v>46055</v>
      </c>
      <c r="N181" s="140" t="s">
        <v>1091</v>
      </c>
      <c r="O181" s="134">
        <v>207</v>
      </c>
    </row>
    <row r="182" spans="1:15" x14ac:dyDescent="0.25">
      <c r="A182" s="133">
        <v>182</v>
      </c>
      <c r="B182" s="134" t="s">
        <v>1088</v>
      </c>
      <c r="C182" s="135">
        <v>45060381</v>
      </c>
      <c r="D182" s="136" t="s">
        <v>1054</v>
      </c>
      <c r="E182" s="137">
        <v>1509500</v>
      </c>
      <c r="F182" s="137">
        <v>680300</v>
      </c>
      <c r="G182" s="137">
        <v>829200</v>
      </c>
      <c r="H182" s="137">
        <v>0</v>
      </c>
      <c r="I182" s="135"/>
      <c r="J182" s="138">
        <v>0</v>
      </c>
      <c r="K182" s="133"/>
      <c r="L182" s="133">
        <v>701</v>
      </c>
      <c r="M182" s="139">
        <v>46055</v>
      </c>
      <c r="N182" s="140" t="s">
        <v>1092</v>
      </c>
      <c r="O182" s="134">
        <v>223</v>
      </c>
    </row>
    <row r="183" spans="1:15" x14ac:dyDescent="0.25">
      <c r="A183" s="133">
        <v>183</v>
      </c>
      <c r="B183" s="134" t="s">
        <v>1088</v>
      </c>
      <c r="C183" s="135">
        <v>45060381</v>
      </c>
      <c r="D183" s="136" t="s">
        <v>1054</v>
      </c>
      <c r="E183" s="137">
        <v>2364600</v>
      </c>
      <c r="F183" s="137">
        <v>0</v>
      </c>
      <c r="G183" s="137">
        <v>2364600</v>
      </c>
      <c r="H183" s="137">
        <v>0</v>
      </c>
      <c r="I183" s="135"/>
      <c r="J183" s="138">
        <v>0</v>
      </c>
      <c r="K183" s="133"/>
      <c r="L183" s="133">
        <v>701</v>
      </c>
      <c r="M183" s="139">
        <v>46055</v>
      </c>
      <c r="N183" s="140" t="s">
        <v>950</v>
      </c>
      <c r="O183" s="134">
        <v>623</v>
      </c>
    </row>
    <row r="184" spans="1:15" x14ac:dyDescent="0.25">
      <c r="A184" s="133">
        <v>184</v>
      </c>
      <c r="B184" s="134" t="s">
        <v>1088</v>
      </c>
      <c r="C184" s="135">
        <v>45060381</v>
      </c>
      <c r="D184" s="136" t="s">
        <v>1054</v>
      </c>
      <c r="E184" s="137">
        <v>23200</v>
      </c>
      <c r="F184" s="137">
        <v>23200</v>
      </c>
      <c r="G184" s="137">
        <v>0</v>
      </c>
      <c r="H184" s="137">
        <v>0</v>
      </c>
      <c r="I184" s="135"/>
      <c r="J184" s="138">
        <v>0</v>
      </c>
      <c r="K184" s="133"/>
      <c r="L184" s="133">
        <v>701</v>
      </c>
      <c r="M184" s="139">
        <v>46055</v>
      </c>
      <c r="N184" s="140" t="s">
        <v>1093</v>
      </c>
      <c r="O184" s="134">
        <v>506</v>
      </c>
    </row>
    <row r="185" spans="1:15" x14ac:dyDescent="0.25">
      <c r="A185" s="133">
        <v>185</v>
      </c>
      <c r="B185" s="134" t="s">
        <v>1094</v>
      </c>
      <c r="C185" s="135">
        <v>3812548</v>
      </c>
      <c r="D185" s="136" t="s">
        <v>1054</v>
      </c>
      <c r="E185" s="137">
        <v>191900</v>
      </c>
      <c r="F185" s="137">
        <v>0</v>
      </c>
      <c r="G185" s="137">
        <v>191900</v>
      </c>
      <c r="H185" s="137">
        <v>0</v>
      </c>
      <c r="I185" s="135"/>
      <c r="J185" s="138">
        <v>0</v>
      </c>
      <c r="K185" s="133"/>
      <c r="L185" s="133">
        <v>701</v>
      </c>
      <c r="M185" s="139">
        <v>46055</v>
      </c>
      <c r="N185" s="140" t="s">
        <v>950</v>
      </c>
      <c r="O185" s="134">
        <v>201</v>
      </c>
    </row>
    <row r="186" spans="1:15" x14ac:dyDescent="0.25">
      <c r="A186" s="133">
        <v>186</v>
      </c>
      <c r="B186" s="134" t="s">
        <v>1095</v>
      </c>
      <c r="C186" s="135">
        <v>3619096</v>
      </c>
      <c r="D186" s="136" t="s">
        <v>1054</v>
      </c>
      <c r="E186" s="137">
        <v>153200</v>
      </c>
      <c r="F186" s="137">
        <v>0</v>
      </c>
      <c r="G186" s="137">
        <v>153200</v>
      </c>
      <c r="H186" s="137">
        <v>0</v>
      </c>
      <c r="I186" s="135"/>
      <c r="J186" s="138">
        <v>0</v>
      </c>
      <c r="K186" s="133"/>
      <c r="L186" s="133">
        <v>701</v>
      </c>
      <c r="M186" s="139">
        <v>46055</v>
      </c>
      <c r="N186" s="140" t="s">
        <v>950</v>
      </c>
      <c r="O186" s="134">
        <v>201</v>
      </c>
    </row>
    <row r="187" spans="1:15" x14ac:dyDescent="0.25">
      <c r="A187" s="133">
        <v>187</v>
      </c>
      <c r="B187" s="134" t="s">
        <v>1096</v>
      </c>
      <c r="C187" s="135">
        <v>31692756</v>
      </c>
      <c r="D187" s="136" t="s">
        <v>1054</v>
      </c>
      <c r="E187" s="137">
        <v>82700</v>
      </c>
      <c r="F187" s="137">
        <v>0</v>
      </c>
      <c r="G187" s="137">
        <v>82700</v>
      </c>
      <c r="H187" s="137">
        <v>0</v>
      </c>
      <c r="I187" s="135"/>
      <c r="J187" s="138">
        <v>0</v>
      </c>
      <c r="K187" s="133"/>
      <c r="L187" s="133">
        <v>701</v>
      </c>
      <c r="M187" s="139">
        <v>46055</v>
      </c>
      <c r="N187" s="140" t="s">
        <v>950</v>
      </c>
      <c r="O187" s="134">
        <v>102</v>
      </c>
    </row>
    <row r="188" spans="1:15" x14ac:dyDescent="0.25">
      <c r="A188" s="133">
        <v>188</v>
      </c>
      <c r="B188" s="134" t="s">
        <v>1096</v>
      </c>
      <c r="C188" s="135">
        <v>31692756</v>
      </c>
      <c r="D188" s="136" t="s">
        <v>1054</v>
      </c>
      <c r="E188" s="137">
        <v>85000</v>
      </c>
      <c r="F188" s="137">
        <v>0</v>
      </c>
      <c r="G188" s="137">
        <v>85000</v>
      </c>
      <c r="H188" s="137">
        <v>0</v>
      </c>
      <c r="I188" s="135"/>
      <c r="J188" s="138">
        <v>0</v>
      </c>
      <c r="K188" s="133"/>
      <c r="L188" s="133">
        <v>701</v>
      </c>
      <c r="M188" s="139">
        <v>46055</v>
      </c>
      <c r="N188" s="140" t="s">
        <v>950</v>
      </c>
      <c r="O188" s="134">
        <v>108</v>
      </c>
    </row>
    <row r="189" spans="1:15" x14ac:dyDescent="0.25">
      <c r="A189" s="133">
        <v>189</v>
      </c>
      <c r="B189" s="134" t="s">
        <v>1096</v>
      </c>
      <c r="C189" s="135">
        <v>31692756</v>
      </c>
      <c r="D189" s="136" t="s">
        <v>1054</v>
      </c>
      <c r="E189" s="137">
        <v>81681</v>
      </c>
      <c r="F189" s="137">
        <v>0</v>
      </c>
      <c r="G189" s="137">
        <v>81681</v>
      </c>
      <c r="H189" s="137">
        <v>0</v>
      </c>
      <c r="I189" s="135"/>
      <c r="J189" s="138">
        <v>0</v>
      </c>
      <c r="K189" s="133"/>
      <c r="L189" s="133">
        <v>701</v>
      </c>
      <c r="M189" s="139">
        <v>46055</v>
      </c>
      <c r="N189" s="140" t="s">
        <v>950</v>
      </c>
      <c r="O189" s="134">
        <v>111</v>
      </c>
    </row>
    <row r="190" spans="1:15" x14ac:dyDescent="0.25">
      <c r="A190" s="133">
        <v>190</v>
      </c>
      <c r="B190" s="134" t="s">
        <v>1096</v>
      </c>
      <c r="C190" s="135">
        <v>31692756</v>
      </c>
      <c r="D190" s="136" t="s">
        <v>1054</v>
      </c>
      <c r="E190" s="137">
        <v>1072400</v>
      </c>
      <c r="F190" s="137">
        <v>750600</v>
      </c>
      <c r="G190" s="137">
        <v>321800</v>
      </c>
      <c r="H190" s="137">
        <v>0</v>
      </c>
      <c r="I190" s="135"/>
      <c r="J190" s="138">
        <v>0</v>
      </c>
      <c r="K190" s="133"/>
      <c r="L190" s="133">
        <v>701</v>
      </c>
      <c r="M190" s="139">
        <v>46055</v>
      </c>
      <c r="N190" s="140" t="s">
        <v>1097</v>
      </c>
      <c r="O190" s="134">
        <v>201</v>
      </c>
    </row>
    <row r="191" spans="1:15" x14ac:dyDescent="0.25">
      <c r="A191" s="133">
        <v>191</v>
      </c>
      <c r="B191" s="134" t="s">
        <v>1096</v>
      </c>
      <c r="C191" s="135">
        <v>31692756</v>
      </c>
      <c r="D191" s="136" t="s">
        <v>1054</v>
      </c>
      <c r="E191" s="137">
        <v>100600</v>
      </c>
      <c r="F191" s="137">
        <v>100600</v>
      </c>
      <c r="G191" s="137">
        <v>0</v>
      </c>
      <c r="H191" s="137">
        <v>0</v>
      </c>
      <c r="I191" s="135"/>
      <c r="J191" s="138">
        <v>0</v>
      </c>
      <c r="K191" s="133"/>
      <c r="L191" s="133">
        <v>701</v>
      </c>
      <c r="M191" s="139">
        <v>46055</v>
      </c>
      <c r="N191" s="140" t="s">
        <v>1098</v>
      </c>
      <c r="O191" s="134">
        <v>202</v>
      </c>
    </row>
    <row r="192" spans="1:15" x14ac:dyDescent="0.25">
      <c r="A192" s="133">
        <v>192</v>
      </c>
      <c r="B192" s="134" t="s">
        <v>1096</v>
      </c>
      <c r="C192" s="135">
        <v>31692756</v>
      </c>
      <c r="D192" s="136" t="s">
        <v>1054</v>
      </c>
      <c r="E192" s="137">
        <v>1275200</v>
      </c>
      <c r="F192" s="137">
        <v>0</v>
      </c>
      <c r="G192" s="137">
        <v>1275200</v>
      </c>
      <c r="H192" s="137">
        <v>0</v>
      </c>
      <c r="I192" s="135"/>
      <c r="J192" s="138">
        <v>0</v>
      </c>
      <c r="K192" s="133"/>
      <c r="L192" s="133">
        <v>701</v>
      </c>
      <c r="M192" s="139">
        <v>46055</v>
      </c>
      <c r="N192" s="140" t="s">
        <v>950</v>
      </c>
      <c r="O192" s="134">
        <v>203</v>
      </c>
    </row>
    <row r="193" spans="1:15" x14ac:dyDescent="0.25">
      <c r="A193" s="133">
        <v>193</v>
      </c>
      <c r="B193" s="134" t="s">
        <v>1096</v>
      </c>
      <c r="C193" s="135">
        <v>31692756</v>
      </c>
      <c r="D193" s="136" t="s">
        <v>1054</v>
      </c>
      <c r="E193" s="137">
        <v>42700</v>
      </c>
      <c r="F193" s="137">
        <v>0</v>
      </c>
      <c r="G193" s="137">
        <v>42700</v>
      </c>
      <c r="H193" s="137">
        <v>0</v>
      </c>
      <c r="I193" s="135"/>
      <c r="J193" s="138">
        <v>0</v>
      </c>
      <c r="K193" s="133"/>
      <c r="L193" s="133">
        <v>701</v>
      </c>
      <c r="M193" s="139">
        <v>46055</v>
      </c>
      <c r="N193" s="140" t="s">
        <v>950</v>
      </c>
      <c r="O193" s="134">
        <v>205</v>
      </c>
    </row>
    <row r="194" spans="1:15" x14ac:dyDescent="0.25">
      <c r="A194" s="133">
        <v>194</v>
      </c>
      <c r="B194" s="134" t="s">
        <v>1096</v>
      </c>
      <c r="C194" s="135">
        <v>31692756</v>
      </c>
      <c r="D194" s="136" t="s">
        <v>1054</v>
      </c>
      <c r="E194" s="137">
        <v>60900</v>
      </c>
      <c r="F194" s="137">
        <v>0</v>
      </c>
      <c r="G194" s="137">
        <v>60900</v>
      </c>
      <c r="H194" s="137">
        <v>0</v>
      </c>
      <c r="I194" s="135"/>
      <c r="J194" s="138">
        <v>0</v>
      </c>
      <c r="K194" s="133"/>
      <c r="L194" s="133">
        <v>701</v>
      </c>
      <c r="M194" s="139">
        <v>46055</v>
      </c>
      <c r="N194" s="140" t="s">
        <v>950</v>
      </c>
      <c r="O194" s="134">
        <v>206</v>
      </c>
    </row>
    <row r="195" spans="1:15" x14ac:dyDescent="0.25">
      <c r="A195" s="133">
        <v>195</v>
      </c>
      <c r="B195" s="134" t="s">
        <v>1096</v>
      </c>
      <c r="C195" s="135">
        <v>31692756</v>
      </c>
      <c r="D195" s="136" t="s">
        <v>1054</v>
      </c>
      <c r="E195" s="137">
        <v>1416000</v>
      </c>
      <c r="F195" s="137">
        <v>650600</v>
      </c>
      <c r="G195" s="137">
        <v>765400</v>
      </c>
      <c r="H195" s="137">
        <v>0</v>
      </c>
      <c r="I195" s="135"/>
      <c r="J195" s="138">
        <v>0</v>
      </c>
      <c r="K195" s="133"/>
      <c r="L195" s="133">
        <v>701</v>
      </c>
      <c r="M195" s="139">
        <v>46055</v>
      </c>
      <c r="N195" s="140" t="s">
        <v>1099</v>
      </c>
      <c r="O195" s="134">
        <v>430</v>
      </c>
    </row>
    <row r="196" spans="1:15" x14ac:dyDescent="0.25">
      <c r="A196" s="133">
        <v>196</v>
      </c>
      <c r="B196" s="134" t="s">
        <v>1100</v>
      </c>
      <c r="C196" s="135">
        <v>5589424</v>
      </c>
      <c r="D196" s="136" t="s">
        <v>1054</v>
      </c>
      <c r="E196" s="137">
        <v>114900</v>
      </c>
      <c r="F196" s="137">
        <v>0</v>
      </c>
      <c r="G196" s="137">
        <v>114900</v>
      </c>
      <c r="H196" s="137">
        <v>0</v>
      </c>
      <c r="I196" s="135"/>
      <c r="J196" s="138">
        <v>0</v>
      </c>
      <c r="K196" s="133"/>
      <c r="L196" s="133">
        <v>701</v>
      </c>
      <c r="M196" s="139">
        <v>46055</v>
      </c>
      <c r="N196" s="140" t="s">
        <v>950</v>
      </c>
      <c r="O196" s="134">
        <v>201</v>
      </c>
    </row>
    <row r="197" spans="1:15" x14ac:dyDescent="0.25">
      <c r="A197" s="133">
        <v>197</v>
      </c>
      <c r="B197" s="134" t="s">
        <v>1100</v>
      </c>
      <c r="C197" s="135">
        <v>5589424</v>
      </c>
      <c r="D197" s="136" t="s">
        <v>1054</v>
      </c>
      <c r="E197" s="137">
        <v>285700</v>
      </c>
      <c r="F197" s="137">
        <v>0</v>
      </c>
      <c r="G197" s="137">
        <v>285700</v>
      </c>
      <c r="H197" s="137">
        <v>0</v>
      </c>
      <c r="I197" s="135"/>
      <c r="J197" s="138">
        <v>0</v>
      </c>
      <c r="K197" s="133"/>
      <c r="L197" s="133">
        <v>701</v>
      </c>
      <c r="M197" s="139">
        <v>46055</v>
      </c>
      <c r="N197" s="140" t="s">
        <v>950</v>
      </c>
      <c r="O197" s="134">
        <v>203</v>
      </c>
    </row>
    <row r="198" spans="1:15" x14ac:dyDescent="0.25">
      <c r="A198" s="133">
        <v>198</v>
      </c>
      <c r="B198" s="134" t="s">
        <v>1100</v>
      </c>
      <c r="C198" s="135">
        <v>5589424</v>
      </c>
      <c r="D198" s="136" t="s">
        <v>1054</v>
      </c>
      <c r="E198" s="137">
        <v>103400</v>
      </c>
      <c r="F198" s="137">
        <v>0</v>
      </c>
      <c r="G198" s="137">
        <v>103400</v>
      </c>
      <c r="H198" s="137">
        <v>0</v>
      </c>
      <c r="I198" s="135"/>
      <c r="J198" s="138">
        <v>0</v>
      </c>
      <c r="K198" s="133"/>
      <c r="L198" s="133">
        <v>701</v>
      </c>
      <c r="M198" s="139">
        <v>46055</v>
      </c>
      <c r="N198" s="140" t="s">
        <v>950</v>
      </c>
      <c r="O198" s="134">
        <v>205</v>
      </c>
    </row>
    <row r="199" spans="1:15" x14ac:dyDescent="0.25">
      <c r="A199" s="133">
        <v>199</v>
      </c>
      <c r="B199" s="134" t="s">
        <v>1100</v>
      </c>
      <c r="C199" s="135">
        <v>5589424</v>
      </c>
      <c r="D199" s="136" t="s">
        <v>1054</v>
      </c>
      <c r="E199" s="137">
        <v>26000</v>
      </c>
      <c r="F199" s="137">
        <v>0</v>
      </c>
      <c r="G199" s="137">
        <v>26000</v>
      </c>
      <c r="H199" s="137">
        <v>0</v>
      </c>
      <c r="I199" s="135"/>
      <c r="J199" s="138">
        <v>0</v>
      </c>
      <c r="K199" s="133"/>
      <c r="L199" s="133">
        <v>701</v>
      </c>
      <c r="M199" s="139">
        <v>46055</v>
      </c>
      <c r="N199" s="140" t="s">
        <v>950</v>
      </c>
      <c r="O199" s="134">
        <v>206</v>
      </c>
    </row>
    <row r="200" spans="1:15" x14ac:dyDescent="0.25">
      <c r="A200" s="133">
        <v>200</v>
      </c>
      <c r="B200" s="134" t="s">
        <v>1100</v>
      </c>
      <c r="C200" s="135">
        <v>5589424</v>
      </c>
      <c r="D200" s="136" t="s">
        <v>1054</v>
      </c>
      <c r="E200" s="137">
        <v>59300</v>
      </c>
      <c r="F200" s="137">
        <v>0</v>
      </c>
      <c r="G200" s="137">
        <v>59300</v>
      </c>
      <c r="H200" s="137">
        <v>0</v>
      </c>
      <c r="I200" s="135"/>
      <c r="J200" s="138">
        <v>0</v>
      </c>
      <c r="K200" s="133"/>
      <c r="L200" s="133">
        <v>701</v>
      </c>
      <c r="M200" s="139">
        <v>46055</v>
      </c>
      <c r="N200" s="140" t="s">
        <v>950</v>
      </c>
      <c r="O200" s="134">
        <v>208</v>
      </c>
    </row>
    <row r="201" spans="1:15" x14ac:dyDescent="0.25">
      <c r="A201" s="133">
        <v>201</v>
      </c>
      <c r="B201" s="134" t="s">
        <v>1101</v>
      </c>
      <c r="C201" s="135">
        <v>4928462</v>
      </c>
      <c r="D201" s="136" t="s">
        <v>1054</v>
      </c>
      <c r="E201" s="137">
        <v>51200</v>
      </c>
      <c r="F201" s="137">
        <v>0</v>
      </c>
      <c r="G201" s="137">
        <v>51200</v>
      </c>
      <c r="H201" s="137">
        <v>0</v>
      </c>
      <c r="I201" s="135"/>
      <c r="J201" s="138">
        <v>0</v>
      </c>
      <c r="K201" s="133"/>
      <c r="L201" s="133">
        <v>701</v>
      </c>
      <c r="M201" s="139">
        <v>46055</v>
      </c>
      <c r="N201" s="140" t="s">
        <v>950</v>
      </c>
      <c r="O201" s="134">
        <v>201</v>
      </c>
    </row>
    <row r="202" spans="1:15" x14ac:dyDescent="0.25">
      <c r="A202" s="133">
        <v>202</v>
      </c>
      <c r="B202" s="134" t="s">
        <v>1101</v>
      </c>
      <c r="C202" s="135">
        <v>4928462</v>
      </c>
      <c r="D202" s="136" t="s">
        <v>1054</v>
      </c>
      <c r="E202" s="137">
        <v>312800</v>
      </c>
      <c r="F202" s="137">
        <v>0</v>
      </c>
      <c r="G202" s="137">
        <v>312800</v>
      </c>
      <c r="H202" s="137">
        <v>0</v>
      </c>
      <c r="I202" s="135"/>
      <c r="J202" s="138">
        <v>0</v>
      </c>
      <c r="K202" s="133"/>
      <c r="L202" s="133">
        <v>701</v>
      </c>
      <c r="M202" s="139">
        <v>46055</v>
      </c>
      <c r="N202" s="140" t="s">
        <v>950</v>
      </c>
      <c r="O202" s="134">
        <v>203</v>
      </c>
    </row>
    <row r="203" spans="1:15" x14ac:dyDescent="0.25">
      <c r="A203" s="133">
        <v>203</v>
      </c>
      <c r="B203" s="134" t="s">
        <v>1101</v>
      </c>
      <c r="C203" s="135">
        <v>4928462</v>
      </c>
      <c r="D203" s="136" t="s">
        <v>1054</v>
      </c>
      <c r="E203" s="137">
        <v>750090</v>
      </c>
      <c r="F203" s="137">
        <v>234000</v>
      </c>
      <c r="G203" s="137">
        <v>516090</v>
      </c>
      <c r="H203" s="137">
        <v>0</v>
      </c>
      <c r="I203" s="135"/>
      <c r="J203" s="138">
        <v>0</v>
      </c>
      <c r="K203" s="133"/>
      <c r="L203" s="133">
        <v>701</v>
      </c>
      <c r="M203" s="139">
        <v>46055</v>
      </c>
      <c r="N203" s="140" t="s">
        <v>1102</v>
      </c>
      <c r="O203" s="134">
        <v>205</v>
      </c>
    </row>
    <row r="204" spans="1:15" x14ac:dyDescent="0.25">
      <c r="A204" s="133">
        <v>204</v>
      </c>
      <c r="B204" s="134" t="s">
        <v>1101</v>
      </c>
      <c r="C204" s="135">
        <v>4928462</v>
      </c>
      <c r="D204" s="136" t="s">
        <v>1054</v>
      </c>
      <c r="E204" s="137">
        <v>830800</v>
      </c>
      <c r="F204" s="137">
        <v>451500</v>
      </c>
      <c r="G204" s="137">
        <v>379300</v>
      </c>
      <c r="H204" s="137">
        <v>0</v>
      </c>
      <c r="I204" s="135"/>
      <c r="J204" s="138">
        <v>0</v>
      </c>
      <c r="K204" s="133"/>
      <c r="L204" s="133">
        <v>701</v>
      </c>
      <c r="M204" s="139">
        <v>46055</v>
      </c>
      <c r="N204" s="140" t="s">
        <v>1103</v>
      </c>
      <c r="O204" s="134">
        <v>206</v>
      </c>
    </row>
    <row r="205" spans="1:15" x14ac:dyDescent="0.25">
      <c r="A205" s="133">
        <v>205</v>
      </c>
      <c r="B205" s="134" t="s">
        <v>1104</v>
      </c>
      <c r="C205" s="135">
        <v>41377085</v>
      </c>
      <c r="D205" s="136" t="s">
        <v>1054</v>
      </c>
      <c r="E205" s="137">
        <v>337200</v>
      </c>
      <c r="F205" s="137">
        <v>0</v>
      </c>
      <c r="G205" s="137">
        <v>337200</v>
      </c>
      <c r="H205" s="137">
        <v>0</v>
      </c>
      <c r="I205" s="135"/>
      <c r="J205" s="138">
        <v>0</v>
      </c>
      <c r="K205" s="133"/>
      <c r="L205" s="133">
        <v>701</v>
      </c>
      <c r="M205" s="139">
        <v>46055</v>
      </c>
      <c r="N205" s="140" t="s">
        <v>950</v>
      </c>
      <c r="O205" s="134">
        <v>111</v>
      </c>
    </row>
    <row r="206" spans="1:15" x14ac:dyDescent="0.25">
      <c r="A206" s="133">
        <v>206</v>
      </c>
      <c r="B206" s="134" t="s">
        <v>1104</v>
      </c>
      <c r="C206" s="135">
        <v>41377085</v>
      </c>
      <c r="D206" s="136" t="s">
        <v>1054</v>
      </c>
      <c r="E206" s="137">
        <v>971700</v>
      </c>
      <c r="F206" s="137">
        <v>0</v>
      </c>
      <c r="G206" s="137">
        <v>971700</v>
      </c>
      <c r="H206" s="137">
        <v>0</v>
      </c>
      <c r="I206" s="135"/>
      <c r="J206" s="138">
        <v>0</v>
      </c>
      <c r="K206" s="133"/>
      <c r="L206" s="133">
        <v>701</v>
      </c>
      <c r="M206" s="139">
        <v>46055</v>
      </c>
      <c r="N206" s="140" t="s">
        <v>950</v>
      </c>
      <c r="O206" s="134">
        <v>123</v>
      </c>
    </row>
    <row r="207" spans="1:15" x14ac:dyDescent="0.25">
      <c r="A207" s="133">
        <v>207</v>
      </c>
      <c r="B207" s="134" t="s">
        <v>1104</v>
      </c>
      <c r="C207" s="135">
        <v>41377085</v>
      </c>
      <c r="D207" s="136" t="s">
        <v>1054</v>
      </c>
      <c r="E207" s="137">
        <v>353700</v>
      </c>
      <c r="F207" s="137">
        <v>0</v>
      </c>
      <c r="G207" s="137">
        <v>353700</v>
      </c>
      <c r="H207" s="137">
        <v>0</v>
      </c>
      <c r="I207" s="135"/>
      <c r="J207" s="138">
        <v>0</v>
      </c>
      <c r="K207" s="133"/>
      <c r="L207" s="133">
        <v>701</v>
      </c>
      <c r="M207" s="139">
        <v>46055</v>
      </c>
      <c r="N207" s="140" t="s">
        <v>950</v>
      </c>
      <c r="O207" s="134">
        <v>201</v>
      </c>
    </row>
    <row r="208" spans="1:15" x14ac:dyDescent="0.25">
      <c r="A208" s="133">
        <v>208</v>
      </c>
      <c r="B208" s="134" t="s">
        <v>1104</v>
      </c>
      <c r="C208" s="135">
        <v>41377085</v>
      </c>
      <c r="D208" s="136" t="s">
        <v>1054</v>
      </c>
      <c r="E208" s="137">
        <v>8900</v>
      </c>
      <c r="F208" s="137">
        <v>0</v>
      </c>
      <c r="G208" s="137">
        <v>8900</v>
      </c>
      <c r="H208" s="137">
        <v>0</v>
      </c>
      <c r="I208" s="135"/>
      <c r="J208" s="138">
        <v>0</v>
      </c>
      <c r="K208" s="133"/>
      <c r="L208" s="133">
        <v>701</v>
      </c>
      <c r="M208" s="139">
        <v>46055</v>
      </c>
      <c r="N208" s="140" t="s">
        <v>950</v>
      </c>
      <c r="O208" s="134">
        <v>202</v>
      </c>
    </row>
    <row r="209" spans="1:15" x14ac:dyDescent="0.25">
      <c r="A209" s="133">
        <v>209</v>
      </c>
      <c r="B209" s="134" t="s">
        <v>1104</v>
      </c>
      <c r="C209" s="135">
        <v>41377085</v>
      </c>
      <c r="D209" s="136" t="s">
        <v>1054</v>
      </c>
      <c r="E209" s="137">
        <v>2813595</v>
      </c>
      <c r="F209" s="137">
        <v>1385700</v>
      </c>
      <c r="G209" s="137">
        <v>1427895</v>
      </c>
      <c r="H209" s="137">
        <v>0</v>
      </c>
      <c r="I209" s="135"/>
      <c r="J209" s="138">
        <v>0</v>
      </c>
      <c r="K209" s="133"/>
      <c r="L209" s="133">
        <v>701</v>
      </c>
      <c r="M209" s="139">
        <v>46055</v>
      </c>
      <c r="N209" s="140" t="s">
        <v>1105</v>
      </c>
      <c r="O209" s="134">
        <v>206</v>
      </c>
    </row>
    <row r="210" spans="1:15" x14ac:dyDescent="0.25">
      <c r="A210" s="133">
        <v>210</v>
      </c>
      <c r="B210" s="134" t="s">
        <v>1104</v>
      </c>
      <c r="C210" s="135">
        <v>41377085</v>
      </c>
      <c r="D210" s="136" t="s">
        <v>1054</v>
      </c>
      <c r="E210" s="137">
        <v>63200</v>
      </c>
      <c r="F210" s="137">
        <v>0</v>
      </c>
      <c r="G210" s="137">
        <v>63200</v>
      </c>
      <c r="H210" s="137">
        <v>0</v>
      </c>
      <c r="I210" s="135"/>
      <c r="J210" s="138">
        <v>0</v>
      </c>
      <c r="K210" s="133"/>
      <c r="L210" s="133">
        <v>701</v>
      </c>
      <c r="M210" s="139">
        <v>46055</v>
      </c>
      <c r="N210" s="140" t="s">
        <v>950</v>
      </c>
      <c r="O210" s="134">
        <v>208</v>
      </c>
    </row>
    <row r="211" spans="1:15" x14ac:dyDescent="0.25">
      <c r="A211" s="133">
        <v>211</v>
      </c>
      <c r="B211" s="134" t="s">
        <v>1104</v>
      </c>
      <c r="C211" s="135">
        <v>41377085</v>
      </c>
      <c r="D211" s="136" t="s">
        <v>1054</v>
      </c>
      <c r="E211" s="137">
        <v>444000</v>
      </c>
      <c r="F211" s="137">
        <v>0</v>
      </c>
      <c r="G211" s="137">
        <v>444000</v>
      </c>
      <c r="H211" s="137">
        <v>0</v>
      </c>
      <c r="I211" s="135"/>
      <c r="J211" s="138">
        <v>0</v>
      </c>
      <c r="K211" s="133"/>
      <c r="L211" s="133">
        <v>701</v>
      </c>
      <c r="M211" s="139">
        <v>46055</v>
      </c>
      <c r="N211" s="140" t="s">
        <v>950</v>
      </c>
      <c r="O211" s="134">
        <v>223</v>
      </c>
    </row>
    <row r="212" spans="1:15" x14ac:dyDescent="0.25">
      <c r="A212" s="133">
        <v>212</v>
      </c>
      <c r="B212" s="134" t="s">
        <v>1104</v>
      </c>
      <c r="C212" s="135">
        <v>41377085</v>
      </c>
      <c r="D212" s="136" t="s">
        <v>1054</v>
      </c>
      <c r="E212" s="137">
        <v>9126300</v>
      </c>
      <c r="F212" s="137">
        <v>2918469</v>
      </c>
      <c r="G212" s="137">
        <v>6207831</v>
      </c>
      <c r="H212" s="137">
        <v>0</v>
      </c>
      <c r="I212" s="135"/>
      <c r="J212" s="138">
        <v>0</v>
      </c>
      <c r="K212" s="133"/>
      <c r="L212" s="133">
        <v>701</v>
      </c>
      <c r="M212" s="139">
        <v>46055</v>
      </c>
      <c r="N212" s="140" t="s">
        <v>1106</v>
      </c>
      <c r="O212" s="134">
        <v>342</v>
      </c>
    </row>
    <row r="213" spans="1:15" x14ac:dyDescent="0.25">
      <c r="A213" s="133">
        <v>213</v>
      </c>
      <c r="B213" s="134" t="s">
        <v>1104</v>
      </c>
      <c r="C213" s="135">
        <v>41377085</v>
      </c>
      <c r="D213" s="136" t="s">
        <v>1054</v>
      </c>
      <c r="E213" s="137">
        <v>210000</v>
      </c>
      <c r="F213" s="137">
        <v>0</v>
      </c>
      <c r="G213" s="137">
        <v>210000</v>
      </c>
      <c r="H213" s="137">
        <v>0</v>
      </c>
      <c r="I213" s="135"/>
      <c r="J213" s="138">
        <v>0</v>
      </c>
      <c r="K213" s="133"/>
      <c r="L213" s="133">
        <v>701</v>
      </c>
      <c r="M213" s="139">
        <v>46055</v>
      </c>
      <c r="N213" s="140" t="s">
        <v>950</v>
      </c>
      <c r="O213" s="134">
        <v>527</v>
      </c>
    </row>
    <row r="214" spans="1:15" x14ac:dyDescent="0.25">
      <c r="A214" s="133">
        <v>214</v>
      </c>
      <c r="B214" s="134" t="s">
        <v>1107</v>
      </c>
      <c r="C214" s="135">
        <v>64200</v>
      </c>
      <c r="D214" s="136" t="s">
        <v>1054</v>
      </c>
      <c r="E214" s="137">
        <v>64200</v>
      </c>
      <c r="F214" s="137">
        <v>0</v>
      </c>
      <c r="G214" s="137">
        <v>64200</v>
      </c>
      <c r="H214" s="137">
        <v>0</v>
      </c>
      <c r="I214" s="135"/>
      <c r="J214" s="138">
        <v>0</v>
      </c>
      <c r="K214" s="133"/>
      <c r="L214" s="133">
        <v>701</v>
      </c>
      <c r="M214" s="139">
        <v>46055</v>
      </c>
      <c r="N214" s="140" t="s">
        <v>950</v>
      </c>
      <c r="O214" s="134">
        <v>208</v>
      </c>
    </row>
    <row r="215" spans="1:15" x14ac:dyDescent="0.25">
      <c r="A215" s="133">
        <v>215</v>
      </c>
      <c r="B215" s="134" t="s">
        <v>1108</v>
      </c>
      <c r="C215" s="135">
        <v>5579501</v>
      </c>
      <c r="D215" s="136" t="s">
        <v>1054</v>
      </c>
      <c r="E215" s="137">
        <v>114900</v>
      </c>
      <c r="F215" s="137">
        <v>0</v>
      </c>
      <c r="G215" s="137">
        <v>114900</v>
      </c>
      <c r="H215" s="137">
        <v>0</v>
      </c>
      <c r="I215" s="135"/>
      <c r="J215" s="138">
        <v>0</v>
      </c>
      <c r="K215" s="133"/>
      <c r="L215" s="133">
        <v>701</v>
      </c>
      <c r="M215" s="139">
        <v>46055</v>
      </c>
      <c r="N215" s="140" t="s">
        <v>950</v>
      </c>
      <c r="O215" s="134">
        <v>201</v>
      </c>
    </row>
    <row r="216" spans="1:15" x14ac:dyDescent="0.25">
      <c r="A216" s="133">
        <v>216</v>
      </c>
      <c r="B216" s="134" t="s">
        <v>1108</v>
      </c>
      <c r="C216" s="135">
        <v>5579501</v>
      </c>
      <c r="D216" s="136" t="s">
        <v>1054</v>
      </c>
      <c r="E216" s="137">
        <v>657800</v>
      </c>
      <c r="F216" s="137">
        <v>0</v>
      </c>
      <c r="G216" s="137">
        <v>657800</v>
      </c>
      <c r="H216" s="137">
        <v>0</v>
      </c>
      <c r="I216" s="135"/>
      <c r="J216" s="138">
        <v>0</v>
      </c>
      <c r="K216" s="133"/>
      <c r="L216" s="133">
        <v>701</v>
      </c>
      <c r="M216" s="139">
        <v>46055</v>
      </c>
      <c r="N216" s="140" t="s">
        <v>950</v>
      </c>
      <c r="O216" s="134">
        <v>306</v>
      </c>
    </row>
    <row r="217" spans="1:15" x14ac:dyDescent="0.25">
      <c r="A217" s="133">
        <v>217</v>
      </c>
      <c r="B217" s="134" t="s">
        <v>1108</v>
      </c>
      <c r="C217" s="135">
        <v>5579501</v>
      </c>
      <c r="D217" s="136" t="s">
        <v>1054</v>
      </c>
      <c r="E217" s="137">
        <v>357700</v>
      </c>
      <c r="F217" s="137">
        <v>0</v>
      </c>
      <c r="G217" s="137">
        <v>357700</v>
      </c>
      <c r="H217" s="137">
        <v>0</v>
      </c>
      <c r="I217" s="135"/>
      <c r="J217" s="138">
        <v>0</v>
      </c>
      <c r="K217" s="133"/>
      <c r="L217" s="133">
        <v>701</v>
      </c>
      <c r="M217" s="139">
        <v>46055</v>
      </c>
      <c r="N217" s="140" t="s">
        <v>950</v>
      </c>
      <c r="O217" s="134">
        <v>601</v>
      </c>
    </row>
    <row r="218" spans="1:15" x14ac:dyDescent="0.25">
      <c r="A218" s="133">
        <v>218</v>
      </c>
      <c r="B218" s="134" t="s">
        <v>1108</v>
      </c>
      <c r="C218" s="135">
        <v>5579501</v>
      </c>
      <c r="D218" s="136" t="s">
        <v>1054</v>
      </c>
      <c r="E218" s="137">
        <v>361200</v>
      </c>
      <c r="F218" s="137">
        <v>361200</v>
      </c>
      <c r="G218" s="137">
        <v>0</v>
      </c>
      <c r="H218" s="137">
        <v>0</v>
      </c>
      <c r="I218" s="135"/>
      <c r="J218" s="138">
        <v>0</v>
      </c>
      <c r="K218" s="133"/>
      <c r="L218" s="133">
        <v>701</v>
      </c>
      <c r="M218" s="139">
        <v>46055</v>
      </c>
      <c r="N218" s="140" t="s">
        <v>1109</v>
      </c>
      <c r="O218" s="134">
        <v>623</v>
      </c>
    </row>
    <row r="219" spans="1:15" x14ac:dyDescent="0.25">
      <c r="A219" s="133">
        <v>219</v>
      </c>
      <c r="B219" s="134" t="s">
        <v>1110</v>
      </c>
      <c r="C219" s="135">
        <v>635145</v>
      </c>
      <c r="D219" s="136" t="s">
        <v>1054</v>
      </c>
      <c r="E219" s="137">
        <v>308645</v>
      </c>
      <c r="F219" s="137">
        <v>0</v>
      </c>
      <c r="G219" s="137">
        <v>308645</v>
      </c>
      <c r="H219" s="137">
        <v>0</v>
      </c>
      <c r="I219" s="135"/>
      <c r="J219" s="138">
        <v>0</v>
      </c>
      <c r="K219" s="133"/>
      <c r="L219" s="133">
        <v>701</v>
      </c>
      <c r="M219" s="139">
        <v>46055</v>
      </c>
      <c r="N219" s="140" t="s">
        <v>950</v>
      </c>
      <c r="O219" s="134">
        <v>208</v>
      </c>
    </row>
    <row r="220" spans="1:15" x14ac:dyDescent="0.25">
      <c r="A220" s="133">
        <v>220</v>
      </c>
      <c r="B220" s="134" t="s">
        <v>1111</v>
      </c>
      <c r="C220" s="135">
        <v>77674478</v>
      </c>
      <c r="D220" s="136" t="s">
        <v>1054</v>
      </c>
      <c r="E220" s="137">
        <v>2166660</v>
      </c>
      <c r="F220" s="137">
        <v>1085000</v>
      </c>
      <c r="G220" s="137">
        <v>1081660</v>
      </c>
      <c r="H220" s="137">
        <v>0</v>
      </c>
      <c r="I220" s="135"/>
      <c r="J220" s="138">
        <v>0</v>
      </c>
      <c r="K220" s="133"/>
      <c r="L220" s="133">
        <v>701</v>
      </c>
      <c r="M220" s="139">
        <v>46055</v>
      </c>
      <c r="N220" s="140" t="s">
        <v>1112</v>
      </c>
      <c r="O220" s="134">
        <v>201</v>
      </c>
    </row>
    <row r="221" spans="1:15" x14ac:dyDescent="0.25">
      <c r="A221" s="133">
        <v>221</v>
      </c>
      <c r="B221" s="134" t="s">
        <v>1111</v>
      </c>
      <c r="C221" s="135">
        <v>77674478</v>
      </c>
      <c r="D221" s="136" t="s">
        <v>1054</v>
      </c>
      <c r="E221" s="137">
        <v>323628</v>
      </c>
      <c r="F221" s="137">
        <v>0</v>
      </c>
      <c r="G221" s="137">
        <v>323628</v>
      </c>
      <c r="H221" s="137">
        <v>0</v>
      </c>
      <c r="I221" s="135"/>
      <c r="J221" s="138">
        <v>0</v>
      </c>
      <c r="K221" s="133"/>
      <c r="L221" s="133">
        <v>701</v>
      </c>
      <c r="M221" s="139">
        <v>46055</v>
      </c>
      <c r="N221" s="140" t="s">
        <v>950</v>
      </c>
      <c r="O221" s="134">
        <v>202</v>
      </c>
    </row>
    <row r="222" spans="1:15" x14ac:dyDescent="0.25">
      <c r="A222" s="133">
        <v>222</v>
      </c>
      <c r="B222" s="134" t="s">
        <v>1111</v>
      </c>
      <c r="C222" s="135">
        <v>77674478</v>
      </c>
      <c r="D222" s="136" t="s">
        <v>1054</v>
      </c>
      <c r="E222" s="137">
        <v>1169280</v>
      </c>
      <c r="F222" s="137">
        <v>0</v>
      </c>
      <c r="G222" s="137">
        <v>1169280</v>
      </c>
      <c r="H222" s="137">
        <v>0</v>
      </c>
      <c r="I222" s="135"/>
      <c r="J222" s="138">
        <v>0</v>
      </c>
      <c r="K222" s="133"/>
      <c r="L222" s="133">
        <v>701</v>
      </c>
      <c r="M222" s="139">
        <v>46055</v>
      </c>
      <c r="N222" s="140" t="s">
        <v>950</v>
      </c>
      <c r="O222" s="134">
        <v>208</v>
      </c>
    </row>
    <row r="223" spans="1:15" x14ac:dyDescent="0.25">
      <c r="A223" s="133">
        <v>223</v>
      </c>
      <c r="B223" s="134" t="s">
        <v>1111</v>
      </c>
      <c r="C223" s="135">
        <v>77674478</v>
      </c>
      <c r="D223" s="136" t="s">
        <v>1054</v>
      </c>
      <c r="E223" s="137">
        <v>3981800</v>
      </c>
      <c r="F223" s="137">
        <v>1660000</v>
      </c>
      <c r="G223" s="137">
        <v>2321800</v>
      </c>
      <c r="H223" s="137">
        <v>0</v>
      </c>
      <c r="I223" s="135"/>
      <c r="J223" s="138">
        <v>0</v>
      </c>
      <c r="K223" s="133"/>
      <c r="L223" s="133">
        <v>701</v>
      </c>
      <c r="M223" s="139">
        <v>46055</v>
      </c>
      <c r="N223" s="140" t="s">
        <v>1113</v>
      </c>
      <c r="O223" s="134">
        <v>223</v>
      </c>
    </row>
    <row r="224" spans="1:15" x14ac:dyDescent="0.25">
      <c r="A224" s="133">
        <v>224</v>
      </c>
      <c r="B224" s="134" t="s">
        <v>1111</v>
      </c>
      <c r="C224" s="135">
        <v>77674478</v>
      </c>
      <c r="D224" s="136" t="s">
        <v>1054</v>
      </c>
      <c r="E224" s="137">
        <v>3064000</v>
      </c>
      <c r="F224" s="137">
        <v>422000</v>
      </c>
      <c r="G224" s="137">
        <v>2642000</v>
      </c>
      <c r="H224" s="137">
        <v>0</v>
      </c>
      <c r="I224" s="135"/>
      <c r="J224" s="138">
        <v>0</v>
      </c>
      <c r="K224" s="133"/>
      <c r="L224" s="133">
        <v>701</v>
      </c>
      <c r="M224" s="139">
        <v>46055</v>
      </c>
      <c r="N224" s="140" t="s">
        <v>1114</v>
      </c>
      <c r="O224" s="134">
        <v>430</v>
      </c>
    </row>
    <row r="225" spans="1:15" x14ac:dyDescent="0.25">
      <c r="A225" s="133">
        <v>225</v>
      </c>
      <c r="B225" s="134" t="s">
        <v>1115</v>
      </c>
      <c r="C225" s="135">
        <v>6749089</v>
      </c>
      <c r="D225" s="136" t="s">
        <v>1054</v>
      </c>
      <c r="E225" s="137">
        <v>50238</v>
      </c>
      <c r="F225" s="137">
        <v>0</v>
      </c>
      <c r="G225" s="137">
        <v>50238</v>
      </c>
      <c r="H225" s="137">
        <v>0</v>
      </c>
      <c r="I225" s="135"/>
      <c r="J225" s="138">
        <v>0</v>
      </c>
      <c r="K225" s="133"/>
      <c r="L225" s="133">
        <v>701</v>
      </c>
      <c r="M225" s="139">
        <v>46055</v>
      </c>
      <c r="N225" s="140" t="s">
        <v>950</v>
      </c>
      <c r="O225" s="134">
        <v>202</v>
      </c>
    </row>
    <row r="226" spans="1:15" x14ac:dyDescent="0.25">
      <c r="A226" s="133">
        <v>226</v>
      </c>
      <c r="B226" s="134" t="s">
        <v>1116</v>
      </c>
      <c r="C226" s="135">
        <v>40683092</v>
      </c>
      <c r="D226" s="136" t="s">
        <v>1054</v>
      </c>
      <c r="E226" s="137">
        <v>741979</v>
      </c>
      <c r="F226" s="137">
        <v>741979</v>
      </c>
      <c r="G226" s="137">
        <v>0</v>
      </c>
      <c r="H226" s="137">
        <v>0</v>
      </c>
      <c r="I226" s="135"/>
      <c r="J226" s="138">
        <v>0</v>
      </c>
      <c r="K226" s="133"/>
      <c r="L226" s="133">
        <v>701</v>
      </c>
      <c r="M226" s="139">
        <v>46055</v>
      </c>
      <c r="N226" s="140" t="s">
        <v>1117</v>
      </c>
      <c r="O226" s="134">
        <v>111</v>
      </c>
    </row>
    <row r="227" spans="1:15" x14ac:dyDescent="0.25">
      <c r="A227" s="133">
        <v>227</v>
      </c>
      <c r="B227" s="134" t="s">
        <v>1116</v>
      </c>
      <c r="C227" s="135">
        <v>40683092</v>
      </c>
      <c r="D227" s="136" t="s">
        <v>1054</v>
      </c>
      <c r="E227" s="137">
        <v>661980</v>
      </c>
      <c r="F227" s="137">
        <v>0</v>
      </c>
      <c r="G227" s="137">
        <v>661980</v>
      </c>
      <c r="H227" s="137">
        <v>0</v>
      </c>
      <c r="I227" s="135"/>
      <c r="J227" s="138">
        <v>0</v>
      </c>
      <c r="K227" s="133"/>
      <c r="L227" s="133">
        <v>701</v>
      </c>
      <c r="M227" s="139">
        <v>46055</v>
      </c>
      <c r="N227" s="140" t="s">
        <v>950</v>
      </c>
      <c r="O227" s="134">
        <v>201</v>
      </c>
    </row>
    <row r="228" spans="1:15" x14ac:dyDescent="0.25">
      <c r="A228" s="133">
        <v>228</v>
      </c>
      <c r="B228" s="134" t="s">
        <v>1116</v>
      </c>
      <c r="C228" s="135">
        <v>40683092</v>
      </c>
      <c r="D228" s="136" t="s">
        <v>1054</v>
      </c>
      <c r="E228" s="137">
        <v>53900</v>
      </c>
      <c r="F228" s="137">
        <v>0</v>
      </c>
      <c r="G228" s="137">
        <v>53900</v>
      </c>
      <c r="H228" s="137">
        <v>0</v>
      </c>
      <c r="I228" s="135"/>
      <c r="J228" s="138">
        <v>0</v>
      </c>
      <c r="K228" s="133"/>
      <c r="L228" s="133">
        <v>701</v>
      </c>
      <c r="M228" s="139">
        <v>46055</v>
      </c>
      <c r="N228" s="140" t="s">
        <v>950</v>
      </c>
      <c r="O228" s="134">
        <v>202</v>
      </c>
    </row>
    <row r="229" spans="1:15" x14ac:dyDescent="0.25">
      <c r="A229" s="133">
        <v>229</v>
      </c>
      <c r="B229" s="134" t="s">
        <v>1116</v>
      </c>
      <c r="C229" s="135">
        <v>40683092</v>
      </c>
      <c r="D229" s="136" t="s">
        <v>1054</v>
      </c>
      <c r="E229" s="137">
        <v>2030608</v>
      </c>
      <c r="F229" s="137">
        <v>0</v>
      </c>
      <c r="G229" s="137">
        <v>2030608</v>
      </c>
      <c r="H229" s="137">
        <v>0</v>
      </c>
      <c r="I229" s="135"/>
      <c r="J229" s="138">
        <v>0</v>
      </c>
      <c r="K229" s="133"/>
      <c r="L229" s="133">
        <v>701</v>
      </c>
      <c r="M229" s="139">
        <v>46055</v>
      </c>
      <c r="N229" s="140" t="s">
        <v>950</v>
      </c>
      <c r="O229" s="134">
        <v>203</v>
      </c>
    </row>
    <row r="230" spans="1:15" x14ac:dyDescent="0.25">
      <c r="A230" s="133">
        <v>230</v>
      </c>
      <c r="B230" s="134" t="s">
        <v>1116</v>
      </c>
      <c r="C230" s="135">
        <v>40683092</v>
      </c>
      <c r="D230" s="136" t="s">
        <v>1054</v>
      </c>
      <c r="E230" s="137">
        <v>129333</v>
      </c>
      <c r="F230" s="137">
        <v>0</v>
      </c>
      <c r="G230" s="137">
        <v>129333</v>
      </c>
      <c r="H230" s="137">
        <v>0</v>
      </c>
      <c r="I230" s="135"/>
      <c r="J230" s="138">
        <v>0</v>
      </c>
      <c r="K230" s="133"/>
      <c r="L230" s="133">
        <v>701</v>
      </c>
      <c r="M230" s="139">
        <v>46055</v>
      </c>
      <c r="N230" s="140" t="s">
        <v>950</v>
      </c>
      <c r="O230" s="134">
        <v>205</v>
      </c>
    </row>
    <row r="231" spans="1:15" x14ac:dyDescent="0.25">
      <c r="A231" s="133">
        <v>231</v>
      </c>
      <c r="B231" s="134" t="s">
        <v>1116</v>
      </c>
      <c r="C231" s="135">
        <v>40683092</v>
      </c>
      <c r="D231" s="136" t="s">
        <v>1054</v>
      </c>
      <c r="E231" s="137">
        <v>728000</v>
      </c>
      <c r="F231" s="137">
        <v>728000</v>
      </c>
      <c r="G231" s="137">
        <v>0</v>
      </c>
      <c r="H231" s="137">
        <v>0</v>
      </c>
      <c r="I231" s="135"/>
      <c r="J231" s="138">
        <v>0</v>
      </c>
      <c r="K231" s="133"/>
      <c r="L231" s="133">
        <v>701</v>
      </c>
      <c r="M231" s="139">
        <v>46055</v>
      </c>
      <c r="N231" s="140" t="s">
        <v>1118</v>
      </c>
      <c r="O231" s="134">
        <v>601</v>
      </c>
    </row>
    <row r="232" spans="1:15" x14ac:dyDescent="0.25">
      <c r="A232" s="133">
        <v>232</v>
      </c>
      <c r="B232" s="134" t="s">
        <v>1116</v>
      </c>
      <c r="C232" s="135">
        <v>40683092</v>
      </c>
      <c r="D232" s="136" t="s">
        <v>1054</v>
      </c>
      <c r="E232" s="137">
        <v>165432</v>
      </c>
      <c r="F232" s="137">
        <v>0</v>
      </c>
      <c r="G232" s="137">
        <v>165432</v>
      </c>
      <c r="H232" s="137">
        <v>0</v>
      </c>
      <c r="I232" s="135"/>
      <c r="J232" s="138">
        <v>0</v>
      </c>
      <c r="K232" s="133"/>
      <c r="L232" s="133">
        <v>701</v>
      </c>
      <c r="M232" s="139">
        <v>46055</v>
      </c>
      <c r="N232" s="140" t="s">
        <v>950</v>
      </c>
      <c r="O232" s="134">
        <v>602</v>
      </c>
    </row>
    <row r="233" spans="1:15" x14ac:dyDescent="0.25">
      <c r="A233" s="133">
        <v>233</v>
      </c>
      <c r="B233" s="134" t="s">
        <v>1119</v>
      </c>
      <c r="C233" s="135">
        <v>4520210</v>
      </c>
      <c r="D233" s="136" t="s">
        <v>1054</v>
      </c>
      <c r="E233" s="137">
        <v>248240</v>
      </c>
      <c r="F233" s="137">
        <v>0</v>
      </c>
      <c r="G233" s="137">
        <v>248240</v>
      </c>
      <c r="H233" s="137">
        <v>0</v>
      </c>
      <c r="I233" s="135"/>
      <c r="J233" s="138">
        <v>0</v>
      </c>
      <c r="K233" s="133"/>
      <c r="L233" s="133">
        <v>701</v>
      </c>
      <c r="M233" s="139">
        <v>46055</v>
      </c>
      <c r="N233" s="140" t="s">
        <v>950</v>
      </c>
      <c r="O233" s="134">
        <v>201</v>
      </c>
    </row>
    <row r="234" spans="1:15" x14ac:dyDescent="0.25">
      <c r="A234" s="133">
        <v>234</v>
      </c>
      <c r="B234" s="134" t="s">
        <v>1119</v>
      </c>
      <c r="C234" s="135">
        <v>4520210</v>
      </c>
      <c r="D234" s="136" t="s">
        <v>1054</v>
      </c>
      <c r="E234" s="137">
        <v>4271970</v>
      </c>
      <c r="F234" s="137">
        <v>0</v>
      </c>
      <c r="G234" s="137">
        <v>4271970</v>
      </c>
      <c r="H234" s="137">
        <v>0</v>
      </c>
      <c r="I234" s="135"/>
      <c r="J234" s="138">
        <v>0</v>
      </c>
      <c r="K234" s="133"/>
      <c r="L234" s="133">
        <v>701</v>
      </c>
      <c r="M234" s="139">
        <v>46055</v>
      </c>
      <c r="N234" s="140" t="s">
        <v>950</v>
      </c>
      <c r="O234" s="134">
        <v>430</v>
      </c>
    </row>
    <row r="235" spans="1:15" x14ac:dyDescent="0.25">
      <c r="A235" s="133">
        <v>235</v>
      </c>
      <c r="B235" s="134" t="s">
        <v>1120</v>
      </c>
      <c r="C235" s="135">
        <v>2137398</v>
      </c>
      <c r="D235" s="136" t="s">
        <v>1054</v>
      </c>
      <c r="E235" s="137">
        <v>1468816</v>
      </c>
      <c r="F235" s="137">
        <v>1273216</v>
      </c>
      <c r="G235" s="137">
        <v>195600</v>
      </c>
      <c r="H235" s="137">
        <v>0</v>
      </c>
      <c r="I235" s="135"/>
      <c r="J235" s="138">
        <v>0</v>
      </c>
      <c r="K235" s="133"/>
      <c r="L235" s="133">
        <v>701</v>
      </c>
      <c r="M235" s="139">
        <v>46055</v>
      </c>
      <c r="N235" s="140" t="s">
        <v>1121</v>
      </c>
      <c r="O235" s="134">
        <v>111</v>
      </c>
    </row>
    <row r="236" spans="1:15" x14ac:dyDescent="0.25">
      <c r="A236" s="133">
        <v>236</v>
      </c>
      <c r="B236" s="134" t="s">
        <v>1120</v>
      </c>
      <c r="C236" s="135">
        <v>2137398</v>
      </c>
      <c r="D236" s="136" t="s">
        <v>1054</v>
      </c>
      <c r="E236" s="137">
        <v>539249</v>
      </c>
      <c r="F236" s="137">
        <v>0</v>
      </c>
      <c r="G236" s="137">
        <v>539249</v>
      </c>
      <c r="H236" s="137">
        <v>0</v>
      </c>
      <c r="I236" s="135"/>
      <c r="J236" s="138">
        <v>0</v>
      </c>
      <c r="K236" s="133"/>
      <c r="L236" s="133">
        <v>701</v>
      </c>
      <c r="M236" s="139">
        <v>46055</v>
      </c>
      <c r="N236" s="140" t="s">
        <v>950</v>
      </c>
      <c r="O236" s="134">
        <v>203</v>
      </c>
    </row>
    <row r="237" spans="1:15" x14ac:dyDescent="0.25">
      <c r="A237" s="133">
        <v>237</v>
      </c>
      <c r="B237" s="134" t="s">
        <v>1120</v>
      </c>
      <c r="C237" s="135">
        <v>2137398</v>
      </c>
      <c r="D237" s="136" t="s">
        <v>1054</v>
      </c>
      <c r="E237" s="137">
        <v>129333</v>
      </c>
      <c r="F237" s="137">
        <v>0</v>
      </c>
      <c r="G237" s="137">
        <v>129333</v>
      </c>
      <c r="H237" s="137">
        <v>0</v>
      </c>
      <c r="I237" s="135"/>
      <c r="J237" s="138">
        <v>0</v>
      </c>
      <c r="K237" s="133"/>
      <c r="L237" s="133">
        <v>701</v>
      </c>
      <c r="M237" s="139">
        <v>46055</v>
      </c>
      <c r="N237" s="140" t="s">
        <v>950</v>
      </c>
      <c r="O237" s="134">
        <v>205</v>
      </c>
    </row>
    <row r="238" spans="1:15" x14ac:dyDescent="0.25">
      <c r="A238" s="133">
        <v>238</v>
      </c>
      <c r="B238" s="134" t="s">
        <v>1122</v>
      </c>
      <c r="C238" s="135">
        <v>794943</v>
      </c>
      <c r="D238" s="136" t="s">
        <v>1054</v>
      </c>
      <c r="E238" s="137">
        <v>74100</v>
      </c>
      <c r="F238" s="137">
        <v>0</v>
      </c>
      <c r="G238" s="137">
        <v>74100</v>
      </c>
      <c r="H238" s="137">
        <v>0</v>
      </c>
      <c r="I238" s="135"/>
      <c r="J238" s="138">
        <v>0</v>
      </c>
      <c r="K238" s="133"/>
      <c r="L238" s="133">
        <v>701</v>
      </c>
      <c r="M238" s="139">
        <v>46055</v>
      </c>
      <c r="N238" s="140" t="s">
        <v>950</v>
      </c>
      <c r="O238" s="134">
        <v>111</v>
      </c>
    </row>
    <row r="239" spans="1:15" x14ac:dyDescent="0.25">
      <c r="A239" s="133">
        <v>239</v>
      </c>
      <c r="B239" s="134" t="s">
        <v>1122</v>
      </c>
      <c r="C239" s="135">
        <v>794943</v>
      </c>
      <c r="D239" s="136" t="s">
        <v>1054</v>
      </c>
      <c r="E239" s="137">
        <v>20004</v>
      </c>
      <c r="F239" s="137">
        <v>0</v>
      </c>
      <c r="G239" s="137">
        <v>20004</v>
      </c>
      <c r="H239" s="137">
        <v>0</v>
      </c>
      <c r="I239" s="135"/>
      <c r="J239" s="138">
        <v>0</v>
      </c>
      <c r="K239" s="133"/>
      <c r="L239" s="133">
        <v>701</v>
      </c>
      <c r="M239" s="139">
        <v>46055</v>
      </c>
      <c r="N239" s="140" t="s">
        <v>950</v>
      </c>
      <c r="O239" s="134">
        <v>202</v>
      </c>
    </row>
    <row r="240" spans="1:15" x14ac:dyDescent="0.25">
      <c r="A240" s="133">
        <v>240</v>
      </c>
      <c r="B240" s="134" t="s">
        <v>1123</v>
      </c>
      <c r="C240" s="135">
        <v>435877</v>
      </c>
      <c r="D240" s="136" t="s">
        <v>1054</v>
      </c>
      <c r="E240" s="137">
        <v>22104</v>
      </c>
      <c r="F240" s="137">
        <v>0</v>
      </c>
      <c r="G240" s="137">
        <v>22104</v>
      </c>
      <c r="H240" s="137">
        <v>0</v>
      </c>
      <c r="I240" s="135"/>
      <c r="J240" s="138">
        <v>0</v>
      </c>
      <c r="K240" s="133"/>
      <c r="L240" s="133">
        <v>701</v>
      </c>
      <c r="M240" s="139">
        <v>46055</v>
      </c>
      <c r="N240" s="140" t="s">
        <v>950</v>
      </c>
      <c r="O240" s="134">
        <v>202</v>
      </c>
    </row>
    <row r="241" spans="1:15" x14ac:dyDescent="0.25">
      <c r="A241" s="133">
        <v>241</v>
      </c>
      <c r="B241" s="134" t="s">
        <v>1123</v>
      </c>
      <c r="C241" s="135">
        <v>435877</v>
      </c>
      <c r="D241" s="136" t="s">
        <v>1054</v>
      </c>
      <c r="E241" s="137">
        <v>6900</v>
      </c>
      <c r="F241" s="137">
        <v>0</v>
      </c>
      <c r="G241" s="137">
        <v>6900</v>
      </c>
      <c r="H241" s="137">
        <v>0</v>
      </c>
      <c r="I241" s="135"/>
      <c r="J241" s="138">
        <v>0</v>
      </c>
      <c r="K241" s="133"/>
      <c r="L241" s="133">
        <v>701</v>
      </c>
      <c r="M241" s="139">
        <v>46055</v>
      </c>
      <c r="N241" s="140" t="s">
        <v>950</v>
      </c>
      <c r="O241" s="134">
        <v>205</v>
      </c>
    </row>
    <row r="242" spans="1:15" x14ac:dyDescent="0.25">
      <c r="A242" s="133">
        <v>242</v>
      </c>
      <c r="B242" s="134" t="s">
        <v>1124</v>
      </c>
      <c r="C242" s="135">
        <v>3258598</v>
      </c>
      <c r="D242" s="136" t="s">
        <v>1054</v>
      </c>
      <c r="E242" s="137">
        <v>1992900</v>
      </c>
      <c r="F242" s="137">
        <v>0</v>
      </c>
      <c r="G242" s="137">
        <v>1992900</v>
      </c>
      <c r="H242" s="137">
        <v>0</v>
      </c>
      <c r="I242" s="135"/>
      <c r="J242" s="138">
        <v>0</v>
      </c>
      <c r="K242" s="133"/>
      <c r="L242" s="133">
        <v>701</v>
      </c>
      <c r="M242" s="139">
        <v>46055</v>
      </c>
      <c r="N242" s="140" t="s">
        <v>950</v>
      </c>
      <c r="O242" s="134">
        <v>101</v>
      </c>
    </row>
    <row r="243" spans="1:15" x14ac:dyDescent="0.25">
      <c r="A243" s="133">
        <v>243</v>
      </c>
      <c r="B243" s="134" t="s">
        <v>1125</v>
      </c>
      <c r="C243" s="135">
        <v>2701536</v>
      </c>
      <c r="D243" s="136" t="s">
        <v>1054</v>
      </c>
      <c r="E243" s="137">
        <v>45430</v>
      </c>
      <c r="F243" s="137">
        <v>0</v>
      </c>
      <c r="G243" s="137">
        <v>45430</v>
      </c>
      <c r="H243" s="137">
        <v>0</v>
      </c>
      <c r="I243" s="135"/>
      <c r="J243" s="138">
        <v>0</v>
      </c>
      <c r="K243" s="133"/>
      <c r="L243" s="133">
        <v>701</v>
      </c>
      <c r="M243" s="139">
        <v>46055</v>
      </c>
      <c r="N243" s="140" t="s">
        <v>950</v>
      </c>
      <c r="O243" s="134">
        <v>203</v>
      </c>
    </row>
    <row r="244" spans="1:15" x14ac:dyDescent="0.25">
      <c r="A244" s="133">
        <v>244</v>
      </c>
      <c r="B244" s="134" t="s">
        <v>1125</v>
      </c>
      <c r="C244" s="135">
        <v>2701536</v>
      </c>
      <c r="D244" s="136" t="s">
        <v>1054</v>
      </c>
      <c r="E244" s="137">
        <v>46867</v>
      </c>
      <c r="F244" s="137">
        <v>0</v>
      </c>
      <c r="G244" s="137">
        <v>46867</v>
      </c>
      <c r="H244" s="137">
        <v>0</v>
      </c>
      <c r="I244" s="135"/>
      <c r="J244" s="138">
        <v>0</v>
      </c>
      <c r="K244" s="133"/>
      <c r="L244" s="133">
        <v>701</v>
      </c>
      <c r="M244" s="139">
        <v>46055</v>
      </c>
      <c r="N244" s="140" t="s">
        <v>950</v>
      </c>
      <c r="O244" s="134">
        <v>205</v>
      </c>
    </row>
    <row r="245" spans="1:15" x14ac:dyDescent="0.25">
      <c r="A245" s="133">
        <v>245</v>
      </c>
      <c r="B245" s="134" t="s">
        <v>1126</v>
      </c>
      <c r="C245" s="135">
        <v>834036</v>
      </c>
      <c r="D245" s="136" t="s">
        <v>1054</v>
      </c>
      <c r="E245" s="137">
        <v>20004</v>
      </c>
      <c r="F245" s="137">
        <v>0</v>
      </c>
      <c r="G245" s="137">
        <v>20004</v>
      </c>
      <c r="H245" s="137">
        <v>0</v>
      </c>
      <c r="I245" s="135"/>
      <c r="J245" s="138">
        <v>0</v>
      </c>
      <c r="K245" s="133"/>
      <c r="L245" s="133">
        <v>701</v>
      </c>
      <c r="M245" s="139">
        <v>46055</v>
      </c>
      <c r="N245" s="140" t="s">
        <v>950</v>
      </c>
      <c r="O245" s="134">
        <v>202</v>
      </c>
    </row>
    <row r="246" spans="1:15" x14ac:dyDescent="0.25">
      <c r="A246" s="133">
        <v>246</v>
      </c>
      <c r="B246" s="134" t="s">
        <v>1127</v>
      </c>
      <c r="C246" s="135">
        <v>33385362</v>
      </c>
      <c r="D246" s="136" t="s">
        <v>1054</v>
      </c>
      <c r="E246" s="137">
        <v>90574</v>
      </c>
      <c r="F246" s="137">
        <v>0</v>
      </c>
      <c r="G246" s="137">
        <v>90574</v>
      </c>
      <c r="H246" s="137">
        <v>0</v>
      </c>
      <c r="I246" s="135"/>
      <c r="J246" s="138">
        <v>0</v>
      </c>
      <c r="K246" s="133"/>
      <c r="L246" s="133">
        <v>701</v>
      </c>
      <c r="M246" s="139">
        <v>46055</v>
      </c>
      <c r="N246" s="140" t="s">
        <v>950</v>
      </c>
      <c r="O246" s="134">
        <v>102</v>
      </c>
    </row>
    <row r="247" spans="1:15" x14ac:dyDescent="0.25">
      <c r="A247" s="133">
        <v>247</v>
      </c>
      <c r="B247" s="134" t="s">
        <v>1127</v>
      </c>
      <c r="C247" s="135">
        <v>33385362</v>
      </c>
      <c r="D247" s="136" t="s">
        <v>1054</v>
      </c>
      <c r="E247" s="137">
        <v>579610</v>
      </c>
      <c r="F247" s="137">
        <v>0</v>
      </c>
      <c r="G247" s="137">
        <v>579610</v>
      </c>
      <c r="H247" s="137">
        <v>0</v>
      </c>
      <c r="I247" s="135"/>
      <c r="J247" s="138">
        <v>0</v>
      </c>
      <c r="K247" s="133"/>
      <c r="L247" s="133">
        <v>701</v>
      </c>
      <c r="M247" s="139">
        <v>46055</v>
      </c>
      <c r="N247" s="140" t="s">
        <v>950</v>
      </c>
      <c r="O247" s="134">
        <v>111</v>
      </c>
    </row>
    <row r="248" spans="1:15" x14ac:dyDescent="0.25">
      <c r="A248" s="133">
        <v>248</v>
      </c>
      <c r="B248" s="134" t="s">
        <v>1127</v>
      </c>
      <c r="C248" s="135">
        <v>33385362</v>
      </c>
      <c r="D248" s="136" t="s">
        <v>1054</v>
      </c>
      <c r="E248" s="137">
        <v>702396</v>
      </c>
      <c r="F248" s="137">
        <v>0</v>
      </c>
      <c r="G248" s="137">
        <v>702396</v>
      </c>
      <c r="H248" s="137">
        <v>0</v>
      </c>
      <c r="I248" s="135"/>
      <c r="J248" s="138">
        <v>0</v>
      </c>
      <c r="K248" s="133"/>
      <c r="L248" s="133">
        <v>701</v>
      </c>
      <c r="M248" s="139">
        <v>46055</v>
      </c>
      <c r="N248" s="140" t="s">
        <v>950</v>
      </c>
      <c r="O248" s="134">
        <v>201</v>
      </c>
    </row>
    <row r="249" spans="1:15" x14ac:dyDescent="0.25">
      <c r="A249" s="133">
        <v>249</v>
      </c>
      <c r="B249" s="134" t="s">
        <v>1127</v>
      </c>
      <c r="C249" s="135">
        <v>33385362</v>
      </c>
      <c r="D249" s="136" t="s">
        <v>1054</v>
      </c>
      <c r="E249" s="137">
        <v>4845512</v>
      </c>
      <c r="F249" s="137">
        <v>2130000</v>
      </c>
      <c r="G249" s="137">
        <v>2715512</v>
      </c>
      <c r="H249" s="137">
        <v>0</v>
      </c>
      <c r="I249" s="135"/>
      <c r="J249" s="138">
        <v>0</v>
      </c>
      <c r="K249" s="133"/>
      <c r="L249" s="133">
        <v>701</v>
      </c>
      <c r="M249" s="139">
        <v>46055</v>
      </c>
      <c r="N249" s="140" t="s">
        <v>1128</v>
      </c>
      <c r="O249" s="134">
        <v>203</v>
      </c>
    </row>
    <row r="250" spans="1:15" x14ac:dyDescent="0.25">
      <c r="A250" s="133">
        <v>250</v>
      </c>
      <c r="B250" s="134" t="s">
        <v>1127</v>
      </c>
      <c r="C250" s="135">
        <v>33385362</v>
      </c>
      <c r="D250" s="136" t="s">
        <v>1054</v>
      </c>
      <c r="E250" s="137">
        <v>1446361</v>
      </c>
      <c r="F250" s="137">
        <v>446000</v>
      </c>
      <c r="G250" s="137">
        <v>1000361</v>
      </c>
      <c r="H250" s="137">
        <v>0</v>
      </c>
      <c r="I250" s="135"/>
      <c r="J250" s="138">
        <v>0</v>
      </c>
      <c r="K250" s="133"/>
      <c r="L250" s="133">
        <v>701</v>
      </c>
      <c r="M250" s="139">
        <v>46055</v>
      </c>
      <c r="N250" s="140" t="s">
        <v>1129</v>
      </c>
      <c r="O250" s="134">
        <v>205</v>
      </c>
    </row>
    <row r="251" spans="1:15" x14ac:dyDescent="0.25">
      <c r="A251" s="133">
        <v>251</v>
      </c>
      <c r="B251" s="134" t="s">
        <v>1130</v>
      </c>
      <c r="C251" s="135">
        <v>340257</v>
      </c>
      <c r="D251" s="136" t="s">
        <v>1054</v>
      </c>
      <c r="E251" s="137">
        <v>144357</v>
      </c>
      <c r="F251" s="137">
        <v>0</v>
      </c>
      <c r="G251" s="137">
        <v>144357</v>
      </c>
      <c r="H251" s="137">
        <v>0</v>
      </c>
      <c r="I251" s="135"/>
      <c r="J251" s="138">
        <v>0</v>
      </c>
      <c r="K251" s="133"/>
      <c r="L251" s="133">
        <v>701</v>
      </c>
      <c r="M251" s="139">
        <v>46055</v>
      </c>
      <c r="N251" s="140" t="s">
        <v>950</v>
      </c>
      <c r="O251" s="134">
        <v>223</v>
      </c>
    </row>
    <row r="252" spans="1:15" x14ac:dyDescent="0.25">
      <c r="A252" s="133">
        <v>252</v>
      </c>
      <c r="B252" s="134" t="s">
        <v>1131</v>
      </c>
      <c r="C252" s="135">
        <v>19026151</v>
      </c>
      <c r="D252" s="136" t="s">
        <v>1054</v>
      </c>
      <c r="E252" s="137">
        <v>1243286</v>
      </c>
      <c r="F252" s="137">
        <v>0</v>
      </c>
      <c r="G252" s="137">
        <v>1243286</v>
      </c>
      <c r="H252" s="137">
        <v>0</v>
      </c>
      <c r="I252" s="135"/>
      <c r="J252" s="138">
        <v>0</v>
      </c>
      <c r="K252" s="133"/>
      <c r="L252" s="133">
        <v>701</v>
      </c>
      <c r="M252" s="139">
        <v>46055</v>
      </c>
      <c r="N252" s="140" t="s">
        <v>950</v>
      </c>
      <c r="O252" s="134">
        <v>111</v>
      </c>
    </row>
    <row r="253" spans="1:15" x14ac:dyDescent="0.25">
      <c r="A253" s="133">
        <v>253</v>
      </c>
      <c r="B253" s="134" t="s">
        <v>1131</v>
      </c>
      <c r="C253" s="135">
        <v>19026151</v>
      </c>
      <c r="D253" s="136" t="s">
        <v>1054</v>
      </c>
      <c r="E253" s="137">
        <v>1305564</v>
      </c>
      <c r="F253" s="137">
        <v>515000</v>
      </c>
      <c r="G253" s="137">
        <v>790564</v>
      </c>
      <c r="H253" s="137">
        <v>0</v>
      </c>
      <c r="I253" s="135"/>
      <c r="J253" s="138">
        <v>0</v>
      </c>
      <c r="K253" s="133"/>
      <c r="L253" s="133">
        <v>701</v>
      </c>
      <c r="M253" s="139">
        <v>46055</v>
      </c>
      <c r="N253" s="140" t="s">
        <v>1132</v>
      </c>
      <c r="O253" s="134">
        <v>201</v>
      </c>
    </row>
    <row r="254" spans="1:15" x14ac:dyDescent="0.25">
      <c r="A254" s="133">
        <v>254</v>
      </c>
      <c r="B254" s="134" t="s">
        <v>1131</v>
      </c>
      <c r="C254" s="135">
        <v>19026151</v>
      </c>
      <c r="D254" s="136" t="s">
        <v>1054</v>
      </c>
      <c r="E254" s="137">
        <v>1379200</v>
      </c>
      <c r="F254" s="137">
        <v>0</v>
      </c>
      <c r="G254" s="137">
        <v>1379200</v>
      </c>
      <c r="H254" s="137">
        <v>0</v>
      </c>
      <c r="I254" s="135"/>
      <c r="J254" s="138">
        <v>0</v>
      </c>
      <c r="K254" s="133"/>
      <c r="L254" s="133">
        <v>701</v>
      </c>
      <c r="M254" s="139">
        <v>46055</v>
      </c>
      <c r="N254" s="140" t="s">
        <v>950</v>
      </c>
      <c r="O254" s="134">
        <v>306</v>
      </c>
    </row>
    <row r="255" spans="1:15" x14ac:dyDescent="0.25">
      <c r="A255" s="133">
        <v>255</v>
      </c>
      <c r="B255" s="134" t="s">
        <v>1131</v>
      </c>
      <c r="C255" s="135">
        <v>19026151</v>
      </c>
      <c r="D255" s="136" t="s">
        <v>1054</v>
      </c>
      <c r="E255" s="137">
        <v>329101</v>
      </c>
      <c r="F255" s="137">
        <v>0</v>
      </c>
      <c r="G255" s="137">
        <v>329101</v>
      </c>
      <c r="H255" s="137">
        <v>0</v>
      </c>
      <c r="I255" s="135"/>
      <c r="J255" s="138">
        <v>0</v>
      </c>
      <c r="K255" s="133"/>
      <c r="L255" s="133">
        <v>701</v>
      </c>
      <c r="M255" s="139">
        <v>46055</v>
      </c>
      <c r="N255" s="140" t="s">
        <v>950</v>
      </c>
      <c r="O255" s="134">
        <v>338</v>
      </c>
    </row>
    <row r="256" spans="1:15" x14ac:dyDescent="0.25">
      <c r="A256" s="133">
        <v>256</v>
      </c>
      <c r="B256" s="134" t="s">
        <v>1133</v>
      </c>
      <c r="C256" s="135">
        <v>546188</v>
      </c>
      <c r="D256" s="136" t="s">
        <v>1054</v>
      </c>
      <c r="E256" s="137">
        <v>702</v>
      </c>
      <c r="F256" s="137">
        <v>0</v>
      </c>
      <c r="G256" s="137">
        <v>702</v>
      </c>
      <c r="H256" s="137">
        <v>0</v>
      </c>
      <c r="I256" s="135"/>
      <c r="J256" s="138">
        <v>0</v>
      </c>
      <c r="K256" s="133"/>
      <c r="L256" s="133">
        <v>701</v>
      </c>
      <c r="M256" s="139">
        <v>46055</v>
      </c>
      <c r="N256" s="140" t="s">
        <v>950</v>
      </c>
      <c r="O256" s="134" t="s">
        <v>1016</v>
      </c>
    </row>
    <row r="257" spans="1:15" x14ac:dyDescent="0.25">
      <c r="A257" s="133">
        <v>257</v>
      </c>
      <c r="B257" s="134" t="s">
        <v>1134</v>
      </c>
      <c r="C257" s="135">
        <v>475600</v>
      </c>
      <c r="D257" s="136" t="s">
        <v>1054</v>
      </c>
      <c r="E257" s="137">
        <v>22100</v>
      </c>
      <c r="F257" s="137">
        <v>0</v>
      </c>
      <c r="G257" s="137">
        <v>22100</v>
      </c>
      <c r="H257" s="137">
        <v>0</v>
      </c>
      <c r="I257" s="135"/>
      <c r="J257" s="138">
        <v>0</v>
      </c>
      <c r="K257" s="133"/>
      <c r="L257" s="133">
        <v>701</v>
      </c>
      <c r="M257" s="139">
        <v>46055</v>
      </c>
      <c r="N257" s="140" t="s">
        <v>950</v>
      </c>
      <c r="O257" s="134" t="s">
        <v>185</v>
      </c>
    </row>
    <row r="258" spans="1:15" x14ac:dyDescent="0.25">
      <c r="A258" s="133">
        <v>258</v>
      </c>
      <c r="B258" s="134" t="s">
        <v>1134</v>
      </c>
      <c r="C258" s="135">
        <v>475600</v>
      </c>
      <c r="D258" s="136" t="s">
        <v>1054</v>
      </c>
      <c r="E258" s="137">
        <v>18500</v>
      </c>
      <c r="F258" s="137">
        <v>0</v>
      </c>
      <c r="G258" s="137">
        <v>18500</v>
      </c>
      <c r="H258" s="137">
        <v>0</v>
      </c>
      <c r="I258" s="135"/>
      <c r="J258" s="138">
        <v>0</v>
      </c>
      <c r="K258" s="133"/>
      <c r="L258" s="133">
        <v>701</v>
      </c>
      <c r="M258" s="139">
        <v>46055</v>
      </c>
      <c r="N258" s="140" t="s">
        <v>950</v>
      </c>
      <c r="O258" s="134" t="s">
        <v>212</v>
      </c>
    </row>
    <row r="259" spans="1:15" x14ac:dyDescent="0.25">
      <c r="A259" s="133">
        <v>259</v>
      </c>
      <c r="B259" s="134" t="s">
        <v>1134</v>
      </c>
      <c r="C259" s="135">
        <v>475600</v>
      </c>
      <c r="D259" s="136" t="s">
        <v>1054</v>
      </c>
      <c r="E259" s="137">
        <v>31500</v>
      </c>
      <c r="F259" s="137">
        <v>0</v>
      </c>
      <c r="G259" s="137">
        <v>31500</v>
      </c>
      <c r="H259" s="137">
        <v>0</v>
      </c>
      <c r="I259" s="135"/>
      <c r="J259" s="138">
        <v>0</v>
      </c>
      <c r="K259" s="133"/>
      <c r="L259" s="133">
        <v>701</v>
      </c>
      <c r="M259" s="139">
        <v>46055</v>
      </c>
      <c r="N259" s="140" t="s">
        <v>950</v>
      </c>
      <c r="O259" s="134" t="s">
        <v>1135</v>
      </c>
    </row>
    <row r="260" spans="1:15" x14ac:dyDescent="0.25">
      <c r="A260" s="133">
        <v>260</v>
      </c>
      <c r="B260" s="134" t="s">
        <v>1136</v>
      </c>
      <c r="C260" s="135">
        <v>25089425</v>
      </c>
      <c r="D260" s="136" t="s">
        <v>1054</v>
      </c>
      <c r="E260" s="137">
        <v>7500</v>
      </c>
      <c r="F260" s="137">
        <v>0</v>
      </c>
      <c r="G260" s="137">
        <v>7500</v>
      </c>
      <c r="H260" s="137">
        <v>0</v>
      </c>
      <c r="I260" s="135"/>
      <c r="J260" s="138">
        <v>0</v>
      </c>
      <c r="K260" s="133"/>
      <c r="L260" s="133">
        <v>701</v>
      </c>
      <c r="M260" s="139">
        <v>46055</v>
      </c>
      <c r="N260" s="140" t="s">
        <v>950</v>
      </c>
      <c r="O260" s="134" t="s">
        <v>185</v>
      </c>
    </row>
    <row r="261" spans="1:15" x14ac:dyDescent="0.25">
      <c r="A261" s="133">
        <v>261</v>
      </c>
      <c r="B261" s="134" t="s">
        <v>1136</v>
      </c>
      <c r="C261" s="135">
        <v>25089425</v>
      </c>
      <c r="D261" s="136" t="s">
        <v>1054</v>
      </c>
      <c r="E261" s="137">
        <v>548169</v>
      </c>
      <c r="F261" s="137">
        <v>0</v>
      </c>
      <c r="G261" s="137">
        <v>548169</v>
      </c>
      <c r="H261" s="137">
        <v>0</v>
      </c>
      <c r="I261" s="135"/>
      <c r="J261" s="138">
        <v>0</v>
      </c>
      <c r="K261" s="133"/>
      <c r="L261" s="133">
        <v>701</v>
      </c>
      <c r="M261" s="139">
        <v>46055</v>
      </c>
      <c r="N261" s="140" t="s">
        <v>950</v>
      </c>
      <c r="O261" s="134" t="s">
        <v>212</v>
      </c>
    </row>
    <row r="262" spans="1:15" x14ac:dyDescent="0.25">
      <c r="A262" s="133">
        <v>262</v>
      </c>
      <c r="B262" s="134" t="s">
        <v>1136</v>
      </c>
      <c r="C262" s="135">
        <v>25089425</v>
      </c>
      <c r="D262" s="136" t="s">
        <v>1054</v>
      </c>
      <c r="E262" s="137">
        <v>3400</v>
      </c>
      <c r="F262" s="137">
        <v>0</v>
      </c>
      <c r="G262" s="137">
        <v>3400</v>
      </c>
      <c r="H262" s="137">
        <v>0</v>
      </c>
      <c r="I262" s="135"/>
      <c r="J262" s="138">
        <v>0</v>
      </c>
      <c r="K262" s="133"/>
      <c r="L262" s="133">
        <v>701</v>
      </c>
      <c r="M262" s="139">
        <v>46055</v>
      </c>
      <c r="N262" s="140" t="s">
        <v>950</v>
      </c>
      <c r="O262" s="134" t="s">
        <v>230</v>
      </c>
    </row>
    <row r="263" spans="1:15" x14ac:dyDescent="0.25">
      <c r="A263" s="133">
        <v>263</v>
      </c>
      <c r="B263" s="134" t="s">
        <v>1136</v>
      </c>
      <c r="C263" s="135">
        <v>25089425</v>
      </c>
      <c r="D263" s="136" t="s">
        <v>1054</v>
      </c>
      <c r="E263" s="137">
        <v>5819325</v>
      </c>
      <c r="F263" s="137">
        <v>2645000</v>
      </c>
      <c r="G263" s="137">
        <v>3174325</v>
      </c>
      <c r="H263" s="137">
        <v>0</v>
      </c>
      <c r="I263" s="135"/>
      <c r="J263" s="138">
        <v>0</v>
      </c>
      <c r="K263" s="133"/>
      <c r="L263" s="133">
        <v>701</v>
      </c>
      <c r="M263" s="139">
        <v>46055</v>
      </c>
      <c r="N263" s="140" t="s">
        <v>1137</v>
      </c>
      <c r="O263" s="134" t="s">
        <v>215</v>
      </c>
    </row>
    <row r="264" spans="1:15" x14ac:dyDescent="0.25">
      <c r="A264" s="133">
        <v>264</v>
      </c>
      <c r="B264" s="134" t="s">
        <v>1136</v>
      </c>
      <c r="C264" s="135">
        <v>25089425</v>
      </c>
      <c r="D264" s="136" t="s">
        <v>1054</v>
      </c>
      <c r="E264" s="137">
        <v>56171</v>
      </c>
      <c r="F264" s="137">
        <v>0</v>
      </c>
      <c r="G264" s="137">
        <v>56171</v>
      </c>
      <c r="H264" s="137">
        <v>0</v>
      </c>
      <c r="I264" s="135"/>
      <c r="J264" s="138">
        <v>0</v>
      </c>
      <c r="K264" s="133"/>
      <c r="L264" s="133">
        <v>701</v>
      </c>
      <c r="M264" s="139">
        <v>46055</v>
      </c>
      <c r="N264" s="140" t="s">
        <v>950</v>
      </c>
      <c r="O264" s="134" t="s">
        <v>1016</v>
      </c>
    </row>
    <row r="265" spans="1:15" x14ac:dyDescent="0.25">
      <c r="A265" s="133">
        <v>265</v>
      </c>
      <c r="B265" s="134" t="s">
        <v>1136</v>
      </c>
      <c r="C265" s="135">
        <v>25089425</v>
      </c>
      <c r="D265" s="136" t="s">
        <v>1054</v>
      </c>
      <c r="E265" s="137">
        <v>169400</v>
      </c>
      <c r="F265" s="137">
        <v>0</v>
      </c>
      <c r="G265" s="137">
        <v>169400</v>
      </c>
      <c r="H265" s="137">
        <v>0</v>
      </c>
      <c r="I265" s="135"/>
      <c r="J265" s="138">
        <v>0</v>
      </c>
      <c r="K265" s="133"/>
      <c r="L265" s="133">
        <v>701</v>
      </c>
      <c r="M265" s="139">
        <v>46055</v>
      </c>
      <c r="N265" s="140" t="s">
        <v>950</v>
      </c>
      <c r="O265" s="134" t="s">
        <v>1138</v>
      </c>
    </row>
    <row r="266" spans="1:15" x14ac:dyDescent="0.25">
      <c r="A266" s="133">
        <v>266</v>
      </c>
      <c r="B266" s="134" t="s">
        <v>1136</v>
      </c>
      <c r="C266" s="135">
        <v>25089425</v>
      </c>
      <c r="D266" s="136" t="s">
        <v>1054</v>
      </c>
      <c r="E266" s="137">
        <v>71100</v>
      </c>
      <c r="F266" s="137">
        <v>0</v>
      </c>
      <c r="G266" s="137">
        <v>71100</v>
      </c>
      <c r="H266" s="137">
        <v>0</v>
      </c>
      <c r="I266" s="135"/>
      <c r="J266" s="138">
        <v>0</v>
      </c>
      <c r="K266" s="133"/>
      <c r="L266" s="133">
        <v>701</v>
      </c>
      <c r="M266" s="139">
        <v>46055</v>
      </c>
      <c r="N266" s="140" t="s">
        <v>950</v>
      </c>
      <c r="O266" s="134" t="s">
        <v>201</v>
      </c>
    </row>
    <row r="267" spans="1:15" x14ac:dyDescent="0.25">
      <c r="A267" s="133">
        <v>267</v>
      </c>
      <c r="B267" s="134" t="s">
        <v>1136</v>
      </c>
      <c r="C267" s="135">
        <v>25089425</v>
      </c>
      <c r="D267" s="136" t="s">
        <v>1054</v>
      </c>
      <c r="E267" s="137">
        <v>979600</v>
      </c>
      <c r="F267" s="137">
        <v>0</v>
      </c>
      <c r="G267" s="137">
        <v>979600</v>
      </c>
      <c r="H267" s="137">
        <v>0</v>
      </c>
      <c r="I267" s="135"/>
      <c r="J267" s="138">
        <v>0</v>
      </c>
      <c r="K267" s="133"/>
      <c r="L267" s="133">
        <v>701</v>
      </c>
      <c r="M267" s="139">
        <v>46055</v>
      </c>
      <c r="N267" s="140" t="s">
        <v>950</v>
      </c>
      <c r="O267" s="134" t="s">
        <v>1139</v>
      </c>
    </row>
    <row r="268" spans="1:15" x14ac:dyDescent="0.25">
      <c r="A268" s="133">
        <v>268</v>
      </c>
      <c r="B268" s="134" t="s">
        <v>1140</v>
      </c>
      <c r="C268" s="135">
        <v>7005063</v>
      </c>
      <c r="D268" s="136" t="s">
        <v>1054</v>
      </c>
      <c r="E268" s="137">
        <v>433977</v>
      </c>
      <c r="F268" s="137">
        <v>0</v>
      </c>
      <c r="G268" s="137">
        <v>433977</v>
      </c>
      <c r="H268" s="137">
        <v>0</v>
      </c>
      <c r="I268" s="135"/>
      <c r="J268" s="138">
        <v>0</v>
      </c>
      <c r="K268" s="133"/>
      <c r="L268" s="133">
        <v>701</v>
      </c>
      <c r="M268" s="139">
        <v>46055</v>
      </c>
      <c r="N268" s="140" t="s">
        <v>950</v>
      </c>
      <c r="O268" s="134" t="s">
        <v>230</v>
      </c>
    </row>
    <row r="269" spans="1:15" x14ac:dyDescent="0.25">
      <c r="A269" s="133">
        <v>269</v>
      </c>
      <c r="B269" s="134" t="s">
        <v>1140</v>
      </c>
      <c r="C269" s="135">
        <v>7005063</v>
      </c>
      <c r="D269" s="136" t="s">
        <v>1054</v>
      </c>
      <c r="E269" s="137">
        <v>11700</v>
      </c>
      <c r="F269" s="137">
        <v>0</v>
      </c>
      <c r="G269" s="137">
        <v>11700</v>
      </c>
      <c r="H269" s="137">
        <v>0</v>
      </c>
      <c r="I269" s="135"/>
      <c r="J269" s="138">
        <v>0</v>
      </c>
      <c r="K269" s="133"/>
      <c r="L269" s="133">
        <v>701</v>
      </c>
      <c r="M269" s="139">
        <v>46055</v>
      </c>
      <c r="N269" s="140" t="s">
        <v>950</v>
      </c>
      <c r="O269" s="134" t="s">
        <v>1138</v>
      </c>
    </row>
    <row r="270" spans="1:15" x14ac:dyDescent="0.25">
      <c r="A270" s="133">
        <v>270</v>
      </c>
      <c r="B270" s="134" t="s">
        <v>1140</v>
      </c>
      <c r="C270" s="135">
        <v>7005063</v>
      </c>
      <c r="D270" s="136" t="s">
        <v>1054</v>
      </c>
      <c r="E270" s="137">
        <v>110000</v>
      </c>
      <c r="F270" s="137">
        <v>0</v>
      </c>
      <c r="G270" s="137">
        <v>110000</v>
      </c>
      <c r="H270" s="137">
        <v>0</v>
      </c>
      <c r="I270" s="135"/>
      <c r="J270" s="138">
        <v>0</v>
      </c>
      <c r="K270" s="133"/>
      <c r="L270" s="133">
        <v>701</v>
      </c>
      <c r="M270" s="139">
        <v>46055</v>
      </c>
      <c r="N270" s="140" t="s">
        <v>950</v>
      </c>
      <c r="O270" s="134" t="s">
        <v>1139</v>
      </c>
    </row>
    <row r="271" spans="1:15" x14ac:dyDescent="0.25">
      <c r="A271" s="133">
        <v>271</v>
      </c>
      <c r="B271" s="134" t="s">
        <v>1140</v>
      </c>
      <c r="C271" s="135">
        <v>7005063</v>
      </c>
      <c r="D271" s="136" t="s">
        <v>1054</v>
      </c>
      <c r="E271" s="137">
        <v>5571800</v>
      </c>
      <c r="F271" s="137">
        <v>0</v>
      </c>
      <c r="G271" s="137">
        <v>5571800</v>
      </c>
      <c r="H271" s="137">
        <v>0</v>
      </c>
      <c r="I271" s="135"/>
      <c r="J271" s="138">
        <v>0</v>
      </c>
      <c r="K271" s="133"/>
      <c r="L271" s="133">
        <v>701</v>
      </c>
      <c r="M271" s="139">
        <v>46055</v>
      </c>
      <c r="N271" s="140" t="s">
        <v>950</v>
      </c>
      <c r="O271" s="134" t="s">
        <v>314</v>
      </c>
    </row>
    <row r="272" spans="1:15" x14ac:dyDescent="0.25">
      <c r="A272" s="133">
        <v>272</v>
      </c>
      <c r="B272" s="134" t="s">
        <v>1141</v>
      </c>
      <c r="C272" s="135">
        <v>56000</v>
      </c>
      <c r="D272" s="136" t="s">
        <v>1054</v>
      </c>
      <c r="E272" s="137">
        <v>12300</v>
      </c>
      <c r="F272" s="137">
        <v>0</v>
      </c>
      <c r="G272" s="137">
        <v>12300</v>
      </c>
      <c r="H272" s="137">
        <v>0</v>
      </c>
      <c r="I272" s="135"/>
      <c r="J272" s="138">
        <v>0</v>
      </c>
      <c r="K272" s="133"/>
      <c r="L272" s="133">
        <v>701</v>
      </c>
      <c r="M272" s="139">
        <v>46055</v>
      </c>
      <c r="N272" s="140" t="s">
        <v>950</v>
      </c>
      <c r="O272" s="134" t="s">
        <v>1142</v>
      </c>
    </row>
    <row r="273" spans="1:15" x14ac:dyDescent="0.25">
      <c r="A273" s="133">
        <v>273</v>
      </c>
      <c r="B273" s="134" t="s">
        <v>1143</v>
      </c>
      <c r="C273" s="135">
        <v>3848360</v>
      </c>
      <c r="D273" s="136" t="s">
        <v>1054</v>
      </c>
      <c r="E273" s="137">
        <v>285300</v>
      </c>
      <c r="F273" s="137">
        <v>0</v>
      </c>
      <c r="G273" s="137">
        <v>285300</v>
      </c>
      <c r="H273" s="137">
        <v>0</v>
      </c>
      <c r="I273" s="135"/>
      <c r="J273" s="138">
        <v>0</v>
      </c>
      <c r="K273" s="133"/>
      <c r="L273" s="133">
        <v>701</v>
      </c>
      <c r="M273" s="139">
        <v>46055</v>
      </c>
      <c r="N273" s="140" t="s">
        <v>950</v>
      </c>
      <c r="O273" s="134" t="s">
        <v>201</v>
      </c>
    </row>
    <row r="274" spans="1:15" x14ac:dyDescent="0.25">
      <c r="A274" s="133">
        <v>274</v>
      </c>
      <c r="B274" s="134" t="s">
        <v>1144</v>
      </c>
      <c r="C274" s="135">
        <v>11292442</v>
      </c>
      <c r="D274" s="136" t="s">
        <v>1054</v>
      </c>
      <c r="E274" s="137">
        <v>225222</v>
      </c>
      <c r="F274" s="137">
        <v>0</v>
      </c>
      <c r="G274" s="137">
        <v>225222</v>
      </c>
      <c r="H274" s="137">
        <v>0</v>
      </c>
      <c r="I274" s="135"/>
      <c r="J274" s="138">
        <v>0</v>
      </c>
      <c r="K274" s="133"/>
      <c r="L274" s="133">
        <v>701</v>
      </c>
      <c r="M274" s="139">
        <v>46055</v>
      </c>
      <c r="N274" s="140" t="s">
        <v>950</v>
      </c>
      <c r="O274" s="134" t="s">
        <v>309</v>
      </c>
    </row>
    <row r="275" spans="1:15" x14ac:dyDescent="0.25">
      <c r="A275" s="133">
        <v>275</v>
      </c>
      <c r="B275" s="134" t="s">
        <v>1144</v>
      </c>
      <c r="C275" s="135">
        <v>11292442</v>
      </c>
      <c r="D275" s="136" t="s">
        <v>1054</v>
      </c>
      <c r="E275" s="137">
        <v>870400</v>
      </c>
      <c r="F275" s="137">
        <v>0</v>
      </c>
      <c r="G275" s="137">
        <v>870400</v>
      </c>
      <c r="H275" s="137">
        <v>0</v>
      </c>
      <c r="I275" s="135"/>
      <c r="J275" s="138">
        <v>0</v>
      </c>
      <c r="K275" s="133"/>
      <c r="L275" s="133">
        <v>701</v>
      </c>
      <c r="M275" s="139">
        <v>46055</v>
      </c>
      <c r="N275" s="140" t="s">
        <v>950</v>
      </c>
      <c r="O275" s="134" t="s">
        <v>208</v>
      </c>
    </row>
    <row r="276" spans="1:15" x14ac:dyDescent="0.25">
      <c r="A276" s="133">
        <v>276</v>
      </c>
      <c r="B276" s="134" t="s">
        <v>1145</v>
      </c>
      <c r="C276" s="135">
        <v>3477900</v>
      </c>
      <c r="D276" s="136" t="s">
        <v>1054</v>
      </c>
      <c r="E276" s="137">
        <v>226239</v>
      </c>
      <c r="F276" s="137">
        <v>0</v>
      </c>
      <c r="G276" s="137">
        <v>226239</v>
      </c>
      <c r="H276" s="137">
        <v>0</v>
      </c>
      <c r="I276" s="135"/>
      <c r="J276" s="138">
        <v>0</v>
      </c>
      <c r="K276" s="133"/>
      <c r="L276" s="133">
        <v>701</v>
      </c>
      <c r="M276" s="139">
        <v>46055</v>
      </c>
      <c r="N276" s="140" t="s">
        <v>950</v>
      </c>
      <c r="O276" s="134" t="s">
        <v>1146</v>
      </c>
    </row>
    <row r="277" spans="1:15" x14ac:dyDescent="0.25">
      <c r="A277" s="133">
        <v>277</v>
      </c>
      <c r="B277" s="134" t="s">
        <v>1147</v>
      </c>
      <c r="C277" s="135">
        <v>2963400</v>
      </c>
      <c r="D277" s="136" t="s">
        <v>1054</v>
      </c>
      <c r="E277" s="137">
        <v>124700</v>
      </c>
      <c r="F277" s="137">
        <v>0</v>
      </c>
      <c r="G277" s="137">
        <v>124700</v>
      </c>
      <c r="H277" s="137">
        <v>0</v>
      </c>
      <c r="I277" s="135"/>
      <c r="J277" s="138">
        <v>0</v>
      </c>
      <c r="K277" s="133"/>
      <c r="L277" s="133">
        <v>701</v>
      </c>
      <c r="M277" s="139">
        <v>46055</v>
      </c>
      <c r="N277" s="140" t="s">
        <v>950</v>
      </c>
      <c r="O277" s="134" t="s">
        <v>241</v>
      </c>
    </row>
    <row r="278" spans="1:15" x14ac:dyDescent="0.25">
      <c r="A278" s="133">
        <v>278</v>
      </c>
      <c r="B278" s="134" t="s">
        <v>1147</v>
      </c>
      <c r="C278" s="135">
        <v>2963400</v>
      </c>
      <c r="D278" s="136" t="s">
        <v>1054</v>
      </c>
      <c r="E278" s="137">
        <v>8000</v>
      </c>
      <c r="F278" s="137">
        <v>0</v>
      </c>
      <c r="G278" s="137">
        <v>8000</v>
      </c>
      <c r="H278" s="137">
        <v>0</v>
      </c>
      <c r="I278" s="135"/>
      <c r="J278" s="138">
        <v>0</v>
      </c>
      <c r="K278" s="133"/>
      <c r="L278" s="133">
        <v>701</v>
      </c>
      <c r="M278" s="139">
        <v>46055</v>
      </c>
      <c r="N278" s="140" t="s">
        <v>950</v>
      </c>
      <c r="O278" s="134" t="s">
        <v>309</v>
      </c>
    </row>
    <row r="279" spans="1:15" x14ac:dyDescent="0.25">
      <c r="A279" s="133">
        <v>279</v>
      </c>
      <c r="B279" s="134" t="s">
        <v>1148</v>
      </c>
      <c r="C279" s="135">
        <v>142223983</v>
      </c>
      <c r="D279" s="136" t="s">
        <v>1054</v>
      </c>
      <c r="E279" s="137">
        <v>224800</v>
      </c>
      <c r="F279" s="137">
        <v>0</v>
      </c>
      <c r="G279" s="137">
        <v>224800</v>
      </c>
      <c r="H279" s="137">
        <v>0</v>
      </c>
      <c r="I279" s="135"/>
      <c r="J279" s="138">
        <v>0</v>
      </c>
      <c r="K279" s="133"/>
      <c r="L279" s="133">
        <v>701</v>
      </c>
      <c r="M279" s="139">
        <v>46055</v>
      </c>
      <c r="N279" s="140" t="s">
        <v>950</v>
      </c>
      <c r="O279" s="134" t="s">
        <v>185</v>
      </c>
    </row>
    <row r="280" spans="1:15" x14ac:dyDescent="0.25">
      <c r="A280" s="133">
        <v>280</v>
      </c>
      <c r="B280" s="134" t="s">
        <v>1148</v>
      </c>
      <c r="C280" s="135">
        <v>142223983</v>
      </c>
      <c r="D280" s="136" t="s">
        <v>1054</v>
      </c>
      <c r="E280" s="137">
        <v>392300</v>
      </c>
      <c r="F280" s="137">
        <v>321500</v>
      </c>
      <c r="G280" s="137">
        <v>70800</v>
      </c>
      <c r="H280" s="137">
        <v>0</v>
      </c>
      <c r="I280" s="135"/>
      <c r="J280" s="138">
        <v>0</v>
      </c>
      <c r="K280" s="133"/>
      <c r="L280" s="133">
        <v>701</v>
      </c>
      <c r="M280" s="139">
        <v>46055</v>
      </c>
      <c r="N280" s="140" t="s">
        <v>1149</v>
      </c>
      <c r="O280" s="134" t="s">
        <v>224</v>
      </c>
    </row>
    <row r="281" spans="1:15" x14ac:dyDescent="0.25">
      <c r="A281" s="133">
        <v>281</v>
      </c>
      <c r="B281" s="134" t="s">
        <v>1148</v>
      </c>
      <c r="C281" s="135">
        <v>142223983</v>
      </c>
      <c r="D281" s="136" t="s">
        <v>1054</v>
      </c>
      <c r="E281" s="137">
        <v>3892800</v>
      </c>
      <c r="F281" s="137">
        <v>0</v>
      </c>
      <c r="G281" s="137">
        <v>3892800</v>
      </c>
      <c r="H281" s="137">
        <v>0</v>
      </c>
      <c r="I281" s="135"/>
      <c r="J281" s="138">
        <v>0</v>
      </c>
      <c r="K281" s="133"/>
      <c r="L281" s="133">
        <v>701</v>
      </c>
      <c r="M281" s="139">
        <v>46055</v>
      </c>
      <c r="N281" s="140" t="s">
        <v>950</v>
      </c>
      <c r="O281" s="134" t="s">
        <v>1150</v>
      </c>
    </row>
    <row r="282" spans="1:15" x14ac:dyDescent="0.25">
      <c r="A282" s="133">
        <v>282</v>
      </c>
      <c r="B282" s="134" t="s">
        <v>1148</v>
      </c>
      <c r="C282" s="135">
        <v>142223983</v>
      </c>
      <c r="D282" s="136" t="s">
        <v>1054</v>
      </c>
      <c r="E282" s="137">
        <v>100600</v>
      </c>
      <c r="F282" s="137">
        <v>0</v>
      </c>
      <c r="G282" s="137">
        <v>100600</v>
      </c>
      <c r="H282" s="137">
        <v>0</v>
      </c>
      <c r="I282" s="135"/>
      <c r="J282" s="138">
        <v>0</v>
      </c>
      <c r="K282" s="133"/>
      <c r="L282" s="133">
        <v>701</v>
      </c>
      <c r="M282" s="139">
        <v>46055</v>
      </c>
      <c r="N282" s="140" t="s">
        <v>950</v>
      </c>
      <c r="O282" s="134" t="s">
        <v>1138</v>
      </c>
    </row>
    <row r="283" spans="1:15" x14ac:dyDescent="0.25">
      <c r="A283" s="133">
        <v>283</v>
      </c>
      <c r="B283" s="134" t="s">
        <v>1148</v>
      </c>
      <c r="C283" s="135">
        <v>142223983</v>
      </c>
      <c r="D283" s="136" t="s">
        <v>1054</v>
      </c>
      <c r="E283" s="137">
        <v>2929165</v>
      </c>
      <c r="F283" s="137">
        <v>1236000</v>
      </c>
      <c r="G283" s="137">
        <v>1693165</v>
      </c>
      <c r="H283" s="137">
        <v>0</v>
      </c>
      <c r="I283" s="135"/>
      <c r="J283" s="138">
        <v>0</v>
      </c>
      <c r="K283" s="133"/>
      <c r="L283" s="133">
        <v>701</v>
      </c>
      <c r="M283" s="139">
        <v>46055</v>
      </c>
      <c r="N283" s="140" t="s">
        <v>1151</v>
      </c>
      <c r="O283" s="134" t="s">
        <v>201</v>
      </c>
    </row>
    <row r="284" spans="1:15" x14ac:dyDescent="0.25">
      <c r="A284" s="133">
        <v>284</v>
      </c>
      <c r="B284" s="134" t="s">
        <v>1148</v>
      </c>
      <c r="C284" s="135">
        <v>142223983</v>
      </c>
      <c r="D284" s="136" t="s">
        <v>1054</v>
      </c>
      <c r="E284" s="137">
        <v>1984600</v>
      </c>
      <c r="F284" s="137">
        <v>1120300</v>
      </c>
      <c r="G284" s="137">
        <v>864300</v>
      </c>
      <c r="H284" s="137">
        <v>0</v>
      </c>
      <c r="I284" s="135"/>
      <c r="J284" s="138">
        <v>0</v>
      </c>
      <c r="K284" s="133"/>
      <c r="L284" s="133">
        <v>701</v>
      </c>
      <c r="M284" s="139">
        <v>46055</v>
      </c>
      <c r="N284" s="140" t="s">
        <v>1152</v>
      </c>
      <c r="O284" s="134" t="s">
        <v>279</v>
      </c>
    </row>
    <row r="285" spans="1:15" x14ac:dyDescent="0.25">
      <c r="A285" s="133">
        <v>285</v>
      </c>
      <c r="B285" s="134" t="s">
        <v>1148</v>
      </c>
      <c r="C285" s="135">
        <v>142223983</v>
      </c>
      <c r="D285" s="136" t="s">
        <v>1054</v>
      </c>
      <c r="E285" s="137">
        <v>1037200</v>
      </c>
      <c r="F285" s="137">
        <v>0</v>
      </c>
      <c r="G285" s="137">
        <v>1037200</v>
      </c>
      <c r="H285" s="137">
        <v>0</v>
      </c>
      <c r="I285" s="135"/>
      <c r="J285" s="138">
        <v>0</v>
      </c>
      <c r="K285" s="133"/>
      <c r="L285" s="133">
        <v>701</v>
      </c>
      <c r="M285" s="139">
        <v>46055</v>
      </c>
      <c r="N285" s="140" t="s">
        <v>950</v>
      </c>
      <c r="O285" s="134" t="s">
        <v>1139</v>
      </c>
    </row>
    <row r="286" spans="1:15" x14ac:dyDescent="0.25">
      <c r="A286" s="133">
        <v>286</v>
      </c>
      <c r="B286" s="134" t="s">
        <v>1153</v>
      </c>
      <c r="C286" s="135">
        <v>25994777</v>
      </c>
      <c r="D286" s="136" t="s">
        <v>1054</v>
      </c>
      <c r="E286" s="137">
        <v>528300</v>
      </c>
      <c r="F286" s="137">
        <v>0</v>
      </c>
      <c r="G286" s="137">
        <v>528300</v>
      </c>
      <c r="H286" s="137">
        <v>0</v>
      </c>
      <c r="I286" s="135"/>
      <c r="J286" s="138">
        <v>0</v>
      </c>
      <c r="K286" s="133"/>
      <c r="L286" s="133">
        <v>701</v>
      </c>
      <c r="M286" s="139">
        <v>46055</v>
      </c>
      <c r="N286" s="140" t="s">
        <v>950</v>
      </c>
      <c r="O286" s="134" t="s">
        <v>215</v>
      </c>
    </row>
    <row r="287" spans="1:15" x14ac:dyDescent="0.25">
      <c r="A287" s="133">
        <v>287</v>
      </c>
      <c r="B287" s="134" t="s">
        <v>1153</v>
      </c>
      <c r="C287" s="135">
        <v>25994777</v>
      </c>
      <c r="D287" s="136" t="s">
        <v>1054</v>
      </c>
      <c r="E287" s="137">
        <v>1305600</v>
      </c>
      <c r="F287" s="137">
        <v>739000</v>
      </c>
      <c r="G287" s="137">
        <v>566600</v>
      </c>
      <c r="H287" s="137">
        <v>0</v>
      </c>
      <c r="I287" s="135"/>
      <c r="J287" s="138">
        <v>0</v>
      </c>
      <c r="K287" s="133"/>
      <c r="L287" s="133">
        <v>701</v>
      </c>
      <c r="M287" s="139">
        <v>46055</v>
      </c>
      <c r="N287" s="140" t="s">
        <v>1154</v>
      </c>
      <c r="O287" s="134" t="s">
        <v>208</v>
      </c>
    </row>
    <row r="288" spans="1:15" x14ac:dyDescent="0.25">
      <c r="A288" s="133">
        <v>288</v>
      </c>
      <c r="B288" s="134" t="s">
        <v>1153</v>
      </c>
      <c r="C288" s="135">
        <v>25994777</v>
      </c>
      <c r="D288" s="136" t="s">
        <v>1054</v>
      </c>
      <c r="E288" s="137">
        <v>12000</v>
      </c>
      <c r="F288" s="137">
        <v>0</v>
      </c>
      <c r="G288" s="137">
        <v>12000</v>
      </c>
      <c r="H288" s="137">
        <v>0</v>
      </c>
      <c r="I288" s="135"/>
      <c r="J288" s="138">
        <v>0</v>
      </c>
      <c r="K288" s="133"/>
      <c r="L288" s="133">
        <v>701</v>
      </c>
      <c r="M288" s="139">
        <v>46055</v>
      </c>
      <c r="N288" s="140" t="s">
        <v>950</v>
      </c>
      <c r="O288" s="134" t="s">
        <v>328</v>
      </c>
    </row>
    <row r="289" spans="1:15" x14ac:dyDescent="0.25">
      <c r="A289" s="133">
        <v>289</v>
      </c>
      <c r="B289" s="134" t="s">
        <v>1153</v>
      </c>
      <c r="C289" s="135">
        <v>25994777</v>
      </c>
      <c r="D289" s="136" t="s">
        <v>1054</v>
      </c>
      <c r="E289" s="137">
        <v>800000</v>
      </c>
      <c r="F289" s="137">
        <v>0</v>
      </c>
      <c r="G289" s="137">
        <v>800000</v>
      </c>
      <c r="H289" s="137">
        <v>0</v>
      </c>
      <c r="I289" s="135"/>
      <c r="J289" s="138">
        <v>0</v>
      </c>
      <c r="K289" s="133"/>
      <c r="L289" s="133">
        <v>701</v>
      </c>
      <c r="M289" s="139">
        <v>46055</v>
      </c>
      <c r="N289" s="140" t="s">
        <v>950</v>
      </c>
      <c r="O289" s="134" t="s">
        <v>1155</v>
      </c>
    </row>
    <row r="290" spans="1:15" x14ac:dyDescent="0.25">
      <c r="A290" s="133">
        <v>290</v>
      </c>
      <c r="B290" s="134" t="s">
        <v>1156</v>
      </c>
      <c r="C290" s="135">
        <v>3042425</v>
      </c>
      <c r="D290" s="136" t="s">
        <v>1054</v>
      </c>
      <c r="E290" s="137">
        <v>69336</v>
      </c>
      <c r="F290" s="137">
        <v>0</v>
      </c>
      <c r="G290" s="137">
        <v>69336</v>
      </c>
      <c r="H290" s="137">
        <v>0</v>
      </c>
      <c r="I290" s="135"/>
      <c r="J290" s="138">
        <v>0</v>
      </c>
      <c r="K290" s="133"/>
      <c r="L290" s="133">
        <v>701</v>
      </c>
      <c r="M290" s="139">
        <v>46055</v>
      </c>
      <c r="N290" s="140" t="s">
        <v>950</v>
      </c>
      <c r="O290" s="134" t="s">
        <v>1016</v>
      </c>
    </row>
    <row r="291" spans="1:15" x14ac:dyDescent="0.25">
      <c r="A291" s="133">
        <v>291</v>
      </c>
      <c r="B291" s="134" t="s">
        <v>1156</v>
      </c>
      <c r="C291" s="135">
        <v>3042425</v>
      </c>
      <c r="D291" s="136" t="s">
        <v>1054</v>
      </c>
      <c r="E291" s="137">
        <v>23400</v>
      </c>
      <c r="F291" s="137">
        <v>0</v>
      </c>
      <c r="G291" s="137">
        <v>23400</v>
      </c>
      <c r="H291" s="137">
        <v>0</v>
      </c>
      <c r="I291" s="135"/>
      <c r="J291" s="138">
        <v>0</v>
      </c>
      <c r="K291" s="133"/>
      <c r="L291" s="133">
        <v>701</v>
      </c>
      <c r="M291" s="139">
        <v>46055</v>
      </c>
      <c r="N291" s="140" t="s">
        <v>950</v>
      </c>
      <c r="O291" s="134" t="s">
        <v>1138</v>
      </c>
    </row>
    <row r="292" spans="1:15" x14ac:dyDescent="0.25">
      <c r="A292" s="133">
        <v>292</v>
      </c>
      <c r="B292" s="134" t="s">
        <v>1157</v>
      </c>
      <c r="C292" s="135">
        <v>667800</v>
      </c>
      <c r="D292" s="136" t="s">
        <v>1054</v>
      </c>
      <c r="E292" s="137">
        <v>35900</v>
      </c>
      <c r="F292" s="137">
        <v>0</v>
      </c>
      <c r="G292" s="137">
        <v>35900</v>
      </c>
      <c r="H292" s="137">
        <v>0</v>
      </c>
      <c r="I292" s="135"/>
      <c r="J292" s="138">
        <v>0</v>
      </c>
      <c r="K292" s="133"/>
      <c r="L292" s="133">
        <v>701</v>
      </c>
      <c r="M292" s="139">
        <v>46055</v>
      </c>
      <c r="N292" s="140" t="s">
        <v>950</v>
      </c>
      <c r="O292" s="134" t="s">
        <v>328</v>
      </c>
    </row>
    <row r="293" spans="1:15" x14ac:dyDescent="0.25">
      <c r="A293" s="133">
        <v>293</v>
      </c>
      <c r="B293" s="134" t="s">
        <v>1158</v>
      </c>
      <c r="C293" s="135">
        <v>3908100</v>
      </c>
      <c r="D293" s="136" t="s">
        <v>1054</v>
      </c>
      <c r="E293" s="137">
        <v>390810</v>
      </c>
      <c r="F293" s="137">
        <v>0</v>
      </c>
      <c r="G293" s="137">
        <v>390810</v>
      </c>
      <c r="H293" s="137">
        <v>0</v>
      </c>
      <c r="I293" s="135"/>
      <c r="J293" s="138">
        <v>0</v>
      </c>
      <c r="K293" s="133"/>
      <c r="L293" s="133">
        <v>701</v>
      </c>
      <c r="M293" s="139">
        <v>46055</v>
      </c>
      <c r="N293" s="140" t="s">
        <v>950</v>
      </c>
      <c r="O293" s="134" t="s">
        <v>1159</v>
      </c>
    </row>
    <row r="294" spans="1:15" x14ac:dyDescent="0.25">
      <c r="A294" s="133">
        <v>294</v>
      </c>
      <c r="B294" s="134" t="s">
        <v>1160</v>
      </c>
      <c r="C294" s="135">
        <v>5356800</v>
      </c>
      <c r="D294" s="136" t="s">
        <v>1054</v>
      </c>
      <c r="E294" s="137">
        <v>12000</v>
      </c>
      <c r="F294" s="137">
        <v>0</v>
      </c>
      <c r="G294" s="137">
        <v>12000</v>
      </c>
      <c r="H294" s="137">
        <v>0</v>
      </c>
      <c r="I294" s="135"/>
      <c r="J294" s="138">
        <v>0</v>
      </c>
      <c r="K294" s="133"/>
      <c r="L294" s="133">
        <v>701</v>
      </c>
      <c r="M294" s="139">
        <v>46055</v>
      </c>
      <c r="N294" s="140" t="s">
        <v>950</v>
      </c>
      <c r="O294" s="134" t="s">
        <v>325</v>
      </c>
    </row>
    <row r="295" spans="1:15" x14ac:dyDescent="0.25">
      <c r="A295" s="133">
        <v>295</v>
      </c>
      <c r="B295" s="134" t="s">
        <v>1160</v>
      </c>
      <c r="C295" s="135">
        <v>5356800</v>
      </c>
      <c r="D295" s="136" t="s">
        <v>1054</v>
      </c>
      <c r="E295" s="137">
        <v>25564</v>
      </c>
      <c r="F295" s="137">
        <v>0</v>
      </c>
      <c r="G295" s="137">
        <v>25564</v>
      </c>
      <c r="H295" s="137">
        <v>0</v>
      </c>
      <c r="I295" s="135"/>
      <c r="J295" s="138">
        <v>0</v>
      </c>
      <c r="K295" s="133"/>
      <c r="L295" s="133">
        <v>701</v>
      </c>
      <c r="M295" s="139">
        <v>46055</v>
      </c>
      <c r="N295" s="140" t="s">
        <v>950</v>
      </c>
      <c r="O295" s="134" t="s">
        <v>1016</v>
      </c>
    </row>
    <row r="296" spans="1:15" x14ac:dyDescent="0.25">
      <c r="A296" s="133">
        <v>296</v>
      </c>
      <c r="B296" s="134" t="s">
        <v>1160</v>
      </c>
      <c r="C296" s="135">
        <v>5356800</v>
      </c>
      <c r="D296" s="136" t="s">
        <v>1054</v>
      </c>
      <c r="E296" s="137">
        <v>2357300</v>
      </c>
      <c r="F296" s="137">
        <v>0</v>
      </c>
      <c r="G296" s="137">
        <v>2357300</v>
      </c>
      <c r="H296" s="137">
        <v>0</v>
      </c>
      <c r="I296" s="135"/>
      <c r="J296" s="138">
        <v>0</v>
      </c>
      <c r="K296" s="133"/>
      <c r="L296" s="133">
        <v>701</v>
      </c>
      <c r="M296" s="139">
        <v>46055</v>
      </c>
      <c r="N296" s="140" t="s">
        <v>950</v>
      </c>
      <c r="O296" s="134" t="s">
        <v>1161</v>
      </c>
    </row>
    <row r="297" spans="1:15" x14ac:dyDescent="0.25">
      <c r="A297" s="133">
        <v>297</v>
      </c>
      <c r="B297" s="134" t="s">
        <v>1160</v>
      </c>
      <c r="C297" s="135">
        <v>5356800</v>
      </c>
      <c r="D297" s="136" t="s">
        <v>1054</v>
      </c>
      <c r="E297" s="137">
        <v>7800</v>
      </c>
      <c r="F297" s="137">
        <v>0</v>
      </c>
      <c r="G297" s="137">
        <v>7800</v>
      </c>
      <c r="H297" s="137">
        <v>0</v>
      </c>
      <c r="I297" s="135"/>
      <c r="J297" s="138">
        <v>0</v>
      </c>
      <c r="K297" s="133"/>
      <c r="L297" s="133">
        <v>701</v>
      </c>
      <c r="M297" s="139">
        <v>46055</v>
      </c>
      <c r="N297" s="140" t="s">
        <v>950</v>
      </c>
      <c r="O297" s="134" t="s">
        <v>1138</v>
      </c>
    </row>
    <row r="298" spans="1:15" x14ac:dyDescent="0.25">
      <c r="A298" s="133">
        <v>298</v>
      </c>
      <c r="B298" s="134" t="s">
        <v>1160</v>
      </c>
      <c r="C298" s="135">
        <v>5356800</v>
      </c>
      <c r="D298" s="136" t="s">
        <v>1054</v>
      </c>
      <c r="E298" s="137">
        <v>34500</v>
      </c>
      <c r="F298" s="137">
        <v>0</v>
      </c>
      <c r="G298" s="137">
        <v>34500</v>
      </c>
      <c r="H298" s="137">
        <v>0</v>
      </c>
      <c r="I298" s="135"/>
      <c r="J298" s="138">
        <v>0</v>
      </c>
      <c r="K298" s="133"/>
      <c r="L298" s="133">
        <v>701</v>
      </c>
      <c r="M298" s="139">
        <v>46055</v>
      </c>
      <c r="N298" s="140" t="s">
        <v>950</v>
      </c>
      <c r="O298" s="134" t="s">
        <v>1139</v>
      </c>
    </row>
    <row r="299" spans="1:15" x14ac:dyDescent="0.25">
      <c r="A299" s="133">
        <v>299</v>
      </c>
      <c r="B299" s="134" t="s">
        <v>1162</v>
      </c>
      <c r="C299" s="135">
        <v>803400</v>
      </c>
      <c r="D299" s="136" t="s">
        <v>1054</v>
      </c>
      <c r="E299" s="137">
        <v>93400</v>
      </c>
      <c r="F299" s="137">
        <v>0</v>
      </c>
      <c r="G299" s="137">
        <v>93400</v>
      </c>
      <c r="H299" s="137">
        <v>0</v>
      </c>
      <c r="I299" s="135"/>
      <c r="J299" s="138">
        <v>0</v>
      </c>
      <c r="K299" s="133"/>
      <c r="L299" s="133">
        <v>701</v>
      </c>
      <c r="M299" s="139">
        <v>46055</v>
      </c>
      <c r="N299" s="140" t="s">
        <v>950</v>
      </c>
      <c r="O299" s="134" t="s">
        <v>204</v>
      </c>
    </row>
    <row r="300" spans="1:15" x14ac:dyDescent="0.25">
      <c r="A300" s="133">
        <v>300</v>
      </c>
      <c r="B300" s="134" t="s">
        <v>1163</v>
      </c>
      <c r="C300" s="135">
        <v>1102200</v>
      </c>
      <c r="D300" s="136" t="s">
        <v>1054</v>
      </c>
      <c r="E300" s="137">
        <v>4700</v>
      </c>
      <c r="F300" s="137">
        <v>0</v>
      </c>
      <c r="G300" s="137">
        <v>4700</v>
      </c>
      <c r="H300" s="137">
        <v>0</v>
      </c>
      <c r="I300" s="135"/>
      <c r="J300" s="138">
        <v>0</v>
      </c>
      <c r="K300" s="133"/>
      <c r="L300" s="133">
        <v>701</v>
      </c>
      <c r="M300" s="139">
        <v>46055</v>
      </c>
      <c r="N300" s="140" t="s">
        <v>950</v>
      </c>
      <c r="O300" s="134" t="s">
        <v>1139</v>
      </c>
    </row>
    <row r="301" spans="1:15" x14ac:dyDescent="0.25">
      <c r="A301" s="133">
        <v>301</v>
      </c>
      <c r="B301" s="134" t="s">
        <v>1164</v>
      </c>
      <c r="C301" s="135">
        <v>94700</v>
      </c>
      <c r="D301" s="136" t="s">
        <v>1054</v>
      </c>
      <c r="E301" s="137">
        <v>20000</v>
      </c>
      <c r="F301" s="137">
        <v>0</v>
      </c>
      <c r="G301" s="137">
        <v>20000</v>
      </c>
      <c r="H301" s="137">
        <v>0</v>
      </c>
      <c r="I301" s="135"/>
      <c r="J301" s="138">
        <v>0</v>
      </c>
      <c r="K301" s="133"/>
      <c r="L301" s="133">
        <v>701</v>
      </c>
      <c r="M301" s="139">
        <v>46055</v>
      </c>
      <c r="N301" s="140" t="s">
        <v>950</v>
      </c>
      <c r="O301" s="134" t="s">
        <v>185</v>
      </c>
    </row>
    <row r="302" spans="1:15" x14ac:dyDescent="0.25">
      <c r="A302" s="133">
        <v>302</v>
      </c>
      <c r="B302" s="134" t="s">
        <v>1165</v>
      </c>
      <c r="C302" s="135">
        <v>2893300</v>
      </c>
      <c r="D302" s="136" t="s">
        <v>1054</v>
      </c>
      <c r="E302" s="137">
        <v>398600</v>
      </c>
      <c r="F302" s="137">
        <v>0</v>
      </c>
      <c r="G302" s="137">
        <v>398600</v>
      </c>
      <c r="H302" s="137">
        <v>0</v>
      </c>
      <c r="I302" s="135"/>
      <c r="J302" s="138">
        <v>0</v>
      </c>
      <c r="K302" s="133"/>
      <c r="L302" s="133">
        <v>701</v>
      </c>
      <c r="M302" s="139">
        <v>46055</v>
      </c>
      <c r="N302" s="140" t="s">
        <v>950</v>
      </c>
      <c r="O302" s="134" t="s">
        <v>1161</v>
      </c>
    </row>
    <row r="303" spans="1:15" x14ac:dyDescent="0.25">
      <c r="A303" s="133">
        <v>303</v>
      </c>
      <c r="B303" s="134" t="s">
        <v>1166</v>
      </c>
      <c r="C303" s="135">
        <v>39235225</v>
      </c>
      <c r="D303" s="136" t="s">
        <v>1054</v>
      </c>
      <c r="E303" s="137">
        <v>707400</v>
      </c>
      <c r="F303" s="137">
        <v>0</v>
      </c>
      <c r="G303" s="137">
        <v>707400</v>
      </c>
      <c r="H303" s="137">
        <v>0</v>
      </c>
      <c r="I303" s="135"/>
      <c r="J303" s="138">
        <v>0</v>
      </c>
      <c r="K303" s="133"/>
      <c r="L303" s="133">
        <v>701</v>
      </c>
      <c r="M303" s="139">
        <v>46055</v>
      </c>
      <c r="N303" s="140" t="s">
        <v>950</v>
      </c>
      <c r="O303" s="134" t="s">
        <v>215</v>
      </c>
    </row>
    <row r="304" spans="1:15" x14ac:dyDescent="0.25">
      <c r="A304" s="133">
        <v>304</v>
      </c>
      <c r="B304" s="134" t="s">
        <v>1166</v>
      </c>
      <c r="C304" s="135">
        <v>39235225</v>
      </c>
      <c r="D304" s="136" t="s">
        <v>1054</v>
      </c>
      <c r="E304" s="137">
        <v>158488</v>
      </c>
      <c r="F304" s="137">
        <v>0</v>
      </c>
      <c r="G304" s="137">
        <v>158488</v>
      </c>
      <c r="H304" s="137">
        <v>0</v>
      </c>
      <c r="I304" s="135"/>
      <c r="J304" s="138">
        <v>0</v>
      </c>
      <c r="K304" s="133"/>
      <c r="L304" s="133">
        <v>701</v>
      </c>
      <c r="M304" s="139">
        <v>46055</v>
      </c>
      <c r="N304" s="140" t="s">
        <v>950</v>
      </c>
      <c r="O304" s="134" t="s">
        <v>1016</v>
      </c>
    </row>
    <row r="305" spans="1:15" x14ac:dyDescent="0.25">
      <c r="A305" s="133">
        <v>305</v>
      </c>
      <c r="B305" s="134" t="s">
        <v>1166</v>
      </c>
      <c r="C305" s="135">
        <v>39235225</v>
      </c>
      <c r="D305" s="136" t="s">
        <v>1054</v>
      </c>
      <c r="E305" s="137">
        <v>3145400</v>
      </c>
      <c r="F305" s="137">
        <v>1870000</v>
      </c>
      <c r="G305" s="137">
        <v>1275400</v>
      </c>
      <c r="H305" s="137">
        <v>0</v>
      </c>
      <c r="I305" s="135"/>
      <c r="J305" s="138">
        <v>0</v>
      </c>
      <c r="K305" s="133"/>
      <c r="L305" s="133">
        <v>701</v>
      </c>
      <c r="M305" s="139">
        <v>46055</v>
      </c>
      <c r="N305" s="140" t="s">
        <v>1167</v>
      </c>
      <c r="O305" s="134" t="s">
        <v>208</v>
      </c>
    </row>
    <row r="306" spans="1:15" x14ac:dyDescent="0.25">
      <c r="A306" s="133">
        <v>306</v>
      </c>
      <c r="B306" s="134" t="s">
        <v>1166</v>
      </c>
      <c r="C306" s="135">
        <v>39235225</v>
      </c>
      <c r="D306" s="136" t="s">
        <v>1054</v>
      </c>
      <c r="E306" s="137">
        <v>94600</v>
      </c>
      <c r="F306" s="137">
        <v>0</v>
      </c>
      <c r="G306" s="137">
        <v>94600</v>
      </c>
      <c r="H306" s="137">
        <v>0</v>
      </c>
      <c r="I306" s="135"/>
      <c r="J306" s="138">
        <v>0</v>
      </c>
      <c r="K306" s="133"/>
      <c r="L306" s="133">
        <v>701</v>
      </c>
      <c r="M306" s="139">
        <v>46055</v>
      </c>
      <c r="N306" s="140" t="s">
        <v>950</v>
      </c>
      <c r="O306" s="134" t="s">
        <v>1138</v>
      </c>
    </row>
    <row r="307" spans="1:15" x14ac:dyDescent="0.25">
      <c r="A307" s="133">
        <v>307</v>
      </c>
      <c r="B307" s="134" t="s">
        <v>1166</v>
      </c>
      <c r="C307" s="135">
        <v>39235225</v>
      </c>
      <c r="D307" s="136" t="s">
        <v>1054</v>
      </c>
      <c r="E307" s="137">
        <v>680800</v>
      </c>
      <c r="F307" s="137">
        <v>0</v>
      </c>
      <c r="G307" s="137">
        <v>680800</v>
      </c>
      <c r="H307" s="137">
        <v>0</v>
      </c>
      <c r="I307" s="135"/>
      <c r="J307" s="138">
        <v>0</v>
      </c>
      <c r="K307" s="133"/>
      <c r="L307" s="133">
        <v>701</v>
      </c>
      <c r="M307" s="139">
        <v>46055</v>
      </c>
      <c r="N307" s="140" t="s">
        <v>950</v>
      </c>
      <c r="O307" s="134" t="s">
        <v>1139</v>
      </c>
    </row>
    <row r="308" spans="1:15" x14ac:dyDescent="0.25">
      <c r="A308" s="133">
        <v>308</v>
      </c>
      <c r="B308" s="134" t="s">
        <v>1168</v>
      </c>
      <c r="C308" s="135">
        <v>14747400</v>
      </c>
      <c r="D308" s="136" t="s">
        <v>1054</v>
      </c>
      <c r="E308" s="137">
        <v>20000</v>
      </c>
      <c r="F308" s="137">
        <v>0</v>
      </c>
      <c r="G308" s="137">
        <v>20000</v>
      </c>
      <c r="H308" s="137">
        <v>0</v>
      </c>
      <c r="I308" s="135"/>
      <c r="J308" s="138">
        <v>0</v>
      </c>
      <c r="K308" s="133"/>
      <c r="L308" s="133">
        <v>701</v>
      </c>
      <c r="M308" s="139">
        <v>46055</v>
      </c>
      <c r="N308" s="140" t="s">
        <v>950</v>
      </c>
      <c r="O308" s="134" t="s">
        <v>185</v>
      </c>
    </row>
    <row r="309" spans="1:15" x14ac:dyDescent="0.25">
      <c r="A309" s="133">
        <v>309</v>
      </c>
      <c r="B309" s="134" t="s">
        <v>1168</v>
      </c>
      <c r="C309" s="135">
        <v>14747400</v>
      </c>
      <c r="D309" s="136" t="s">
        <v>1054</v>
      </c>
      <c r="E309" s="137">
        <v>98500</v>
      </c>
      <c r="F309" s="137">
        <v>0</v>
      </c>
      <c r="G309" s="137">
        <v>98500</v>
      </c>
      <c r="H309" s="137">
        <v>0</v>
      </c>
      <c r="I309" s="135"/>
      <c r="J309" s="138">
        <v>0</v>
      </c>
      <c r="K309" s="133"/>
      <c r="L309" s="133">
        <v>701</v>
      </c>
      <c r="M309" s="139">
        <v>46055</v>
      </c>
      <c r="N309" s="140" t="s">
        <v>950</v>
      </c>
      <c r="O309" s="134" t="s">
        <v>212</v>
      </c>
    </row>
    <row r="310" spans="1:15" x14ac:dyDescent="0.25">
      <c r="A310" s="133">
        <v>310</v>
      </c>
      <c r="B310" s="134" t="s">
        <v>1168</v>
      </c>
      <c r="C310" s="135">
        <v>14747400</v>
      </c>
      <c r="D310" s="136" t="s">
        <v>1054</v>
      </c>
      <c r="E310" s="137">
        <v>847400</v>
      </c>
      <c r="F310" s="137">
        <v>0</v>
      </c>
      <c r="G310" s="137">
        <v>847400</v>
      </c>
      <c r="H310" s="137">
        <v>0</v>
      </c>
      <c r="I310" s="135"/>
      <c r="J310" s="138">
        <v>0</v>
      </c>
      <c r="K310" s="133"/>
      <c r="L310" s="133">
        <v>701</v>
      </c>
      <c r="M310" s="139">
        <v>46055</v>
      </c>
      <c r="N310" s="140" t="s">
        <v>950</v>
      </c>
      <c r="O310" s="134" t="s">
        <v>215</v>
      </c>
    </row>
    <row r="311" spans="1:15" x14ac:dyDescent="0.25">
      <c r="A311" s="133">
        <v>311</v>
      </c>
      <c r="B311" s="134" t="s">
        <v>1168</v>
      </c>
      <c r="C311" s="135">
        <v>14747400</v>
      </c>
      <c r="D311" s="136" t="s">
        <v>1054</v>
      </c>
      <c r="E311" s="137">
        <v>5246700</v>
      </c>
      <c r="F311" s="137">
        <v>1680900</v>
      </c>
      <c r="G311" s="137">
        <v>3565800</v>
      </c>
      <c r="H311" s="137">
        <v>0</v>
      </c>
      <c r="I311" s="135"/>
      <c r="J311" s="138">
        <v>0</v>
      </c>
      <c r="K311" s="133"/>
      <c r="L311" s="133">
        <v>701</v>
      </c>
      <c r="M311" s="139">
        <v>46055</v>
      </c>
      <c r="N311" s="140" t="s">
        <v>1169</v>
      </c>
      <c r="O311" s="134" t="s">
        <v>325</v>
      </c>
    </row>
    <row r="312" spans="1:15" x14ac:dyDescent="0.25">
      <c r="A312" s="133">
        <v>312</v>
      </c>
      <c r="B312" s="134" t="s">
        <v>1170</v>
      </c>
      <c r="C312" s="135">
        <v>11087045</v>
      </c>
      <c r="D312" s="136" t="s">
        <v>1054</v>
      </c>
      <c r="E312" s="137">
        <v>666243</v>
      </c>
      <c r="F312" s="137">
        <v>128747</v>
      </c>
      <c r="G312" s="137">
        <v>537496</v>
      </c>
      <c r="H312" s="137">
        <v>0</v>
      </c>
      <c r="I312" s="135"/>
      <c r="J312" s="138">
        <v>0</v>
      </c>
      <c r="K312" s="133"/>
      <c r="L312" s="133">
        <v>701</v>
      </c>
      <c r="M312" s="139">
        <v>46055</v>
      </c>
      <c r="N312" s="140" t="s">
        <v>1171</v>
      </c>
      <c r="O312" s="134" t="s">
        <v>212</v>
      </c>
    </row>
    <row r="313" spans="1:15" x14ac:dyDescent="0.25">
      <c r="A313" s="133">
        <v>313</v>
      </c>
      <c r="B313" s="134" t="s">
        <v>1170</v>
      </c>
      <c r="C313" s="135">
        <v>11087045</v>
      </c>
      <c r="D313" s="136" t="s">
        <v>1054</v>
      </c>
      <c r="E313" s="137">
        <v>1404600</v>
      </c>
      <c r="F313" s="137">
        <v>499000</v>
      </c>
      <c r="G313" s="137">
        <v>905600</v>
      </c>
      <c r="H313" s="137">
        <v>0</v>
      </c>
      <c r="I313" s="135"/>
      <c r="J313" s="138">
        <v>0</v>
      </c>
      <c r="K313" s="133"/>
      <c r="L313" s="133">
        <v>701</v>
      </c>
      <c r="M313" s="139">
        <v>46055</v>
      </c>
      <c r="N313" s="140" t="s">
        <v>1172</v>
      </c>
      <c r="O313" s="134" t="s">
        <v>208</v>
      </c>
    </row>
    <row r="314" spans="1:15" x14ac:dyDescent="0.25">
      <c r="A314" s="133">
        <v>314</v>
      </c>
      <c r="B314" s="134" t="s">
        <v>1173</v>
      </c>
      <c r="C314" s="135">
        <v>3605089</v>
      </c>
      <c r="D314" s="136" t="s">
        <v>1054</v>
      </c>
      <c r="E314" s="137">
        <v>13200</v>
      </c>
      <c r="F314" s="137">
        <v>0</v>
      </c>
      <c r="G314" s="137">
        <v>13200</v>
      </c>
      <c r="H314" s="137">
        <v>0</v>
      </c>
      <c r="I314" s="135"/>
      <c r="J314" s="138">
        <v>0</v>
      </c>
      <c r="K314" s="133"/>
      <c r="L314" s="133">
        <v>701</v>
      </c>
      <c r="M314" s="139">
        <v>46055</v>
      </c>
      <c r="N314" s="140" t="s">
        <v>950</v>
      </c>
      <c r="O314" s="134" t="s">
        <v>325</v>
      </c>
    </row>
    <row r="315" spans="1:15" x14ac:dyDescent="0.25">
      <c r="A315" s="133">
        <v>315</v>
      </c>
      <c r="B315" s="134" t="s">
        <v>1173</v>
      </c>
      <c r="C315" s="135">
        <v>3605089</v>
      </c>
      <c r="D315" s="136" t="s">
        <v>1054</v>
      </c>
      <c r="E315" s="137">
        <v>11200</v>
      </c>
      <c r="F315" s="137">
        <v>0</v>
      </c>
      <c r="G315" s="137">
        <v>11200</v>
      </c>
      <c r="H315" s="137">
        <v>0</v>
      </c>
      <c r="I315" s="135"/>
      <c r="J315" s="138">
        <v>0</v>
      </c>
      <c r="K315" s="133"/>
      <c r="L315" s="133">
        <v>701</v>
      </c>
      <c r="M315" s="139">
        <v>46055</v>
      </c>
      <c r="N315" s="140" t="s">
        <v>950</v>
      </c>
      <c r="O315" s="134" t="s">
        <v>224</v>
      </c>
    </row>
    <row r="316" spans="1:15" x14ac:dyDescent="0.25">
      <c r="A316" s="133">
        <v>316</v>
      </c>
      <c r="B316" s="134" t="s">
        <v>1173</v>
      </c>
      <c r="C316" s="135">
        <v>3605089</v>
      </c>
      <c r="D316" s="136" t="s">
        <v>1054</v>
      </c>
      <c r="E316" s="137">
        <v>262700</v>
      </c>
      <c r="F316" s="137">
        <v>0</v>
      </c>
      <c r="G316" s="137">
        <v>262700</v>
      </c>
      <c r="H316" s="137">
        <v>0</v>
      </c>
      <c r="I316" s="135"/>
      <c r="J316" s="138">
        <v>0</v>
      </c>
      <c r="K316" s="133"/>
      <c r="L316" s="133">
        <v>701</v>
      </c>
      <c r="M316" s="139">
        <v>46055</v>
      </c>
      <c r="N316" s="140" t="s">
        <v>950</v>
      </c>
      <c r="O316" s="134" t="s">
        <v>1174</v>
      </c>
    </row>
    <row r="317" spans="1:15" x14ac:dyDescent="0.25">
      <c r="A317" s="133">
        <v>317</v>
      </c>
      <c r="B317" s="134" t="s">
        <v>1175</v>
      </c>
      <c r="C317" s="135">
        <v>16782100</v>
      </c>
      <c r="D317" s="136" t="s">
        <v>1054</v>
      </c>
      <c r="E317" s="137">
        <v>3096929</v>
      </c>
      <c r="F317" s="137">
        <v>999869</v>
      </c>
      <c r="G317" s="137">
        <v>2097060</v>
      </c>
      <c r="H317" s="137">
        <v>0</v>
      </c>
      <c r="I317" s="135"/>
      <c r="J317" s="138">
        <v>0</v>
      </c>
      <c r="K317" s="133"/>
      <c r="L317" s="133">
        <v>701</v>
      </c>
      <c r="M317" s="139">
        <v>46055</v>
      </c>
      <c r="N317" s="140" t="s">
        <v>1176</v>
      </c>
      <c r="O317" s="134" t="s">
        <v>328</v>
      </c>
    </row>
    <row r="318" spans="1:15" x14ac:dyDescent="0.25">
      <c r="A318" s="133">
        <v>318</v>
      </c>
      <c r="B318" s="134" t="s">
        <v>1177</v>
      </c>
      <c r="C318" s="135">
        <v>294700</v>
      </c>
      <c r="D318" s="136" t="s">
        <v>1054</v>
      </c>
      <c r="E318" s="137">
        <v>20000</v>
      </c>
      <c r="F318" s="137">
        <v>0</v>
      </c>
      <c r="G318" s="137">
        <v>20000</v>
      </c>
      <c r="H318" s="137">
        <v>0</v>
      </c>
      <c r="I318" s="135"/>
      <c r="J318" s="138">
        <v>0</v>
      </c>
      <c r="K318" s="133"/>
      <c r="L318" s="133">
        <v>701</v>
      </c>
      <c r="M318" s="139">
        <v>46055</v>
      </c>
      <c r="N318" s="140" t="s">
        <v>950</v>
      </c>
      <c r="O318" s="134" t="s">
        <v>185</v>
      </c>
    </row>
    <row r="319" spans="1:15" x14ac:dyDescent="0.25">
      <c r="A319" s="133">
        <v>319</v>
      </c>
      <c r="B319" s="134" t="s">
        <v>1177</v>
      </c>
      <c r="C319" s="135">
        <v>294700</v>
      </c>
      <c r="D319" s="136" t="s">
        <v>1054</v>
      </c>
      <c r="E319" s="137">
        <v>31600</v>
      </c>
      <c r="F319" s="137">
        <v>0</v>
      </c>
      <c r="G319" s="137">
        <v>31600</v>
      </c>
      <c r="H319" s="137">
        <v>0</v>
      </c>
      <c r="I319" s="135"/>
      <c r="J319" s="138">
        <v>0</v>
      </c>
      <c r="K319" s="133"/>
      <c r="L319" s="133">
        <v>701</v>
      </c>
      <c r="M319" s="139">
        <v>46055</v>
      </c>
      <c r="N319" s="140" t="s">
        <v>950</v>
      </c>
      <c r="O319" s="134" t="s">
        <v>208</v>
      </c>
    </row>
    <row r="320" spans="1:15" x14ac:dyDescent="0.25">
      <c r="A320" s="133">
        <v>320</v>
      </c>
      <c r="B320" s="134" t="s">
        <v>1178</v>
      </c>
      <c r="C320" s="135">
        <v>21845759</v>
      </c>
      <c r="D320" s="136" t="s">
        <v>1054</v>
      </c>
      <c r="E320" s="137">
        <v>1996600</v>
      </c>
      <c r="F320" s="137">
        <v>0</v>
      </c>
      <c r="G320" s="137">
        <v>1996600</v>
      </c>
      <c r="H320" s="137">
        <v>0</v>
      </c>
      <c r="I320" s="135"/>
      <c r="J320" s="138">
        <v>0</v>
      </c>
      <c r="K320" s="133"/>
      <c r="L320" s="133">
        <v>701</v>
      </c>
      <c r="M320" s="139">
        <v>46055</v>
      </c>
      <c r="N320" s="140" t="s">
        <v>950</v>
      </c>
      <c r="O320" s="134" t="s">
        <v>1179</v>
      </c>
    </row>
    <row r="321" spans="1:15" x14ac:dyDescent="0.25">
      <c r="A321" s="133">
        <v>321</v>
      </c>
      <c r="B321" s="134" t="s">
        <v>1180</v>
      </c>
      <c r="C321" s="135">
        <v>2951700</v>
      </c>
      <c r="D321" s="136" t="s">
        <v>1054</v>
      </c>
      <c r="E321" s="137">
        <v>2427500</v>
      </c>
      <c r="F321" s="137">
        <v>1048000</v>
      </c>
      <c r="G321" s="137">
        <v>1379500</v>
      </c>
      <c r="H321" s="137">
        <v>0</v>
      </c>
      <c r="I321" s="135"/>
      <c r="J321" s="138">
        <v>0</v>
      </c>
      <c r="K321" s="133"/>
      <c r="L321" s="133">
        <v>701</v>
      </c>
      <c r="M321" s="139">
        <v>46055</v>
      </c>
      <c r="N321" s="140" t="s">
        <v>1181</v>
      </c>
      <c r="O321" s="134" t="s">
        <v>212</v>
      </c>
    </row>
    <row r="322" spans="1:15" x14ac:dyDescent="0.25">
      <c r="A322" s="133">
        <v>322</v>
      </c>
      <c r="B322" s="134" t="s">
        <v>1182</v>
      </c>
      <c r="C322" s="135">
        <v>476825</v>
      </c>
      <c r="D322" s="136" t="s">
        <v>1054</v>
      </c>
      <c r="E322" s="137">
        <v>36100</v>
      </c>
      <c r="F322" s="137">
        <v>0</v>
      </c>
      <c r="G322" s="137">
        <v>36100</v>
      </c>
      <c r="H322" s="137">
        <v>0</v>
      </c>
      <c r="I322" s="135"/>
      <c r="J322" s="138">
        <v>0</v>
      </c>
      <c r="K322" s="133"/>
      <c r="L322" s="133">
        <v>701</v>
      </c>
      <c r="M322" s="139">
        <v>46055</v>
      </c>
      <c r="N322" s="140" t="s">
        <v>950</v>
      </c>
      <c r="O322" s="134" t="s">
        <v>1139</v>
      </c>
    </row>
    <row r="323" spans="1:15" x14ac:dyDescent="0.25">
      <c r="A323" s="133">
        <v>323</v>
      </c>
      <c r="B323" s="134" t="s">
        <v>1182</v>
      </c>
      <c r="C323" s="135">
        <v>476825</v>
      </c>
      <c r="D323" s="136" t="s">
        <v>1054</v>
      </c>
      <c r="E323" s="137">
        <v>1995</v>
      </c>
      <c r="F323" s="137">
        <v>0</v>
      </c>
      <c r="G323" s="137">
        <v>1995</v>
      </c>
      <c r="H323" s="137">
        <v>0</v>
      </c>
      <c r="I323" s="135"/>
      <c r="J323" s="138">
        <v>0</v>
      </c>
      <c r="K323" s="133"/>
      <c r="L323" s="133">
        <v>701</v>
      </c>
      <c r="M323" s="139">
        <v>46055</v>
      </c>
      <c r="N323" s="140" t="s">
        <v>950</v>
      </c>
      <c r="O323" s="134" t="s">
        <v>1016</v>
      </c>
    </row>
    <row r="324" spans="1:15" x14ac:dyDescent="0.25">
      <c r="A324" s="133">
        <v>324</v>
      </c>
      <c r="B324" s="134" t="s">
        <v>1183</v>
      </c>
      <c r="C324" s="135">
        <v>3386080</v>
      </c>
      <c r="D324" s="136" t="s">
        <v>1054</v>
      </c>
      <c r="E324" s="137">
        <v>220000</v>
      </c>
      <c r="F324" s="137">
        <v>0</v>
      </c>
      <c r="G324" s="137">
        <v>220000</v>
      </c>
      <c r="H324" s="137">
        <v>0</v>
      </c>
      <c r="I324" s="135"/>
      <c r="J324" s="138">
        <v>0</v>
      </c>
      <c r="K324" s="133"/>
      <c r="L324" s="133">
        <v>701</v>
      </c>
      <c r="M324" s="139">
        <v>46055</v>
      </c>
      <c r="N324" s="140" t="s">
        <v>950</v>
      </c>
      <c r="O324" s="134" t="s">
        <v>185</v>
      </c>
    </row>
    <row r="325" spans="1:15" x14ac:dyDescent="0.25">
      <c r="A325" s="133">
        <v>325</v>
      </c>
      <c r="B325" s="134" t="s">
        <v>1184</v>
      </c>
      <c r="C325" s="135">
        <v>1313300</v>
      </c>
      <c r="D325" s="136" t="s">
        <v>1054</v>
      </c>
      <c r="E325" s="137">
        <v>793800</v>
      </c>
      <c r="F325" s="137">
        <v>0</v>
      </c>
      <c r="G325" s="137">
        <v>793800</v>
      </c>
      <c r="H325" s="137">
        <v>0</v>
      </c>
      <c r="I325" s="135"/>
      <c r="J325" s="138">
        <v>0</v>
      </c>
      <c r="K325" s="133"/>
      <c r="L325" s="133">
        <v>701</v>
      </c>
      <c r="M325" s="139">
        <v>46055</v>
      </c>
      <c r="N325" s="140" t="s">
        <v>950</v>
      </c>
      <c r="O325" s="134" t="s">
        <v>237</v>
      </c>
    </row>
    <row r="326" spans="1:15" x14ac:dyDescent="0.25">
      <c r="A326" s="133">
        <v>326</v>
      </c>
      <c r="B326" s="134" t="s">
        <v>1185</v>
      </c>
      <c r="C326" s="135">
        <v>35072915</v>
      </c>
      <c r="D326" s="136" t="s">
        <v>1054</v>
      </c>
      <c r="E326" s="137">
        <v>1128200</v>
      </c>
      <c r="F326" s="137">
        <v>841000</v>
      </c>
      <c r="G326" s="137">
        <v>287200</v>
      </c>
      <c r="H326" s="137">
        <v>0</v>
      </c>
      <c r="I326" s="135"/>
      <c r="J326" s="138">
        <v>0</v>
      </c>
      <c r="K326" s="133"/>
      <c r="L326" s="133">
        <v>701</v>
      </c>
      <c r="M326" s="139">
        <v>46055</v>
      </c>
      <c r="N326" s="140" t="s">
        <v>1186</v>
      </c>
      <c r="O326" s="134" t="s">
        <v>208</v>
      </c>
    </row>
    <row r="327" spans="1:15" x14ac:dyDescent="0.25">
      <c r="A327" s="133">
        <v>327</v>
      </c>
      <c r="B327" s="134" t="s">
        <v>1185</v>
      </c>
      <c r="C327" s="135">
        <v>35072915</v>
      </c>
      <c r="D327" s="136" t="s">
        <v>1054</v>
      </c>
      <c r="E327" s="137">
        <v>900</v>
      </c>
      <c r="F327" s="137">
        <v>0</v>
      </c>
      <c r="G327" s="137">
        <v>900</v>
      </c>
      <c r="H327" s="137">
        <v>0</v>
      </c>
      <c r="I327" s="135"/>
      <c r="J327" s="138">
        <v>0</v>
      </c>
      <c r="K327" s="133"/>
      <c r="L327" s="133">
        <v>701</v>
      </c>
      <c r="M327" s="139">
        <v>46055</v>
      </c>
      <c r="N327" s="140" t="s">
        <v>950</v>
      </c>
      <c r="O327" s="134" t="s">
        <v>221</v>
      </c>
    </row>
    <row r="328" spans="1:15" x14ac:dyDescent="0.25">
      <c r="A328" s="133">
        <v>328</v>
      </c>
      <c r="B328" s="134" t="s">
        <v>1185</v>
      </c>
      <c r="C328" s="135">
        <v>35072915</v>
      </c>
      <c r="D328" s="136" t="s">
        <v>1054</v>
      </c>
      <c r="E328" s="137">
        <v>62400</v>
      </c>
      <c r="F328" s="137">
        <v>0</v>
      </c>
      <c r="G328" s="137">
        <v>62400</v>
      </c>
      <c r="H328" s="137">
        <v>0</v>
      </c>
      <c r="I328" s="135"/>
      <c r="J328" s="138">
        <v>0</v>
      </c>
      <c r="K328" s="133"/>
      <c r="L328" s="133">
        <v>701</v>
      </c>
      <c r="M328" s="139">
        <v>46055</v>
      </c>
      <c r="N328" s="140" t="s">
        <v>950</v>
      </c>
      <c r="O328" s="134" t="s">
        <v>1187</v>
      </c>
    </row>
    <row r="329" spans="1:15" x14ac:dyDescent="0.25">
      <c r="A329" s="133">
        <v>329</v>
      </c>
      <c r="B329" s="134" t="s">
        <v>1185</v>
      </c>
      <c r="C329" s="135">
        <v>35072915</v>
      </c>
      <c r="D329" s="136" t="s">
        <v>1054</v>
      </c>
      <c r="E329" s="137">
        <v>183600</v>
      </c>
      <c r="F329" s="137">
        <v>0</v>
      </c>
      <c r="G329" s="137">
        <v>183600</v>
      </c>
      <c r="H329" s="137">
        <v>0</v>
      </c>
      <c r="I329" s="135"/>
      <c r="J329" s="138">
        <v>0</v>
      </c>
      <c r="K329" s="133"/>
      <c r="L329" s="133">
        <v>701</v>
      </c>
      <c r="M329" s="139">
        <v>46055</v>
      </c>
      <c r="N329" s="140" t="s">
        <v>950</v>
      </c>
      <c r="O329" s="134" t="s">
        <v>1139</v>
      </c>
    </row>
    <row r="330" spans="1:15" x14ac:dyDescent="0.25">
      <c r="A330" s="133">
        <v>330</v>
      </c>
      <c r="B330" s="134" t="s">
        <v>1185</v>
      </c>
      <c r="C330" s="135">
        <v>35072915</v>
      </c>
      <c r="D330" s="136" t="s">
        <v>1054</v>
      </c>
      <c r="E330" s="137">
        <v>707843</v>
      </c>
      <c r="F330" s="137">
        <v>254000</v>
      </c>
      <c r="G330" s="137">
        <v>453843</v>
      </c>
      <c r="H330" s="137">
        <v>0</v>
      </c>
      <c r="I330" s="135"/>
      <c r="J330" s="138">
        <v>0</v>
      </c>
      <c r="K330" s="133"/>
      <c r="L330" s="133">
        <v>701</v>
      </c>
      <c r="M330" s="139">
        <v>46055</v>
      </c>
      <c r="N330" s="140" t="s">
        <v>1188</v>
      </c>
      <c r="O330" s="134" t="s">
        <v>1016</v>
      </c>
    </row>
    <row r="331" spans="1:15" x14ac:dyDescent="0.25">
      <c r="A331" s="133">
        <v>331</v>
      </c>
      <c r="B331" s="134" t="s">
        <v>1185</v>
      </c>
      <c r="C331" s="135">
        <v>35072915</v>
      </c>
      <c r="D331" s="136" t="s">
        <v>1054</v>
      </c>
      <c r="E331" s="137">
        <v>8599100</v>
      </c>
      <c r="F331" s="137">
        <v>1450000</v>
      </c>
      <c r="G331" s="137">
        <v>7149100</v>
      </c>
      <c r="H331" s="137">
        <v>0</v>
      </c>
      <c r="I331" s="135"/>
      <c r="J331" s="138">
        <v>0</v>
      </c>
      <c r="K331" s="133"/>
      <c r="L331" s="133">
        <v>701</v>
      </c>
      <c r="M331" s="139">
        <v>46055</v>
      </c>
      <c r="N331" s="140" t="s">
        <v>1189</v>
      </c>
      <c r="O331" s="134" t="s">
        <v>215</v>
      </c>
    </row>
    <row r="332" spans="1:15" x14ac:dyDescent="0.25">
      <c r="A332" s="133">
        <v>332</v>
      </c>
      <c r="B332" s="134" t="s">
        <v>1185</v>
      </c>
      <c r="C332" s="135">
        <v>35072915</v>
      </c>
      <c r="D332" s="136" t="s">
        <v>1054</v>
      </c>
      <c r="E332" s="137">
        <v>599000</v>
      </c>
      <c r="F332" s="137">
        <v>0</v>
      </c>
      <c r="G332" s="137">
        <v>599000</v>
      </c>
      <c r="H332" s="137">
        <v>0</v>
      </c>
      <c r="I332" s="135"/>
      <c r="J332" s="138">
        <v>0</v>
      </c>
      <c r="K332" s="133"/>
      <c r="L332" s="133">
        <v>701</v>
      </c>
      <c r="M332" s="139">
        <v>46055</v>
      </c>
      <c r="N332" s="140" t="s">
        <v>950</v>
      </c>
      <c r="O332" s="134" t="s">
        <v>1138</v>
      </c>
    </row>
    <row r="333" spans="1:15" x14ac:dyDescent="0.25">
      <c r="A333" s="133">
        <v>333</v>
      </c>
      <c r="B333" s="134" t="s">
        <v>1185</v>
      </c>
      <c r="C333" s="135">
        <v>35072915</v>
      </c>
      <c r="D333" s="136" t="s">
        <v>1054</v>
      </c>
      <c r="E333" s="137">
        <v>145800</v>
      </c>
      <c r="F333" s="137">
        <v>0</v>
      </c>
      <c r="G333" s="137">
        <v>145800</v>
      </c>
      <c r="H333" s="137">
        <v>0</v>
      </c>
      <c r="I333" s="135"/>
      <c r="J333" s="138">
        <v>0</v>
      </c>
      <c r="K333" s="133"/>
      <c r="L333" s="133">
        <v>701</v>
      </c>
      <c r="M333" s="139">
        <v>46055</v>
      </c>
      <c r="N333" s="140" t="s">
        <v>950</v>
      </c>
      <c r="O333" s="134" t="s">
        <v>325</v>
      </c>
    </row>
    <row r="334" spans="1:15" x14ac:dyDescent="0.25">
      <c r="A334" s="133">
        <v>334</v>
      </c>
      <c r="B334" s="134" t="s">
        <v>1185</v>
      </c>
      <c r="C334" s="135">
        <v>35072915</v>
      </c>
      <c r="D334" s="136" t="s">
        <v>1054</v>
      </c>
      <c r="E334" s="137">
        <v>5900</v>
      </c>
      <c r="F334" s="137">
        <v>0</v>
      </c>
      <c r="G334" s="137">
        <v>5900</v>
      </c>
      <c r="H334" s="137">
        <v>0</v>
      </c>
      <c r="I334" s="135"/>
      <c r="J334" s="138">
        <v>0</v>
      </c>
      <c r="K334" s="133"/>
      <c r="L334" s="133">
        <v>701</v>
      </c>
      <c r="M334" s="139">
        <v>46055</v>
      </c>
      <c r="N334" s="140" t="s">
        <v>950</v>
      </c>
      <c r="O334" s="134" t="s">
        <v>230</v>
      </c>
    </row>
    <row r="335" spans="1:15" x14ac:dyDescent="0.25">
      <c r="A335" s="133">
        <v>335</v>
      </c>
      <c r="B335" s="134" t="s">
        <v>1190</v>
      </c>
      <c r="C335" s="135">
        <v>3069390</v>
      </c>
      <c r="D335" s="136" t="s">
        <v>1054</v>
      </c>
      <c r="E335" s="137">
        <v>308000</v>
      </c>
      <c r="F335" s="137">
        <v>0</v>
      </c>
      <c r="G335" s="137">
        <v>308000</v>
      </c>
      <c r="H335" s="137">
        <v>0</v>
      </c>
      <c r="I335" s="135"/>
      <c r="J335" s="138">
        <v>0</v>
      </c>
      <c r="K335" s="133"/>
      <c r="L335" s="133">
        <v>701</v>
      </c>
      <c r="M335" s="139">
        <v>46055</v>
      </c>
      <c r="N335" s="140" t="s">
        <v>950</v>
      </c>
      <c r="O335" s="134" t="s">
        <v>208</v>
      </c>
    </row>
    <row r="336" spans="1:15" x14ac:dyDescent="0.25">
      <c r="A336" s="133">
        <v>336</v>
      </c>
      <c r="B336" s="134" t="s">
        <v>1190</v>
      </c>
      <c r="C336" s="135">
        <v>3069390</v>
      </c>
      <c r="D336" s="136" t="s">
        <v>1054</v>
      </c>
      <c r="E336" s="137">
        <v>32700</v>
      </c>
      <c r="F336" s="137">
        <v>0</v>
      </c>
      <c r="G336" s="137">
        <v>32700</v>
      </c>
      <c r="H336" s="137">
        <v>0</v>
      </c>
      <c r="I336" s="135"/>
      <c r="J336" s="138">
        <v>0</v>
      </c>
      <c r="K336" s="133"/>
      <c r="L336" s="133">
        <v>701</v>
      </c>
      <c r="M336" s="139">
        <v>46055</v>
      </c>
      <c r="N336" s="140" t="s">
        <v>950</v>
      </c>
      <c r="O336" s="134" t="s">
        <v>185</v>
      </c>
    </row>
    <row r="337" spans="1:15" x14ac:dyDescent="0.25">
      <c r="A337" s="133">
        <v>337</v>
      </c>
      <c r="B337" s="134" t="s">
        <v>1190</v>
      </c>
      <c r="C337" s="135">
        <v>3069390</v>
      </c>
      <c r="D337" s="136" t="s">
        <v>1054</v>
      </c>
      <c r="E337" s="137">
        <v>2268</v>
      </c>
      <c r="F337" s="137">
        <v>0</v>
      </c>
      <c r="G337" s="137">
        <v>2268</v>
      </c>
      <c r="H337" s="137">
        <v>0</v>
      </c>
      <c r="I337" s="135"/>
      <c r="J337" s="138">
        <v>0</v>
      </c>
      <c r="K337" s="133"/>
      <c r="L337" s="133">
        <v>701</v>
      </c>
      <c r="M337" s="139">
        <v>46055</v>
      </c>
      <c r="N337" s="140" t="s">
        <v>950</v>
      </c>
      <c r="O337" s="134" t="s">
        <v>1016</v>
      </c>
    </row>
    <row r="338" spans="1:15" x14ac:dyDescent="0.25">
      <c r="A338" s="133">
        <v>338</v>
      </c>
      <c r="B338" s="134" t="s">
        <v>1190</v>
      </c>
      <c r="C338" s="135">
        <v>3069390</v>
      </c>
      <c r="D338" s="136" t="s">
        <v>1054</v>
      </c>
      <c r="E338" s="137">
        <v>2990</v>
      </c>
      <c r="F338" s="137">
        <v>0</v>
      </c>
      <c r="G338" s="137">
        <v>2990</v>
      </c>
      <c r="H338" s="137">
        <v>0</v>
      </c>
      <c r="I338" s="135"/>
      <c r="J338" s="138">
        <v>0</v>
      </c>
      <c r="K338" s="133"/>
      <c r="L338" s="133">
        <v>701</v>
      </c>
      <c r="M338" s="139">
        <v>46055</v>
      </c>
      <c r="N338" s="140" t="s">
        <v>950</v>
      </c>
      <c r="O338" s="134" t="s">
        <v>336</v>
      </c>
    </row>
    <row r="339" spans="1:15" x14ac:dyDescent="0.25">
      <c r="A339" s="133">
        <v>339</v>
      </c>
      <c r="B339" s="134" t="s">
        <v>1191</v>
      </c>
      <c r="C339" s="135">
        <v>3128500</v>
      </c>
      <c r="D339" s="136" t="s">
        <v>1054</v>
      </c>
      <c r="E339" s="137">
        <v>7300</v>
      </c>
      <c r="F339" s="137">
        <v>0</v>
      </c>
      <c r="G339" s="137">
        <v>7300</v>
      </c>
      <c r="H339" s="137">
        <v>0</v>
      </c>
      <c r="I339" s="135"/>
      <c r="J339" s="138">
        <v>0</v>
      </c>
      <c r="K339" s="133"/>
      <c r="L339" s="133">
        <v>701</v>
      </c>
      <c r="M339" s="139">
        <v>46055</v>
      </c>
      <c r="N339" s="140" t="s">
        <v>950</v>
      </c>
      <c r="O339" s="134" t="s">
        <v>221</v>
      </c>
    </row>
    <row r="340" spans="1:15" x14ac:dyDescent="0.25">
      <c r="A340" s="133">
        <v>340</v>
      </c>
      <c r="B340" s="134" t="s">
        <v>1191</v>
      </c>
      <c r="C340" s="135">
        <v>3128500</v>
      </c>
      <c r="D340" s="136" t="s">
        <v>1054</v>
      </c>
      <c r="E340" s="137">
        <v>290700</v>
      </c>
      <c r="F340" s="137">
        <v>0</v>
      </c>
      <c r="G340" s="137">
        <v>290700</v>
      </c>
      <c r="H340" s="137">
        <v>0</v>
      </c>
      <c r="I340" s="135"/>
      <c r="J340" s="138">
        <v>0</v>
      </c>
      <c r="K340" s="133"/>
      <c r="L340" s="133">
        <v>701</v>
      </c>
      <c r="M340" s="139">
        <v>46055</v>
      </c>
      <c r="N340" s="140" t="s">
        <v>950</v>
      </c>
      <c r="O340" s="134" t="s">
        <v>215</v>
      </c>
    </row>
    <row r="341" spans="1:15" x14ac:dyDescent="0.25">
      <c r="A341" s="133">
        <v>341</v>
      </c>
      <c r="B341" s="134" t="s">
        <v>1192</v>
      </c>
      <c r="C341" s="135">
        <v>4631498</v>
      </c>
      <c r="D341" s="136" t="s">
        <v>1054</v>
      </c>
      <c r="E341" s="137">
        <v>4198</v>
      </c>
      <c r="F341" s="137">
        <v>0</v>
      </c>
      <c r="G341" s="137">
        <v>4198</v>
      </c>
      <c r="H341" s="137">
        <v>0</v>
      </c>
      <c r="I341" s="135"/>
      <c r="J341" s="138">
        <v>0</v>
      </c>
      <c r="K341" s="133"/>
      <c r="L341" s="133">
        <v>701</v>
      </c>
      <c r="M341" s="139">
        <v>46055</v>
      </c>
      <c r="N341" s="140" t="s">
        <v>950</v>
      </c>
      <c r="O341" s="134" t="s">
        <v>221</v>
      </c>
    </row>
    <row r="342" spans="1:15" x14ac:dyDescent="0.25">
      <c r="A342" s="133">
        <v>342</v>
      </c>
      <c r="B342" s="134" t="s">
        <v>1192</v>
      </c>
      <c r="C342" s="135">
        <v>4631498</v>
      </c>
      <c r="D342" s="136" t="s">
        <v>1054</v>
      </c>
      <c r="E342" s="137">
        <v>26219</v>
      </c>
      <c r="F342" s="137">
        <v>0</v>
      </c>
      <c r="G342" s="137">
        <v>26219</v>
      </c>
      <c r="H342" s="137">
        <v>0</v>
      </c>
      <c r="I342" s="135"/>
      <c r="J342" s="138">
        <v>0</v>
      </c>
      <c r="K342" s="133"/>
      <c r="L342" s="133">
        <v>701</v>
      </c>
      <c r="M342" s="139">
        <v>46055</v>
      </c>
      <c r="N342" s="140" t="s">
        <v>950</v>
      </c>
      <c r="O342" s="134" t="s">
        <v>1016</v>
      </c>
    </row>
    <row r="343" spans="1:15" x14ac:dyDescent="0.25">
      <c r="A343" s="133">
        <v>343</v>
      </c>
      <c r="B343" s="134" t="s">
        <v>1192</v>
      </c>
      <c r="C343" s="135">
        <v>4631498</v>
      </c>
      <c r="D343" s="136" t="s">
        <v>1054</v>
      </c>
      <c r="E343" s="137">
        <v>166000</v>
      </c>
      <c r="F343" s="137">
        <v>0</v>
      </c>
      <c r="G343" s="137">
        <v>166000</v>
      </c>
      <c r="H343" s="137">
        <v>0</v>
      </c>
      <c r="I343" s="135"/>
      <c r="J343" s="138">
        <v>0</v>
      </c>
      <c r="K343" s="133"/>
      <c r="L343" s="133">
        <v>701</v>
      </c>
      <c r="M343" s="139">
        <v>46055</v>
      </c>
      <c r="N343" s="140" t="s">
        <v>950</v>
      </c>
      <c r="O343" s="134" t="s">
        <v>215</v>
      </c>
    </row>
    <row r="344" spans="1:15" x14ac:dyDescent="0.25">
      <c r="A344" s="133">
        <v>344</v>
      </c>
      <c r="B344" s="134" t="s">
        <v>1192</v>
      </c>
      <c r="C344" s="135">
        <v>4631498</v>
      </c>
      <c r="D344" s="136" t="s">
        <v>1054</v>
      </c>
      <c r="E344" s="137">
        <v>1200</v>
      </c>
      <c r="F344" s="137">
        <v>0</v>
      </c>
      <c r="G344" s="137">
        <v>1200</v>
      </c>
      <c r="H344" s="137">
        <v>0</v>
      </c>
      <c r="I344" s="135"/>
      <c r="J344" s="138">
        <v>0</v>
      </c>
      <c r="K344" s="133"/>
      <c r="L344" s="133">
        <v>701</v>
      </c>
      <c r="M344" s="139">
        <v>46055</v>
      </c>
      <c r="N344" s="140" t="s">
        <v>950</v>
      </c>
      <c r="O344" s="134" t="s">
        <v>336</v>
      </c>
    </row>
    <row r="345" spans="1:15" x14ac:dyDescent="0.25">
      <c r="A345" s="133">
        <v>345</v>
      </c>
      <c r="B345" s="134" t="s">
        <v>1192</v>
      </c>
      <c r="C345" s="135">
        <v>4631498</v>
      </c>
      <c r="D345" s="136" t="s">
        <v>1054</v>
      </c>
      <c r="E345" s="137">
        <v>16000</v>
      </c>
      <c r="F345" s="137">
        <v>0</v>
      </c>
      <c r="G345" s="137">
        <v>16000</v>
      </c>
      <c r="H345" s="137">
        <v>0</v>
      </c>
      <c r="I345" s="135"/>
      <c r="J345" s="138">
        <v>0</v>
      </c>
      <c r="K345" s="133"/>
      <c r="L345" s="133">
        <v>701</v>
      </c>
      <c r="M345" s="139">
        <v>46055</v>
      </c>
      <c r="N345" s="140" t="s">
        <v>950</v>
      </c>
      <c r="O345" s="134" t="s">
        <v>1138</v>
      </c>
    </row>
    <row r="346" spans="1:15" x14ac:dyDescent="0.25">
      <c r="A346" s="133">
        <v>346</v>
      </c>
      <c r="B346" s="134" t="s">
        <v>1192</v>
      </c>
      <c r="C346" s="135">
        <v>4631498</v>
      </c>
      <c r="D346" s="136" t="s">
        <v>1054</v>
      </c>
      <c r="E346" s="137">
        <v>46300</v>
      </c>
      <c r="F346" s="137">
        <v>0</v>
      </c>
      <c r="G346" s="137">
        <v>46300</v>
      </c>
      <c r="H346" s="137">
        <v>0</v>
      </c>
      <c r="I346" s="135"/>
      <c r="J346" s="138">
        <v>0</v>
      </c>
      <c r="K346" s="133"/>
      <c r="L346" s="133">
        <v>701</v>
      </c>
      <c r="M346" s="139">
        <v>46055</v>
      </c>
      <c r="N346" s="140" t="s">
        <v>950</v>
      </c>
      <c r="O346" s="134" t="s">
        <v>230</v>
      </c>
    </row>
    <row r="347" spans="1:15" x14ac:dyDescent="0.25">
      <c r="A347" s="133">
        <v>347</v>
      </c>
      <c r="B347" s="134" t="s">
        <v>1193</v>
      </c>
      <c r="C347" s="135">
        <v>1666223</v>
      </c>
      <c r="D347" s="136" t="s">
        <v>1054</v>
      </c>
      <c r="E347" s="137">
        <v>34167</v>
      </c>
      <c r="F347" s="137">
        <v>0</v>
      </c>
      <c r="G347" s="137">
        <v>34167</v>
      </c>
      <c r="H347" s="137">
        <v>0</v>
      </c>
      <c r="I347" s="135"/>
      <c r="J347" s="138">
        <v>0</v>
      </c>
      <c r="K347" s="133"/>
      <c r="L347" s="133">
        <v>701</v>
      </c>
      <c r="M347" s="139">
        <v>46055</v>
      </c>
      <c r="N347" s="140" t="s">
        <v>950</v>
      </c>
      <c r="O347" s="134" t="s">
        <v>221</v>
      </c>
    </row>
    <row r="348" spans="1:15" x14ac:dyDescent="0.25">
      <c r="A348" s="133">
        <v>348</v>
      </c>
      <c r="B348" s="134" t="s">
        <v>1193</v>
      </c>
      <c r="C348" s="135">
        <v>1666223</v>
      </c>
      <c r="D348" s="136" t="s">
        <v>1054</v>
      </c>
      <c r="E348" s="137">
        <v>7690</v>
      </c>
      <c r="F348" s="137">
        <v>0</v>
      </c>
      <c r="G348" s="137">
        <v>7690</v>
      </c>
      <c r="H348" s="137">
        <v>0</v>
      </c>
      <c r="I348" s="135"/>
      <c r="J348" s="138">
        <v>0</v>
      </c>
      <c r="K348" s="133"/>
      <c r="L348" s="133">
        <v>701</v>
      </c>
      <c r="M348" s="139">
        <v>46055</v>
      </c>
      <c r="N348" s="140" t="s">
        <v>950</v>
      </c>
      <c r="O348" s="134" t="s">
        <v>1016</v>
      </c>
    </row>
    <row r="349" spans="1:15" x14ac:dyDescent="0.25">
      <c r="A349" s="133">
        <v>349</v>
      </c>
      <c r="B349" s="134" t="s">
        <v>1194</v>
      </c>
      <c r="C349" s="135">
        <v>93400</v>
      </c>
      <c r="D349" s="136" t="s">
        <v>1054</v>
      </c>
      <c r="E349" s="137">
        <v>4700</v>
      </c>
      <c r="F349" s="137">
        <v>0</v>
      </c>
      <c r="G349" s="137">
        <v>4700</v>
      </c>
      <c r="H349" s="137">
        <v>0</v>
      </c>
      <c r="I349" s="135"/>
      <c r="J349" s="138">
        <v>0</v>
      </c>
      <c r="K349" s="133"/>
      <c r="L349" s="133">
        <v>701</v>
      </c>
      <c r="M349" s="139">
        <v>46055</v>
      </c>
      <c r="N349" s="140" t="s">
        <v>950</v>
      </c>
      <c r="O349" s="134" t="s">
        <v>406</v>
      </c>
    </row>
    <row r="350" spans="1:15" x14ac:dyDescent="0.25">
      <c r="A350" s="133">
        <v>350</v>
      </c>
      <c r="B350" s="134" t="s">
        <v>1195</v>
      </c>
      <c r="C350" s="135">
        <v>2938900</v>
      </c>
      <c r="D350" s="136" t="s">
        <v>1054</v>
      </c>
      <c r="E350" s="137">
        <v>1477600</v>
      </c>
      <c r="F350" s="137">
        <v>547036</v>
      </c>
      <c r="G350" s="137">
        <v>930564</v>
      </c>
      <c r="H350" s="137">
        <v>0</v>
      </c>
      <c r="I350" s="135"/>
      <c r="J350" s="138">
        <v>0</v>
      </c>
      <c r="K350" s="133"/>
      <c r="L350" s="133">
        <v>701</v>
      </c>
      <c r="M350" s="139">
        <v>46055</v>
      </c>
      <c r="N350" s="140" t="s">
        <v>1196</v>
      </c>
      <c r="O350" s="134" t="s">
        <v>212</v>
      </c>
    </row>
    <row r="351" spans="1:15" x14ac:dyDescent="0.25">
      <c r="A351" s="133">
        <v>351</v>
      </c>
      <c r="B351" s="134" t="s">
        <v>1195</v>
      </c>
      <c r="C351" s="135">
        <v>2938900</v>
      </c>
      <c r="D351" s="136" t="s">
        <v>1054</v>
      </c>
      <c r="E351" s="137">
        <v>154</v>
      </c>
      <c r="F351" s="137">
        <v>0</v>
      </c>
      <c r="G351" s="137">
        <v>154</v>
      </c>
      <c r="H351" s="137">
        <v>0</v>
      </c>
      <c r="I351" s="135"/>
      <c r="J351" s="138">
        <v>0</v>
      </c>
      <c r="K351" s="133"/>
      <c r="L351" s="133">
        <v>701</v>
      </c>
      <c r="M351" s="139">
        <v>46055</v>
      </c>
      <c r="N351" s="140" t="s">
        <v>950</v>
      </c>
      <c r="O351" s="134" t="s">
        <v>1016</v>
      </c>
    </row>
    <row r="352" spans="1:15" x14ac:dyDescent="0.25">
      <c r="A352" s="133">
        <v>352</v>
      </c>
      <c r="B352" s="134" t="s">
        <v>1197</v>
      </c>
      <c r="C352" s="135">
        <v>1359000</v>
      </c>
      <c r="D352" s="136" t="s">
        <v>1054</v>
      </c>
      <c r="E352" s="137">
        <v>4700</v>
      </c>
      <c r="F352" s="137">
        <v>0</v>
      </c>
      <c r="G352" s="137">
        <v>4700</v>
      </c>
      <c r="H352" s="137">
        <v>0</v>
      </c>
      <c r="I352" s="135"/>
      <c r="J352" s="138">
        <v>0</v>
      </c>
      <c r="K352" s="133"/>
      <c r="L352" s="133">
        <v>701</v>
      </c>
      <c r="M352" s="139">
        <v>46055</v>
      </c>
      <c r="N352" s="140" t="s">
        <v>950</v>
      </c>
      <c r="O352" s="134" t="s">
        <v>1139</v>
      </c>
    </row>
    <row r="353" spans="1:15" x14ac:dyDescent="0.25">
      <c r="A353" s="133">
        <v>353</v>
      </c>
      <c r="B353" s="134" t="s">
        <v>1198</v>
      </c>
      <c r="C353" s="135">
        <v>49074359</v>
      </c>
      <c r="D353" s="136" t="s">
        <v>1054</v>
      </c>
      <c r="E353" s="137">
        <v>3481600</v>
      </c>
      <c r="F353" s="137">
        <v>1358000</v>
      </c>
      <c r="G353" s="137">
        <v>2123600</v>
      </c>
      <c r="H353" s="137">
        <v>0</v>
      </c>
      <c r="I353" s="135"/>
      <c r="J353" s="138">
        <v>0</v>
      </c>
      <c r="K353" s="133"/>
      <c r="L353" s="133">
        <v>701</v>
      </c>
      <c r="M353" s="139">
        <v>46055</v>
      </c>
      <c r="N353" s="140" t="s">
        <v>1199</v>
      </c>
      <c r="O353" s="134" t="s">
        <v>208</v>
      </c>
    </row>
    <row r="354" spans="1:15" x14ac:dyDescent="0.25">
      <c r="A354" s="133">
        <v>354</v>
      </c>
      <c r="B354" s="134" t="s">
        <v>1198</v>
      </c>
      <c r="C354" s="135">
        <v>49074359</v>
      </c>
      <c r="D354" s="136" t="s">
        <v>1054</v>
      </c>
      <c r="E354" s="137">
        <v>2161723</v>
      </c>
      <c r="F354" s="137">
        <v>0</v>
      </c>
      <c r="G354" s="137">
        <v>2161723</v>
      </c>
      <c r="H354" s="137">
        <v>0</v>
      </c>
      <c r="I354" s="135"/>
      <c r="J354" s="138">
        <v>0</v>
      </c>
      <c r="K354" s="133"/>
      <c r="L354" s="133">
        <v>701</v>
      </c>
      <c r="M354" s="139">
        <v>46055</v>
      </c>
      <c r="N354" s="140" t="s">
        <v>950</v>
      </c>
      <c r="O354" s="134" t="s">
        <v>221</v>
      </c>
    </row>
    <row r="355" spans="1:15" x14ac:dyDescent="0.25">
      <c r="A355" s="133">
        <v>355</v>
      </c>
      <c r="B355" s="134" t="s">
        <v>1198</v>
      </c>
      <c r="C355" s="135">
        <v>49074359</v>
      </c>
      <c r="D355" s="136" t="s">
        <v>1054</v>
      </c>
      <c r="E355" s="137">
        <v>13200</v>
      </c>
      <c r="F355" s="137">
        <v>0</v>
      </c>
      <c r="G355" s="137">
        <v>13200</v>
      </c>
      <c r="H355" s="137">
        <v>0</v>
      </c>
      <c r="I355" s="135"/>
      <c r="J355" s="138">
        <v>0</v>
      </c>
      <c r="K355" s="133"/>
      <c r="L355" s="133">
        <v>701</v>
      </c>
      <c r="M355" s="139">
        <v>46055</v>
      </c>
      <c r="N355" s="140" t="s">
        <v>950</v>
      </c>
      <c r="O355" s="134" t="s">
        <v>185</v>
      </c>
    </row>
    <row r="356" spans="1:15" x14ac:dyDescent="0.25">
      <c r="A356" s="133">
        <v>356</v>
      </c>
      <c r="B356" s="134" t="s">
        <v>1198</v>
      </c>
      <c r="C356" s="135">
        <v>49074359</v>
      </c>
      <c r="D356" s="136" t="s">
        <v>1054</v>
      </c>
      <c r="E356" s="137">
        <v>688820</v>
      </c>
      <c r="F356" s="137">
        <v>0</v>
      </c>
      <c r="G356" s="137">
        <v>688820</v>
      </c>
      <c r="H356" s="137">
        <v>0</v>
      </c>
      <c r="I356" s="135"/>
      <c r="J356" s="138">
        <v>0</v>
      </c>
      <c r="K356" s="133"/>
      <c r="L356" s="133">
        <v>701</v>
      </c>
      <c r="M356" s="139">
        <v>46055</v>
      </c>
      <c r="N356" s="140" t="s">
        <v>950</v>
      </c>
      <c r="O356" s="134" t="s">
        <v>1139</v>
      </c>
    </row>
    <row r="357" spans="1:15" x14ac:dyDescent="0.25">
      <c r="A357" s="133">
        <v>357</v>
      </c>
      <c r="B357" s="134" t="s">
        <v>1198</v>
      </c>
      <c r="C357" s="135">
        <v>49074359</v>
      </c>
      <c r="D357" s="136" t="s">
        <v>1054</v>
      </c>
      <c r="E357" s="137">
        <v>151260</v>
      </c>
      <c r="F357" s="137">
        <v>0</v>
      </c>
      <c r="G357" s="137">
        <v>151260</v>
      </c>
      <c r="H357" s="137">
        <v>0</v>
      </c>
      <c r="I357" s="135"/>
      <c r="J357" s="138">
        <v>0</v>
      </c>
      <c r="K357" s="133"/>
      <c r="L357" s="133">
        <v>701</v>
      </c>
      <c r="M357" s="139">
        <v>46055</v>
      </c>
      <c r="N357" s="140" t="s">
        <v>950</v>
      </c>
      <c r="O357" s="134" t="s">
        <v>1016</v>
      </c>
    </row>
    <row r="358" spans="1:15" x14ac:dyDescent="0.25">
      <c r="A358" s="133">
        <v>358</v>
      </c>
      <c r="B358" s="134" t="s">
        <v>1198</v>
      </c>
      <c r="C358" s="135">
        <v>49074359</v>
      </c>
      <c r="D358" s="136" t="s">
        <v>1054</v>
      </c>
      <c r="E358" s="137">
        <v>1851500</v>
      </c>
      <c r="F358" s="137">
        <v>686000</v>
      </c>
      <c r="G358" s="137">
        <v>1165500</v>
      </c>
      <c r="H358" s="137">
        <v>0</v>
      </c>
      <c r="I358" s="135"/>
      <c r="J358" s="138">
        <v>0</v>
      </c>
      <c r="K358" s="133"/>
      <c r="L358" s="133">
        <v>701</v>
      </c>
      <c r="M358" s="139">
        <v>46055</v>
      </c>
      <c r="N358" s="140" t="s">
        <v>1200</v>
      </c>
      <c r="O358" s="134" t="s">
        <v>215</v>
      </c>
    </row>
    <row r="359" spans="1:15" x14ac:dyDescent="0.25">
      <c r="A359" s="133">
        <v>359</v>
      </c>
      <c r="B359" s="134" t="s">
        <v>1198</v>
      </c>
      <c r="C359" s="135">
        <v>49074359</v>
      </c>
      <c r="D359" s="136" t="s">
        <v>1054</v>
      </c>
      <c r="E359" s="137">
        <v>472300</v>
      </c>
      <c r="F359" s="137">
        <v>0</v>
      </c>
      <c r="G359" s="137">
        <v>472300</v>
      </c>
      <c r="H359" s="137">
        <v>0</v>
      </c>
      <c r="I359" s="135"/>
      <c r="J359" s="138">
        <v>0</v>
      </c>
      <c r="K359" s="133"/>
      <c r="L359" s="133">
        <v>701</v>
      </c>
      <c r="M359" s="139">
        <v>46055</v>
      </c>
      <c r="N359" s="140" t="s">
        <v>950</v>
      </c>
      <c r="O359" s="134" t="s">
        <v>1138</v>
      </c>
    </row>
    <row r="360" spans="1:15" x14ac:dyDescent="0.25">
      <c r="A360" s="133">
        <v>360</v>
      </c>
      <c r="B360" s="134" t="s">
        <v>1201</v>
      </c>
      <c r="C360" s="135">
        <v>20429264</v>
      </c>
      <c r="D360" s="136" t="s">
        <v>1054</v>
      </c>
      <c r="E360" s="137">
        <v>43724</v>
      </c>
      <c r="F360" s="137">
        <v>0</v>
      </c>
      <c r="G360" s="137">
        <v>43724</v>
      </c>
      <c r="H360" s="137">
        <v>0</v>
      </c>
      <c r="I360" s="135"/>
      <c r="J360" s="138">
        <v>0</v>
      </c>
      <c r="K360" s="133"/>
      <c r="L360" s="133">
        <v>701</v>
      </c>
      <c r="M360" s="139">
        <v>46055</v>
      </c>
      <c r="N360" s="140" t="s">
        <v>950</v>
      </c>
      <c r="O360" s="134" t="s">
        <v>1016</v>
      </c>
    </row>
    <row r="361" spans="1:15" x14ac:dyDescent="0.25">
      <c r="A361" s="133">
        <v>361</v>
      </c>
      <c r="B361" s="134" t="s">
        <v>1201</v>
      </c>
      <c r="C361" s="135">
        <v>20429264</v>
      </c>
      <c r="D361" s="136" t="s">
        <v>1054</v>
      </c>
      <c r="E361" s="137">
        <v>1035600</v>
      </c>
      <c r="F361" s="137">
        <v>362000</v>
      </c>
      <c r="G361" s="137">
        <v>673600</v>
      </c>
      <c r="H361" s="137">
        <v>0</v>
      </c>
      <c r="I361" s="135"/>
      <c r="J361" s="138">
        <v>0</v>
      </c>
      <c r="K361" s="133"/>
      <c r="L361" s="133">
        <v>701</v>
      </c>
      <c r="M361" s="139">
        <v>46055</v>
      </c>
      <c r="N361" s="140" t="s">
        <v>1202</v>
      </c>
      <c r="O361" s="134" t="s">
        <v>208</v>
      </c>
    </row>
    <row r="362" spans="1:15" x14ac:dyDescent="0.25">
      <c r="A362" s="133">
        <v>362</v>
      </c>
      <c r="B362" s="134" t="s">
        <v>1201</v>
      </c>
      <c r="C362" s="135">
        <v>20429264</v>
      </c>
      <c r="D362" s="136" t="s">
        <v>1054</v>
      </c>
      <c r="E362" s="137">
        <v>692160</v>
      </c>
      <c r="F362" s="137">
        <v>0</v>
      </c>
      <c r="G362" s="137">
        <v>692160</v>
      </c>
      <c r="H362" s="137">
        <v>0</v>
      </c>
      <c r="I362" s="135"/>
      <c r="J362" s="138">
        <v>0</v>
      </c>
      <c r="K362" s="133"/>
      <c r="L362" s="133">
        <v>701</v>
      </c>
      <c r="M362" s="139">
        <v>46055</v>
      </c>
      <c r="N362" s="140" t="s">
        <v>950</v>
      </c>
      <c r="O362" s="134" t="s">
        <v>221</v>
      </c>
    </row>
    <row r="363" spans="1:15" x14ac:dyDescent="0.25">
      <c r="A363" s="133">
        <v>363</v>
      </c>
      <c r="B363" s="134" t="s">
        <v>1201</v>
      </c>
      <c r="C363" s="135">
        <v>20429264</v>
      </c>
      <c r="D363" s="136" t="s">
        <v>1054</v>
      </c>
      <c r="E363" s="137">
        <v>269701</v>
      </c>
      <c r="F363" s="137">
        <v>0</v>
      </c>
      <c r="G363" s="137">
        <v>269701</v>
      </c>
      <c r="H363" s="137">
        <v>0</v>
      </c>
      <c r="I363" s="135"/>
      <c r="J363" s="138">
        <v>0</v>
      </c>
      <c r="K363" s="133"/>
      <c r="L363" s="133">
        <v>701</v>
      </c>
      <c r="M363" s="139">
        <v>46055</v>
      </c>
      <c r="N363" s="140" t="s">
        <v>950</v>
      </c>
      <c r="O363" s="134" t="s">
        <v>224</v>
      </c>
    </row>
    <row r="364" spans="1:15" x14ac:dyDescent="0.25">
      <c r="A364" s="133">
        <v>364</v>
      </c>
      <c r="B364" s="134" t="s">
        <v>1201</v>
      </c>
      <c r="C364" s="135">
        <v>20429264</v>
      </c>
      <c r="D364" s="136" t="s">
        <v>1054</v>
      </c>
      <c r="E364" s="137">
        <v>2914500</v>
      </c>
      <c r="F364" s="137">
        <v>0</v>
      </c>
      <c r="G364" s="137">
        <v>2914500</v>
      </c>
      <c r="H364" s="137">
        <v>0</v>
      </c>
      <c r="I364" s="135"/>
      <c r="J364" s="138">
        <v>0</v>
      </c>
      <c r="K364" s="133"/>
      <c r="L364" s="133">
        <v>701</v>
      </c>
      <c r="M364" s="139">
        <v>46055</v>
      </c>
      <c r="N364" s="140" t="s">
        <v>950</v>
      </c>
      <c r="O364" s="134" t="s">
        <v>1139</v>
      </c>
    </row>
    <row r="365" spans="1:15" x14ac:dyDescent="0.25">
      <c r="A365" s="133">
        <v>365</v>
      </c>
      <c r="B365" s="134" t="s">
        <v>1201</v>
      </c>
      <c r="C365" s="135">
        <v>20429264</v>
      </c>
      <c r="D365" s="136" t="s">
        <v>1054</v>
      </c>
      <c r="E365" s="137">
        <v>329100</v>
      </c>
      <c r="F365" s="137">
        <v>0</v>
      </c>
      <c r="G365" s="137">
        <v>329100</v>
      </c>
      <c r="H365" s="137">
        <v>0</v>
      </c>
      <c r="I365" s="135"/>
      <c r="J365" s="138">
        <v>0</v>
      </c>
      <c r="K365" s="133"/>
      <c r="L365" s="133">
        <v>701</v>
      </c>
      <c r="M365" s="139">
        <v>46055</v>
      </c>
      <c r="N365" s="140" t="s">
        <v>950</v>
      </c>
      <c r="O365" s="134" t="s">
        <v>1203</v>
      </c>
    </row>
    <row r="366" spans="1:15" x14ac:dyDescent="0.25">
      <c r="A366" s="133">
        <v>366</v>
      </c>
      <c r="B366" s="134" t="s">
        <v>1201</v>
      </c>
      <c r="C366" s="135">
        <v>20429264</v>
      </c>
      <c r="D366" s="136" t="s">
        <v>1054</v>
      </c>
      <c r="E366" s="137">
        <v>145800</v>
      </c>
      <c r="F366" s="137">
        <v>0</v>
      </c>
      <c r="G366" s="137">
        <v>145800</v>
      </c>
      <c r="H366" s="137">
        <v>0</v>
      </c>
      <c r="I366" s="135"/>
      <c r="J366" s="138">
        <v>0</v>
      </c>
      <c r="K366" s="133"/>
      <c r="L366" s="133">
        <v>701</v>
      </c>
      <c r="M366" s="139">
        <v>46055</v>
      </c>
      <c r="N366" s="140" t="s">
        <v>950</v>
      </c>
      <c r="O366" s="134" t="s">
        <v>325</v>
      </c>
    </row>
    <row r="367" spans="1:15" x14ac:dyDescent="0.25">
      <c r="A367" s="133">
        <v>367</v>
      </c>
      <c r="B367" s="134" t="s">
        <v>1204</v>
      </c>
      <c r="C367" s="135">
        <v>1660700</v>
      </c>
      <c r="D367" s="136" t="s">
        <v>1205</v>
      </c>
      <c r="E367" s="137">
        <v>80100</v>
      </c>
      <c r="F367" s="137">
        <v>0</v>
      </c>
      <c r="G367" s="137">
        <v>80100</v>
      </c>
      <c r="H367" s="137">
        <v>0</v>
      </c>
      <c r="I367" s="135"/>
      <c r="J367" s="138">
        <v>0</v>
      </c>
      <c r="K367" s="133"/>
      <c r="L367" s="133">
        <v>700</v>
      </c>
      <c r="M367" s="139">
        <v>46050</v>
      </c>
      <c r="N367" s="140" t="s">
        <v>950</v>
      </c>
      <c r="O367" s="134" t="s">
        <v>241</v>
      </c>
    </row>
    <row r="368" spans="1:15" x14ac:dyDescent="0.25">
      <c r="A368" s="133">
        <v>368</v>
      </c>
      <c r="B368" s="134" t="s">
        <v>1204</v>
      </c>
      <c r="C368" s="135">
        <v>1660700</v>
      </c>
      <c r="D368" s="136" t="s">
        <v>1205</v>
      </c>
      <c r="E368" s="137">
        <v>4700</v>
      </c>
      <c r="F368" s="137">
        <v>0</v>
      </c>
      <c r="G368" s="137">
        <v>4700</v>
      </c>
      <c r="H368" s="137">
        <v>0</v>
      </c>
      <c r="I368" s="135"/>
      <c r="J368" s="138">
        <v>0</v>
      </c>
      <c r="K368" s="133"/>
      <c r="L368" s="133">
        <v>700</v>
      </c>
      <c r="M368" s="139">
        <v>46050</v>
      </c>
      <c r="N368" s="140" t="s">
        <v>950</v>
      </c>
      <c r="O368" s="134" t="s">
        <v>321</v>
      </c>
    </row>
    <row r="369" spans="1:15" x14ac:dyDescent="0.25">
      <c r="A369" s="133">
        <v>369</v>
      </c>
      <c r="B369" s="134" t="s">
        <v>1206</v>
      </c>
      <c r="C369" s="135">
        <v>1834900</v>
      </c>
      <c r="D369" s="136" t="s">
        <v>1205</v>
      </c>
      <c r="E369" s="137">
        <v>161300</v>
      </c>
      <c r="F369" s="137">
        <v>0</v>
      </c>
      <c r="G369" s="137">
        <v>161300</v>
      </c>
      <c r="H369" s="137">
        <v>0</v>
      </c>
      <c r="I369" s="135"/>
      <c r="J369" s="138">
        <v>0</v>
      </c>
      <c r="K369" s="133"/>
      <c r="L369" s="133">
        <v>700</v>
      </c>
      <c r="M369" s="139">
        <v>46050</v>
      </c>
      <c r="N369" s="140" t="s">
        <v>950</v>
      </c>
      <c r="O369" s="134" t="s">
        <v>212</v>
      </c>
    </row>
    <row r="370" spans="1:15" x14ac:dyDescent="0.25">
      <c r="A370" s="133">
        <v>370</v>
      </c>
      <c r="B370" s="134" t="s">
        <v>1206</v>
      </c>
      <c r="C370" s="135">
        <v>1834900</v>
      </c>
      <c r="D370" s="136" t="s">
        <v>1205</v>
      </c>
      <c r="E370" s="137">
        <v>38300</v>
      </c>
      <c r="F370" s="137">
        <v>0</v>
      </c>
      <c r="G370" s="137">
        <v>38300</v>
      </c>
      <c r="H370" s="137">
        <v>0</v>
      </c>
      <c r="I370" s="135"/>
      <c r="J370" s="138">
        <v>0</v>
      </c>
      <c r="K370" s="133"/>
      <c r="L370" s="133">
        <v>700</v>
      </c>
      <c r="M370" s="139">
        <v>46050</v>
      </c>
      <c r="N370" s="140" t="s">
        <v>950</v>
      </c>
      <c r="O370" s="134" t="s">
        <v>212</v>
      </c>
    </row>
    <row r="371" spans="1:15" x14ac:dyDescent="0.25">
      <c r="A371" s="133">
        <v>371</v>
      </c>
      <c r="B371" s="134" t="s">
        <v>1206</v>
      </c>
      <c r="C371" s="135">
        <v>1834900</v>
      </c>
      <c r="D371" s="136" t="s">
        <v>1205</v>
      </c>
      <c r="E371" s="137">
        <v>25200</v>
      </c>
      <c r="F371" s="137">
        <v>0</v>
      </c>
      <c r="G371" s="137">
        <v>25200</v>
      </c>
      <c r="H371" s="137">
        <v>0</v>
      </c>
      <c r="I371" s="135"/>
      <c r="J371" s="138">
        <v>0</v>
      </c>
      <c r="K371" s="133"/>
      <c r="L371" s="133">
        <v>700</v>
      </c>
      <c r="M371" s="139">
        <v>46050</v>
      </c>
      <c r="N371" s="140" t="s">
        <v>950</v>
      </c>
      <c r="O371" s="134" t="s">
        <v>1207</v>
      </c>
    </row>
    <row r="372" spans="1:15" x14ac:dyDescent="0.25">
      <c r="A372" s="133">
        <v>372</v>
      </c>
      <c r="B372" s="134" t="s">
        <v>1206</v>
      </c>
      <c r="C372" s="135">
        <v>1834900</v>
      </c>
      <c r="D372" s="136" t="s">
        <v>1205</v>
      </c>
      <c r="E372" s="137">
        <v>25100</v>
      </c>
      <c r="F372" s="137">
        <v>0</v>
      </c>
      <c r="G372" s="137">
        <v>25100</v>
      </c>
      <c r="H372" s="137">
        <v>0</v>
      </c>
      <c r="I372" s="135"/>
      <c r="J372" s="138">
        <v>0</v>
      </c>
      <c r="K372" s="133"/>
      <c r="L372" s="133">
        <v>700</v>
      </c>
      <c r="M372" s="139">
        <v>46050</v>
      </c>
      <c r="N372" s="140" t="s">
        <v>950</v>
      </c>
      <c r="O372" s="134" t="s">
        <v>1207</v>
      </c>
    </row>
    <row r="373" spans="1:15" x14ac:dyDescent="0.25">
      <c r="A373" s="133">
        <v>373</v>
      </c>
      <c r="B373" s="134" t="s">
        <v>1206</v>
      </c>
      <c r="C373" s="135">
        <v>1834900</v>
      </c>
      <c r="D373" s="136" t="s">
        <v>1205</v>
      </c>
      <c r="E373" s="137">
        <v>80100</v>
      </c>
      <c r="F373" s="137">
        <v>0</v>
      </c>
      <c r="G373" s="137">
        <v>80100</v>
      </c>
      <c r="H373" s="137">
        <v>0</v>
      </c>
      <c r="I373" s="135"/>
      <c r="J373" s="138">
        <v>0</v>
      </c>
      <c r="K373" s="133"/>
      <c r="L373" s="133">
        <v>700</v>
      </c>
      <c r="M373" s="139">
        <v>46050</v>
      </c>
      <c r="N373" s="140" t="s">
        <v>950</v>
      </c>
      <c r="O373" s="134" t="s">
        <v>1207</v>
      </c>
    </row>
    <row r="374" spans="1:15" x14ac:dyDescent="0.25">
      <c r="A374" s="133">
        <v>374</v>
      </c>
      <c r="B374" s="134" t="s">
        <v>1206</v>
      </c>
      <c r="C374" s="135">
        <v>1834900</v>
      </c>
      <c r="D374" s="136" t="s">
        <v>1205</v>
      </c>
      <c r="E374" s="137">
        <v>171200</v>
      </c>
      <c r="F374" s="137">
        <v>0</v>
      </c>
      <c r="G374" s="137">
        <v>171200</v>
      </c>
      <c r="H374" s="137">
        <v>0</v>
      </c>
      <c r="I374" s="135"/>
      <c r="J374" s="138">
        <v>0</v>
      </c>
      <c r="K374" s="133"/>
      <c r="L374" s="133">
        <v>700</v>
      </c>
      <c r="M374" s="139">
        <v>46050</v>
      </c>
      <c r="N374" s="140" t="s">
        <v>950</v>
      </c>
      <c r="O374" s="134" t="s">
        <v>1207</v>
      </c>
    </row>
    <row r="375" spans="1:15" x14ac:dyDescent="0.25">
      <c r="A375" s="133">
        <v>375</v>
      </c>
      <c r="B375" s="134" t="s">
        <v>1206</v>
      </c>
      <c r="C375" s="135">
        <v>1834900</v>
      </c>
      <c r="D375" s="136" t="s">
        <v>1205</v>
      </c>
      <c r="E375" s="137">
        <v>136100</v>
      </c>
      <c r="F375" s="137">
        <v>0</v>
      </c>
      <c r="G375" s="137">
        <v>136100</v>
      </c>
      <c r="H375" s="137">
        <v>0</v>
      </c>
      <c r="I375" s="135"/>
      <c r="J375" s="138">
        <v>0</v>
      </c>
      <c r="K375" s="133"/>
      <c r="L375" s="133">
        <v>700</v>
      </c>
      <c r="M375" s="139">
        <v>46050</v>
      </c>
      <c r="N375" s="140" t="s">
        <v>950</v>
      </c>
      <c r="O375" s="134" t="s">
        <v>1207</v>
      </c>
    </row>
    <row r="376" spans="1:15" x14ac:dyDescent="0.25">
      <c r="A376" s="133">
        <v>376</v>
      </c>
      <c r="B376" s="134" t="s">
        <v>1206</v>
      </c>
      <c r="C376" s="135">
        <v>1834900</v>
      </c>
      <c r="D376" s="136" t="s">
        <v>1205</v>
      </c>
      <c r="E376" s="137">
        <v>144600</v>
      </c>
      <c r="F376" s="137">
        <v>0</v>
      </c>
      <c r="G376" s="137">
        <v>144600</v>
      </c>
      <c r="H376" s="137">
        <v>0</v>
      </c>
      <c r="I376" s="135"/>
      <c r="J376" s="138">
        <v>0</v>
      </c>
      <c r="K376" s="133"/>
      <c r="L376" s="133">
        <v>700</v>
      </c>
      <c r="M376" s="139">
        <v>46050</v>
      </c>
      <c r="N376" s="140" t="s">
        <v>950</v>
      </c>
      <c r="O376" s="134" t="s">
        <v>1207</v>
      </c>
    </row>
    <row r="377" spans="1:15" x14ac:dyDescent="0.25">
      <c r="A377" s="133">
        <v>377</v>
      </c>
      <c r="B377" s="134" t="s">
        <v>1206</v>
      </c>
      <c r="C377" s="135">
        <v>1834900</v>
      </c>
      <c r="D377" s="136" t="s">
        <v>1205</v>
      </c>
      <c r="E377" s="137">
        <v>144600</v>
      </c>
      <c r="F377" s="137">
        <v>0</v>
      </c>
      <c r="G377" s="137">
        <v>144600</v>
      </c>
      <c r="H377" s="137">
        <v>0</v>
      </c>
      <c r="I377" s="135"/>
      <c r="J377" s="138">
        <v>0</v>
      </c>
      <c r="K377" s="133"/>
      <c r="L377" s="133">
        <v>700</v>
      </c>
      <c r="M377" s="139">
        <v>46050</v>
      </c>
      <c r="N377" s="140" t="s">
        <v>950</v>
      </c>
      <c r="O377" s="134" t="s">
        <v>1207</v>
      </c>
    </row>
    <row r="378" spans="1:15" x14ac:dyDescent="0.25">
      <c r="A378" s="133">
        <v>378</v>
      </c>
      <c r="B378" s="134" t="s">
        <v>1206</v>
      </c>
      <c r="C378" s="135">
        <v>1834900</v>
      </c>
      <c r="D378" s="136" t="s">
        <v>1205</v>
      </c>
      <c r="E378" s="137">
        <v>39400</v>
      </c>
      <c r="F378" s="137">
        <v>0</v>
      </c>
      <c r="G378" s="137">
        <v>39400</v>
      </c>
      <c r="H378" s="137">
        <v>0</v>
      </c>
      <c r="I378" s="135"/>
      <c r="J378" s="138">
        <v>0</v>
      </c>
      <c r="K378" s="133"/>
      <c r="L378" s="133">
        <v>700</v>
      </c>
      <c r="M378" s="139">
        <v>46050</v>
      </c>
      <c r="N378" s="140" t="s">
        <v>950</v>
      </c>
      <c r="O378" s="134" t="s">
        <v>1207</v>
      </c>
    </row>
    <row r="379" spans="1:15" x14ac:dyDescent="0.25">
      <c r="A379" s="133">
        <v>379</v>
      </c>
      <c r="B379" s="134" t="s">
        <v>1206</v>
      </c>
      <c r="C379" s="135">
        <v>1834900</v>
      </c>
      <c r="D379" s="136" t="s">
        <v>1205</v>
      </c>
      <c r="E379" s="137">
        <v>42700</v>
      </c>
      <c r="F379" s="137">
        <v>0</v>
      </c>
      <c r="G379" s="137">
        <v>42700</v>
      </c>
      <c r="H379" s="137">
        <v>0</v>
      </c>
      <c r="I379" s="135"/>
      <c r="J379" s="138">
        <v>0</v>
      </c>
      <c r="K379" s="133"/>
      <c r="L379" s="133">
        <v>700</v>
      </c>
      <c r="M379" s="139">
        <v>46050</v>
      </c>
      <c r="N379" s="140" t="s">
        <v>950</v>
      </c>
      <c r="O379" s="134" t="s">
        <v>1207</v>
      </c>
    </row>
    <row r="380" spans="1:15" x14ac:dyDescent="0.25">
      <c r="A380" s="133">
        <v>380</v>
      </c>
      <c r="B380" s="134" t="s">
        <v>1206</v>
      </c>
      <c r="C380" s="135">
        <v>1834900</v>
      </c>
      <c r="D380" s="136" t="s">
        <v>1205</v>
      </c>
      <c r="E380" s="137">
        <v>255100</v>
      </c>
      <c r="F380" s="137">
        <v>0</v>
      </c>
      <c r="G380" s="137">
        <v>255100</v>
      </c>
      <c r="H380" s="137">
        <v>0</v>
      </c>
      <c r="I380" s="135"/>
      <c r="J380" s="138">
        <v>0</v>
      </c>
      <c r="K380" s="133"/>
      <c r="L380" s="133">
        <v>700</v>
      </c>
      <c r="M380" s="139">
        <v>46050</v>
      </c>
      <c r="N380" s="140" t="s">
        <v>950</v>
      </c>
      <c r="O380" s="134" t="s">
        <v>1207</v>
      </c>
    </row>
    <row r="381" spans="1:15" x14ac:dyDescent="0.25">
      <c r="A381" s="133">
        <v>381</v>
      </c>
      <c r="B381" s="134" t="s">
        <v>1206</v>
      </c>
      <c r="C381" s="135">
        <v>1834900</v>
      </c>
      <c r="D381" s="136" t="s">
        <v>1205</v>
      </c>
      <c r="E381" s="137">
        <v>255100</v>
      </c>
      <c r="F381" s="137">
        <v>0</v>
      </c>
      <c r="G381" s="137">
        <v>255100</v>
      </c>
      <c r="H381" s="137">
        <v>0</v>
      </c>
      <c r="I381" s="135"/>
      <c r="J381" s="138">
        <v>0</v>
      </c>
      <c r="K381" s="133"/>
      <c r="L381" s="133">
        <v>700</v>
      </c>
      <c r="M381" s="139">
        <v>46050</v>
      </c>
      <c r="N381" s="140" t="s">
        <v>950</v>
      </c>
      <c r="O381" s="134" t="s">
        <v>1207</v>
      </c>
    </row>
    <row r="382" spans="1:15" x14ac:dyDescent="0.25">
      <c r="A382" s="133">
        <v>382</v>
      </c>
      <c r="B382" s="134" t="s">
        <v>1206</v>
      </c>
      <c r="C382" s="135">
        <v>1834900</v>
      </c>
      <c r="D382" s="136" t="s">
        <v>1205</v>
      </c>
      <c r="E382" s="137">
        <v>50700</v>
      </c>
      <c r="F382" s="137">
        <v>0</v>
      </c>
      <c r="G382" s="137">
        <v>50700</v>
      </c>
      <c r="H382" s="137">
        <v>0</v>
      </c>
      <c r="I382" s="135"/>
      <c r="J382" s="138">
        <v>0</v>
      </c>
      <c r="K382" s="133"/>
      <c r="L382" s="133">
        <v>700</v>
      </c>
      <c r="M382" s="139">
        <v>46050</v>
      </c>
      <c r="N382" s="140" t="s">
        <v>950</v>
      </c>
      <c r="O382" s="134" t="s">
        <v>1207</v>
      </c>
    </row>
    <row r="383" spans="1:15" x14ac:dyDescent="0.25">
      <c r="A383" s="133">
        <v>383</v>
      </c>
      <c r="B383" s="134" t="s">
        <v>1206</v>
      </c>
      <c r="C383" s="135">
        <v>1834900</v>
      </c>
      <c r="D383" s="136" t="s">
        <v>1205</v>
      </c>
      <c r="E383" s="137">
        <v>1200</v>
      </c>
      <c r="F383" s="137">
        <v>0</v>
      </c>
      <c r="G383" s="137">
        <v>1200</v>
      </c>
      <c r="H383" s="137">
        <v>0</v>
      </c>
      <c r="I383" s="135"/>
      <c r="J383" s="138">
        <v>0</v>
      </c>
      <c r="K383" s="133"/>
      <c r="L383" s="133">
        <v>700</v>
      </c>
      <c r="M383" s="139">
        <v>46050</v>
      </c>
      <c r="N383" s="140" t="s">
        <v>950</v>
      </c>
      <c r="O383" s="134" t="s">
        <v>1208</v>
      </c>
    </row>
    <row r="384" spans="1:15" x14ac:dyDescent="0.25">
      <c r="A384" s="133">
        <v>384</v>
      </c>
      <c r="B384" s="134" t="s">
        <v>1206</v>
      </c>
      <c r="C384" s="135">
        <v>1834900</v>
      </c>
      <c r="D384" s="136" t="s">
        <v>1205</v>
      </c>
      <c r="E384" s="137">
        <v>93400</v>
      </c>
      <c r="F384" s="137">
        <v>0</v>
      </c>
      <c r="G384" s="137">
        <v>93400</v>
      </c>
      <c r="H384" s="137">
        <v>0</v>
      </c>
      <c r="I384" s="135"/>
      <c r="J384" s="138">
        <v>0</v>
      </c>
      <c r="K384" s="133"/>
      <c r="L384" s="133">
        <v>700</v>
      </c>
      <c r="M384" s="139">
        <v>46050</v>
      </c>
      <c r="N384" s="140" t="s">
        <v>950</v>
      </c>
      <c r="O384" s="134" t="s">
        <v>1209</v>
      </c>
    </row>
    <row r="385" spans="1:15" x14ac:dyDescent="0.25">
      <c r="A385" s="133">
        <v>385</v>
      </c>
      <c r="B385" s="134" t="s">
        <v>1206</v>
      </c>
      <c r="C385" s="135">
        <v>1834900</v>
      </c>
      <c r="D385" s="136" t="s">
        <v>1205</v>
      </c>
      <c r="E385" s="137">
        <v>170800</v>
      </c>
      <c r="F385" s="137">
        <v>0</v>
      </c>
      <c r="G385" s="137">
        <v>170800</v>
      </c>
      <c r="H385" s="137">
        <v>0</v>
      </c>
      <c r="I385" s="135"/>
      <c r="J385" s="138">
        <v>0</v>
      </c>
      <c r="K385" s="133"/>
      <c r="L385" s="133">
        <v>700</v>
      </c>
      <c r="M385" s="139">
        <v>46050</v>
      </c>
      <c r="N385" s="140" t="s">
        <v>950</v>
      </c>
      <c r="O385" s="134" t="s">
        <v>1209</v>
      </c>
    </row>
    <row r="386" spans="1:15" x14ac:dyDescent="0.25">
      <c r="A386" s="133">
        <v>386</v>
      </c>
      <c r="B386" s="134" t="s">
        <v>1210</v>
      </c>
      <c r="C386" s="135">
        <v>72488760</v>
      </c>
      <c r="D386" s="136" t="s">
        <v>1205</v>
      </c>
      <c r="E386" s="137">
        <v>1209200</v>
      </c>
      <c r="F386" s="137">
        <v>0</v>
      </c>
      <c r="G386" s="137">
        <v>1209200</v>
      </c>
      <c r="H386" s="137">
        <v>0</v>
      </c>
      <c r="I386" s="135"/>
      <c r="J386" s="138">
        <v>0</v>
      </c>
      <c r="K386" s="133"/>
      <c r="L386" s="133">
        <v>700</v>
      </c>
      <c r="M386" s="139">
        <v>46050</v>
      </c>
      <c r="N386" s="140" t="s">
        <v>950</v>
      </c>
      <c r="O386" s="134" t="s">
        <v>241</v>
      </c>
    </row>
    <row r="387" spans="1:15" x14ac:dyDescent="0.25">
      <c r="A387" s="133">
        <v>387</v>
      </c>
      <c r="B387" s="134" t="s">
        <v>1210</v>
      </c>
      <c r="C387" s="135">
        <v>72488760</v>
      </c>
      <c r="D387" s="136" t="s">
        <v>1205</v>
      </c>
      <c r="E387" s="137">
        <v>1280400</v>
      </c>
      <c r="F387" s="137">
        <v>0</v>
      </c>
      <c r="G387" s="137">
        <v>1280400</v>
      </c>
      <c r="H387" s="137">
        <v>0</v>
      </c>
      <c r="I387" s="135"/>
      <c r="J387" s="138">
        <v>0</v>
      </c>
      <c r="K387" s="133"/>
      <c r="L387" s="133">
        <v>700</v>
      </c>
      <c r="M387" s="139">
        <v>46050</v>
      </c>
      <c r="N387" s="140" t="s">
        <v>950</v>
      </c>
      <c r="O387" s="134" t="s">
        <v>241</v>
      </c>
    </row>
    <row r="388" spans="1:15" x14ac:dyDescent="0.25">
      <c r="A388" s="133">
        <v>388</v>
      </c>
      <c r="B388" s="134" t="s">
        <v>1210</v>
      </c>
      <c r="C388" s="135">
        <v>72488760</v>
      </c>
      <c r="D388" s="136" t="s">
        <v>1205</v>
      </c>
      <c r="E388" s="137">
        <v>10350</v>
      </c>
      <c r="F388" s="137">
        <v>0</v>
      </c>
      <c r="G388" s="137">
        <v>10350</v>
      </c>
      <c r="H388" s="137">
        <v>0</v>
      </c>
      <c r="I388" s="135"/>
      <c r="J388" s="138">
        <v>0</v>
      </c>
      <c r="K388" s="133"/>
      <c r="L388" s="133">
        <v>700</v>
      </c>
      <c r="M388" s="139">
        <v>46050</v>
      </c>
      <c r="N388" s="140" t="s">
        <v>950</v>
      </c>
      <c r="O388" s="134" t="s">
        <v>309</v>
      </c>
    </row>
    <row r="389" spans="1:15" x14ac:dyDescent="0.25">
      <c r="A389" s="133">
        <v>389</v>
      </c>
      <c r="B389" s="134" t="s">
        <v>1210</v>
      </c>
      <c r="C389" s="135">
        <v>72488760</v>
      </c>
      <c r="D389" s="136" t="s">
        <v>1205</v>
      </c>
      <c r="E389" s="137">
        <v>5175</v>
      </c>
      <c r="F389" s="137">
        <v>0</v>
      </c>
      <c r="G389" s="137">
        <v>5175</v>
      </c>
      <c r="H389" s="137">
        <v>0</v>
      </c>
      <c r="I389" s="135"/>
      <c r="J389" s="138">
        <v>0</v>
      </c>
      <c r="K389" s="133"/>
      <c r="L389" s="133">
        <v>700</v>
      </c>
      <c r="M389" s="139">
        <v>46050</v>
      </c>
      <c r="N389" s="140" t="s">
        <v>950</v>
      </c>
      <c r="O389" s="134" t="s">
        <v>309</v>
      </c>
    </row>
    <row r="390" spans="1:15" x14ac:dyDescent="0.25">
      <c r="A390" s="133">
        <v>390</v>
      </c>
      <c r="B390" s="134" t="s">
        <v>1210</v>
      </c>
      <c r="C390" s="135">
        <v>72488760</v>
      </c>
      <c r="D390" s="136" t="s">
        <v>1205</v>
      </c>
      <c r="E390" s="137">
        <v>10350</v>
      </c>
      <c r="F390" s="137">
        <v>0</v>
      </c>
      <c r="G390" s="137">
        <v>10350</v>
      </c>
      <c r="H390" s="137">
        <v>0</v>
      </c>
      <c r="I390" s="135"/>
      <c r="J390" s="138">
        <v>0</v>
      </c>
      <c r="K390" s="133"/>
      <c r="L390" s="133">
        <v>700</v>
      </c>
      <c r="M390" s="139">
        <v>46050</v>
      </c>
      <c r="N390" s="140" t="s">
        <v>950</v>
      </c>
      <c r="O390" s="134" t="s">
        <v>309</v>
      </c>
    </row>
    <row r="391" spans="1:15" x14ac:dyDescent="0.25">
      <c r="A391" s="133">
        <v>391</v>
      </c>
      <c r="B391" s="134" t="s">
        <v>1210</v>
      </c>
      <c r="C391" s="135">
        <v>72488760</v>
      </c>
      <c r="D391" s="136" t="s">
        <v>1205</v>
      </c>
      <c r="E391" s="137">
        <v>5175</v>
      </c>
      <c r="F391" s="137">
        <v>0</v>
      </c>
      <c r="G391" s="137">
        <v>5175</v>
      </c>
      <c r="H391" s="137">
        <v>0</v>
      </c>
      <c r="I391" s="135"/>
      <c r="J391" s="138">
        <v>0</v>
      </c>
      <c r="K391" s="133"/>
      <c r="L391" s="133">
        <v>700</v>
      </c>
      <c r="M391" s="139">
        <v>46050</v>
      </c>
      <c r="N391" s="140" t="s">
        <v>950</v>
      </c>
      <c r="O391" s="134" t="s">
        <v>309</v>
      </c>
    </row>
    <row r="392" spans="1:15" x14ac:dyDescent="0.25">
      <c r="A392" s="133">
        <v>392</v>
      </c>
      <c r="B392" s="134" t="s">
        <v>1210</v>
      </c>
      <c r="C392" s="135">
        <v>72488760</v>
      </c>
      <c r="D392" s="136" t="s">
        <v>1205</v>
      </c>
      <c r="E392" s="137">
        <v>10350</v>
      </c>
      <c r="F392" s="137">
        <v>0</v>
      </c>
      <c r="G392" s="137">
        <v>10350</v>
      </c>
      <c r="H392" s="137">
        <v>0</v>
      </c>
      <c r="I392" s="135"/>
      <c r="J392" s="138">
        <v>0</v>
      </c>
      <c r="K392" s="133"/>
      <c r="L392" s="133">
        <v>700</v>
      </c>
      <c r="M392" s="139">
        <v>46050</v>
      </c>
      <c r="N392" s="140" t="s">
        <v>950</v>
      </c>
      <c r="O392" s="134" t="s">
        <v>309</v>
      </c>
    </row>
    <row r="393" spans="1:15" x14ac:dyDescent="0.25">
      <c r="A393" s="133">
        <v>393</v>
      </c>
      <c r="B393" s="134" t="s">
        <v>1210</v>
      </c>
      <c r="C393" s="135">
        <v>72488760</v>
      </c>
      <c r="D393" s="136" t="s">
        <v>1205</v>
      </c>
      <c r="E393" s="137">
        <v>10350</v>
      </c>
      <c r="F393" s="137">
        <v>0</v>
      </c>
      <c r="G393" s="137">
        <v>10350</v>
      </c>
      <c r="H393" s="137">
        <v>0</v>
      </c>
      <c r="I393" s="135"/>
      <c r="J393" s="138">
        <v>0</v>
      </c>
      <c r="K393" s="133"/>
      <c r="L393" s="133">
        <v>700</v>
      </c>
      <c r="M393" s="139">
        <v>46050</v>
      </c>
      <c r="N393" s="140" t="s">
        <v>950</v>
      </c>
      <c r="O393" s="134" t="s">
        <v>309</v>
      </c>
    </row>
    <row r="394" spans="1:15" x14ac:dyDescent="0.25">
      <c r="A394" s="133">
        <v>394</v>
      </c>
      <c r="B394" s="134" t="s">
        <v>1210</v>
      </c>
      <c r="C394" s="135">
        <v>72488760</v>
      </c>
      <c r="D394" s="136" t="s">
        <v>1205</v>
      </c>
      <c r="E394" s="137">
        <v>25875</v>
      </c>
      <c r="F394" s="137">
        <v>0</v>
      </c>
      <c r="G394" s="137">
        <v>25875</v>
      </c>
      <c r="H394" s="137">
        <v>0</v>
      </c>
      <c r="I394" s="135"/>
      <c r="J394" s="138">
        <v>0</v>
      </c>
      <c r="K394" s="133"/>
      <c r="L394" s="133">
        <v>700</v>
      </c>
      <c r="M394" s="139">
        <v>46050</v>
      </c>
      <c r="N394" s="140" t="s">
        <v>950</v>
      </c>
      <c r="O394" s="134" t="s">
        <v>309</v>
      </c>
    </row>
    <row r="395" spans="1:15" x14ac:dyDescent="0.25">
      <c r="A395" s="133">
        <v>395</v>
      </c>
      <c r="B395" s="134" t="s">
        <v>1210</v>
      </c>
      <c r="C395" s="135">
        <v>72488760</v>
      </c>
      <c r="D395" s="136" t="s">
        <v>1205</v>
      </c>
      <c r="E395" s="137">
        <v>10350</v>
      </c>
      <c r="F395" s="137">
        <v>0</v>
      </c>
      <c r="G395" s="137">
        <v>10350</v>
      </c>
      <c r="H395" s="137">
        <v>0</v>
      </c>
      <c r="I395" s="135"/>
      <c r="J395" s="138">
        <v>0</v>
      </c>
      <c r="K395" s="133"/>
      <c r="L395" s="133">
        <v>700</v>
      </c>
      <c r="M395" s="139">
        <v>46050</v>
      </c>
      <c r="N395" s="140" t="s">
        <v>950</v>
      </c>
      <c r="O395" s="134" t="s">
        <v>309</v>
      </c>
    </row>
    <row r="396" spans="1:15" x14ac:dyDescent="0.25">
      <c r="A396" s="133">
        <v>396</v>
      </c>
      <c r="B396" s="134" t="s">
        <v>1210</v>
      </c>
      <c r="C396" s="135">
        <v>72488760</v>
      </c>
      <c r="D396" s="136" t="s">
        <v>1205</v>
      </c>
      <c r="E396" s="137">
        <v>10350</v>
      </c>
      <c r="F396" s="137">
        <v>0</v>
      </c>
      <c r="G396" s="137">
        <v>10350</v>
      </c>
      <c r="H396" s="137">
        <v>0</v>
      </c>
      <c r="I396" s="135"/>
      <c r="J396" s="138">
        <v>0</v>
      </c>
      <c r="K396" s="133"/>
      <c r="L396" s="133">
        <v>700</v>
      </c>
      <c r="M396" s="139">
        <v>46050</v>
      </c>
      <c r="N396" s="140" t="s">
        <v>950</v>
      </c>
      <c r="O396" s="134" t="s">
        <v>309</v>
      </c>
    </row>
    <row r="397" spans="1:15" x14ac:dyDescent="0.25">
      <c r="A397" s="133">
        <v>397</v>
      </c>
      <c r="B397" s="134" t="s">
        <v>1210</v>
      </c>
      <c r="C397" s="135">
        <v>72488760</v>
      </c>
      <c r="D397" s="136" t="s">
        <v>1205</v>
      </c>
      <c r="E397" s="137">
        <v>5175</v>
      </c>
      <c r="F397" s="137">
        <v>0</v>
      </c>
      <c r="G397" s="137">
        <v>5175</v>
      </c>
      <c r="H397" s="137">
        <v>0</v>
      </c>
      <c r="I397" s="135"/>
      <c r="J397" s="138">
        <v>0</v>
      </c>
      <c r="K397" s="133"/>
      <c r="L397" s="133">
        <v>700</v>
      </c>
      <c r="M397" s="139">
        <v>46050</v>
      </c>
      <c r="N397" s="140" t="s">
        <v>950</v>
      </c>
      <c r="O397" s="134" t="s">
        <v>309</v>
      </c>
    </row>
    <row r="398" spans="1:15" x14ac:dyDescent="0.25">
      <c r="A398" s="133">
        <v>398</v>
      </c>
      <c r="B398" s="134" t="s">
        <v>1211</v>
      </c>
      <c r="C398" s="135">
        <v>5316907</v>
      </c>
      <c r="D398" s="136" t="s">
        <v>1205</v>
      </c>
      <c r="E398" s="137">
        <v>10000</v>
      </c>
      <c r="F398" s="137">
        <v>0</v>
      </c>
      <c r="G398" s="137">
        <v>10000</v>
      </c>
      <c r="H398" s="137">
        <v>0</v>
      </c>
      <c r="I398" s="135"/>
      <c r="J398" s="138">
        <v>0</v>
      </c>
      <c r="K398" s="133"/>
      <c r="L398" s="133">
        <v>700</v>
      </c>
      <c r="M398" s="139">
        <v>46050</v>
      </c>
      <c r="N398" s="140" t="s">
        <v>950</v>
      </c>
      <c r="O398" s="134" t="s">
        <v>212</v>
      </c>
    </row>
    <row r="399" spans="1:15" x14ac:dyDescent="0.25">
      <c r="A399" s="133">
        <v>399</v>
      </c>
      <c r="B399" s="134" t="s">
        <v>1211</v>
      </c>
      <c r="C399" s="135">
        <v>5316907</v>
      </c>
      <c r="D399" s="136" t="s">
        <v>1205</v>
      </c>
      <c r="E399" s="137">
        <v>1600</v>
      </c>
      <c r="F399" s="137">
        <v>0</v>
      </c>
      <c r="G399" s="137">
        <v>1600</v>
      </c>
      <c r="H399" s="137">
        <v>0</v>
      </c>
      <c r="I399" s="135"/>
      <c r="J399" s="138">
        <v>0</v>
      </c>
      <c r="K399" s="133"/>
      <c r="L399" s="133">
        <v>700</v>
      </c>
      <c r="M399" s="139">
        <v>46050</v>
      </c>
      <c r="N399" s="140" t="s">
        <v>950</v>
      </c>
      <c r="O399" s="134" t="s">
        <v>212</v>
      </c>
    </row>
    <row r="400" spans="1:15" x14ac:dyDescent="0.25">
      <c r="A400" s="133">
        <v>400</v>
      </c>
      <c r="B400" s="134" t="s">
        <v>1211</v>
      </c>
      <c r="C400" s="135">
        <v>5316907</v>
      </c>
      <c r="D400" s="136" t="s">
        <v>1205</v>
      </c>
      <c r="E400" s="137">
        <v>1600</v>
      </c>
      <c r="F400" s="137">
        <v>0</v>
      </c>
      <c r="G400" s="137">
        <v>1600</v>
      </c>
      <c r="H400" s="137">
        <v>0</v>
      </c>
      <c r="I400" s="135"/>
      <c r="J400" s="138">
        <v>0</v>
      </c>
      <c r="K400" s="133"/>
      <c r="L400" s="133">
        <v>700</v>
      </c>
      <c r="M400" s="139">
        <v>46050</v>
      </c>
      <c r="N400" s="140" t="s">
        <v>950</v>
      </c>
      <c r="O400" s="134" t="s">
        <v>212</v>
      </c>
    </row>
    <row r="401" spans="1:15" x14ac:dyDescent="0.25">
      <c r="A401" s="133">
        <v>401</v>
      </c>
      <c r="B401" s="134" t="s">
        <v>1211</v>
      </c>
      <c r="C401" s="135">
        <v>5316907</v>
      </c>
      <c r="D401" s="136" t="s">
        <v>1205</v>
      </c>
      <c r="E401" s="137">
        <v>16000</v>
      </c>
      <c r="F401" s="137">
        <v>0</v>
      </c>
      <c r="G401" s="137">
        <v>16000</v>
      </c>
      <c r="H401" s="137">
        <v>0</v>
      </c>
      <c r="I401" s="135"/>
      <c r="J401" s="138">
        <v>0</v>
      </c>
      <c r="K401" s="133"/>
      <c r="L401" s="133">
        <v>700</v>
      </c>
      <c r="M401" s="139">
        <v>46050</v>
      </c>
      <c r="N401" s="140" t="s">
        <v>950</v>
      </c>
      <c r="O401" s="134" t="s">
        <v>212</v>
      </c>
    </row>
    <row r="402" spans="1:15" x14ac:dyDescent="0.25">
      <c r="A402" s="133">
        <v>402</v>
      </c>
      <c r="B402" s="134" t="s">
        <v>1211</v>
      </c>
      <c r="C402" s="135">
        <v>5316907</v>
      </c>
      <c r="D402" s="136" t="s">
        <v>1205</v>
      </c>
      <c r="E402" s="137">
        <v>136400</v>
      </c>
      <c r="F402" s="137">
        <v>0</v>
      </c>
      <c r="G402" s="137">
        <v>136400</v>
      </c>
      <c r="H402" s="137">
        <v>0</v>
      </c>
      <c r="I402" s="135"/>
      <c r="J402" s="138">
        <v>0</v>
      </c>
      <c r="K402" s="133"/>
      <c r="L402" s="133">
        <v>700</v>
      </c>
      <c r="M402" s="139">
        <v>46050</v>
      </c>
      <c r="N402" s="140" t="s">
        <v>950</v>
      </c>
      <c r="O402" s="134" t="s">
        <v>212</v>
      </c>
    </row>
    <row r="403" spans="1:15" x14ac:dyDescent="0.25">
      <c r="A403" s="133">
        <v>403</v>
      </c>
      <c r="B403" s="134" t="s">
        <v>1211</v>
      </c>
      <c r="C403" s="135">
        <v>5316907</v>
      </c>
      <c r="D403" s="136" t="s">
        <v>1205</v>
      </c>
      <c r="E403" s="137">
        <v>17100</v>
      </c>
      <c r="F403" s="137">
        <v>0</v>
      </c>
      <c r="G403" s="137">
        <v>17100</v>
      </c>
      <c r="H403" s="137">
        <v>0</v>
      </c>
      <c r="I403" s="135"/>
      <c r="J403" s="138">
        <v>0</v>
      </c>
      <c r="K403" s="133"/>
      <c r="L403" s="133">
        <v>700</v>
      </c>
      <c r="M403" s="139">
        <v>46050</v>
      </c>
      <c r="N403" s="140" t="s">
        <v>950</v>
      </c>
      <c r="O403" s="134" t="s">
        <v>212</v>
      </c>
    </row>
    <row r="404" spans="1:15" x14ac:dyDescent="0.25">
      <c r="A404" s="133">
        <v>404</v>
      </c>
      <c r="B404" s="134" t="s">
        <v>1211</v>
      </c>
      <c r="C404" s="135">
        <v>5316907</v>
      </c>
      <c r="D404" s="136" t="s">
        <v>1205</v>
      </c>
      <c r="E404" s="137">
        <v>6900</v>
      </c>
      <c r="F404" s="137">
        <v>0</v>
      </c>
      <c r="G404" s="137">
        <v>6900</v>
      </c>
      <c r="H404" s="137">
        <v>0</v>
      </c>
      <c r="I404" s="135"/>
      <c r="J404" s="138">
        <v>0</v>
      </c>
      <c r="K404" s="133"/>
      <c r="L404" s="133">
        <v>700</v>
      </c>
      <c r="M404" s="139">
        <v>46050</v>
      </c>
      <c r="N404" s="140" t="s">
        <v>950</v>
      </c>
      <c r="O404" s="134" t="s">
        <v>212</v>
      </c>
    </row>
    <row r="405" spans="1:15" x14ac:dyDescent="0.25">
      <c r="A405" s="133">
        <v>405</v>
      </c>
      <c r="B405" s="134" t="s">
        <v>1211</v>
      </c>
      <c r="C405" s="135">
        <v>5316907</v>
      </c>
      <c r="D405" s="136" t="s">
        <v>1205</v>
      </c>
      <c r="E405" s="137">
        <v>13900</v>
      </c>
      <c r="F405" s="137">
        <v>0</v>
      </c>
      <c r="G405" s="137">
        <v>13900</v>
      </c>
      <c r="H405" s="137">
        <v>0</v>
      </c>
      <c r="I405" s="135"/>
      <c r="J405" s="138">
        <v>0</v>
      </c>
      <c r="K405" s="133"/>
      <c r="L405" s="133">
        <v>700</v>
      </c>
      <c r="M405" s="139">
        <v>46050</v>
      </c>
      <c r="N405" s="140" t="s">
        <v>950</v>
      </c>
      <c r="O405" s="134" t="s">
        <v>212</v>
      </c>
    </row>
    <row r="406" spans="1:15" x14ac:dyDescent="0.25">
      <c r="A406" s="133">
        <v>406</v>
      </c>
      <c r="B406" s="134" t="s">
        <v>1211</v>
      </c>
      <c r="C406" s="135">
        <v>5316907</v>
      </c>
      <c r="D406" s="136" t="s">
        <v>1205</v>
      </c>
      <c r="E406" s="137">
        <v>7300</v>
      </c>
      <c r="F406" s="137">
        <v>0</v>
      </c>
      <c r="G406" s="137">
        <v>7300</v>
      </c>
      <c r="H406" s="137">
        <v>0</v>
      </c>
      <c r="I406" s="135"/>
      <c r="J406" s="138">
        <v>0</v>
      </c>
      <c r="K406" s="133"/>
      <c r="L406" s="133">
        <v>700</v>
      </c>
      <c r="M406" s="139">
        <v>46050</v>
      </c>
      <c r="N406" s="140" t="s">
        <v>950</v>
      </c>
      <c r="O406" s="134" t="s">
        <v>212</v>
      </c>
    </row>
    <row r="407" spans="1:15" x14ac:dyDescent="0.25">
      <c r="A407" s="133">
        <v>407</v>
      </c>
      <c r="B407" s="134" t="s">
        <v>1211</v>
      </c>
      <c r="C407" s="135">
        <v>5316907</v>
      </c>
      <c r="D407" s="136" t="s">
        <v>1205</v>
      </c>
      <c r="E407" s="137">
        <v>25000</v>
      </c>
      <c r="F407" s="137">
        <v>0</v>
      </c>
      <c r="G407" s="137">
        <v>25000</v>
      </c>
      <c r="H407" s="137">
        <v>0</v>
      </c>
      <c r="I407" s="135"/>
      <c r="J407" s="138">
        <v>0</v>
      </c>
      <c r="K407" s="133"/>
      <c r="L407" s="133">
        <v>700</v>
      </c>
      <c r="M407" s="139">
        <v>46050</v>
      </c>
      <c r="N407" s="140" t="s">
        <v>950</v>
      </c>
      <c r="O407" s="134" t="s">
        <v>212</v>
      </c>
    </row>
    <row r="408" spans="1:15" x14ac:dyDescent="0.25">
      <c r="A408" s="133">
        <v>408</v>
      </c>
      <c r="B408" s="134" t="s">
        <v>1212</v>
      </c>
      <c r="C408" s="135">
        <v>390000</v>
      </c>
      <c r="D408" s="136" t="s">
        <v>968</v>
      </c>
      <c r="E408" s="137">
        <v>120900</v>
      </c>
      <c r="F408" s="137" t="s">
        <v>1213</v>
      </c>
      <c r="G408" s="137">
        <v>120900</v>
      </c>
      <c r="H408" s="137" t="s">
        <v>1214</v>
      </c>
      <c r="I408" s="135"/>
      <c r="J408" s="138">
        <v>0</v>
      </c>
      <c r="K408" s="133"/>
      <c r="L408" s="133">
        <v>695</v>
      </c>
      <c r="M408" s="139">
        <v>45954</v>
      </c>
      <c r="N408" s="140" t="s">
        <v>1029</v>
      </c>
      <c r="O408" s="134">
        <v>308</v>
      </c>
    </row>
    <row r="409" spans="1:15" x14ac:dyDescent="0.25">
      <c r="A409" s="133">
        <v>409</v>
      </c>
      <c r="B409" s="134" t="s">
        <v>1215</v>
      </c>
      <c r="C409" s="135">
        <v>274070</v>
      </c>
      <c r="D409" s="136" t="s">
        <v>968</v>
      </c>
      <c r="E409" s="137">
        <v>21650</v>
      </c>
      <c r="F409" s="137">
        <v>11100</v>
      </c>
      <c r="G409" s="137">
        <v>10550</v>
      </c>
      <c r="H409" s="137" t="s">
        <v>1214</v>
      </c>
      <c r="I409" s="135"/>
      <c r="J409" s="138">
        <v>0</v>
      </c>
      <c r="K409" s="133"/>
      <c r="L409" s="133">
        <v>695</v>
      </c>
      <c r="M409" s="139">
        <v>45954</v>
      </c>
      <c r="N409" s="140" t="s">
        <v>1216</v>
      </c>
      <c r="O409" s="134">
        <v>307</v>
      </c>
    </row>
    <row r="410" spans="1:15" x14ac:dyDescent="0.25">
      <c r="A410" s="133">
        <v>410</v>
      </c>
      <c r="B410" s="134" t="s">
        <v>1217</v>
      </c>
      <c r="C410" s="135">
        <v>1226920</v>
      </c>
      <c r="D410" s="136" t="s">
        <v>968</v>
      </c>
      <c r="E410" s="137">
        <v>67220</v>
      </c>
      <c r="F410" s="137">
        <v>67220</v>
      </c>
      <c r="G410" s="137" t="s">
        <v>1218</v>
      </c>
      <c r="H410" s="137" t="s">
        <v>1214</v>
      </c>
      <c r="I410" s="135"/>
      <c r="J410" s="138">
        <v>0</v>
      </c>
      <c r="K410" s="133"/>
      <c r="L410" s="133">
        <v>695</v>
      </c>
      <c r="M410" s="139">
        <v>45954</v>
      </c>
      <c r="N410" s="140" t="s">
        <v>1219</v>
      </c>
      <c r="O410" s="134">
        <v>108</v>
      </c>
    </row>
    <row r="411" spans="1:15" x14ac:dyDescent="0.25">
      <c r="A411" s="133">
        <v>411</v>
      </c>
      <c r="B411" s="134" t="s">
        <v>1220</v>
      </c>
      <c r="C411" s="135">
        <v>864500</v>
      </c>
      <c r="D411" s="136" t="s">
        <v>968</v>
      </c>
      <c r="E411" s="137">
        <v>372000</v>
      </c>
      <c r="F411" s="137" t="s">
        <v>1213</v>
      </c>
      <c r="G411" s="137">
        <v>372000</v>
      </c>
      <c r="H411" s="137" t="s">
        <v>1214</v>
      </c>
      <c r="I411" s="135"/>
      <c r="J411" s="138">
        <v>0</v>
      </c>
      <c r="K411" s="133"/>
      <c r="L411" s="133">
        <v>695</v>
      </c>
      <c r="M411" s="139">
        <v>45954</v>
      </c>
      <c r="N411" s="140" t="s">
        <v>1029</v>
      </c>
      <c r="O411" s="134">
        <v>308</v>
      </c>
    </row>
    <row r="412" spans="1:15" x14ac:dyDescent="0.25">
      <c r="A412" s="133">
        <v>412</v>
      </c>
      <c r="B412" s="134" t="s">
        <v>1221</v>
      </c>
      <c r="C412" s="135">
        <v>1048040</v>
      </c>
      <c r="D412" s="136" t="s">
        <v>968</v>
      </c>
      <c r="E412" s="137">
        <v>21840</v>
      </c>
      <c r="F412" s="137">
        <v>21840</v>
      </c>
      <c r="G412" s="137" t="s">
        <v>1218</v>
      </c>
      <c r="H412" s="137" t="s">
        <v>1214</v>
      </c>
      <c r="I412" s="135"/>
      <c r="J412" s="138">
        <v>0</v>
      </c>
      <c r="K412" s="133"/>
      <c r="L412" s="133">
        <v>695</v>
      </c>
      <c r="M412" s="139">
        <v>45954</v>
      </c>
      <c r="N412" s="140" t="s">
        <v>1222</v>
      </c>
      <c r="O412" s="134">
        <v>102</v>
      </c>
    </row>
    <row r="413" spans="1:15" x14ac:dyDescent="0.25">
      <c r="A413" s="133">
        <v>413</v>
      </c>
      <c r="B413" s="134" t="s">
        <v>1223</v>
      </c>
      <c r="C413" s="135">
        <v>3039290</v>
      </c>
      <c r="D413" s="136" t="s">
        <v>968</v>
      </c>
      <c r="E413" s="137">
        <v>20220</v>
      </c>
      <c r="F413" s="137">
        <v>20220</v>
      </c>
      <c r="G413" s="137" t="s">
        <v>1218</v>
      </c>
      <c r="H413" s="137" t="s">
        <v>1214</v>
      </c>
      <c r="I413" s="135"/>
      <c r="J413" s="138">
        <v>0</v>
      </c>
      <c r="K413" s="133"/>
      <c r="L413" s="133">
        <v>695</v>
      </c>
      <c r="M413" s="139">
        <v>45954</v>
      </c>
      <c r="N413" s="140" t="s">
        <v>1224</v>
      </c>
      <c r="O413" s="134">
        <v>102</v>
      </c>
    </row>
    <row r="414" spans="1:15" x14ac:dyDescent="0.25">
      <c r="A414" s="133">
        <v>414</v>
      </c>
      <c r="B414" s="134" t="s">
        <v>1225</v>
      </c>
      <c r="C414" s="135">
        <v>1106600</v>
      </c>
      <c r="D414" s="136" t="s">
        <v>968</v>
      </c>
      <c r="E414" s="137">
        <v>18600</v>
      </c>
      <c r="F414" s="137">
        <v>18600</v>
      </c>
      <c r="G414" s="137" t="s">
        <v>1218</v>
      </c>
      <c r="H414" s="137" t="s">
        <v>1214</v>
      </c>
      <c r="I414" s="135"/>
      <c r="J414" s="138">
        <v>0</v>
      </c>
      <c r="K414" s="133"/>
      <c r="L414" s="133">
        <v>695</v>
      </c>
      <c r="M414" s="139">
        <v>45954</v>
      </c>
      <c r="N414" s="140" t="s">
        <v>1226</v>
      </c>
      <c r="O414" s="134">
        <v>102</v>
      </c>
    </row>
    <row r="415" spans="1:15" x14ac:dyDescent="0.25">
      <c r="A415" s="133">
        <v>415</v>
      </c>
      <c r="B415" s="134" t="s">
        <v>1227</v>
      </c>
      <c r="C415" s="135">
        <v>650040</v>
      </c>
      <c r="D415" s="136" t="s">
        <v>968</v>
      </c>
      <c r="E415" s="137">
        <v>590400</v>
      </c>
      <c r="F415" s="137" t="s">
        <v>1213</v>
      </c>
      <c r="G415" s="137">
        <v>590400</v>
      </c>
      <c r="H415" s="137" t="s">
        <v>1214</v>
      </c>
      <c r="I415" s="135"/>
      <c r="J415" s="138">
        <v>0</v>
      </c>
      <c r="K415" s="133"/>
      <c r="L415" s="133">
        <v>695</v>
      </c>
      <c r="M415" s="139">
        <v>45954</v>
      </c>
      <c r="N415" s="140" t="s">
        <v>1029</v>
      </c>
      <c r="O415" s="134">
        <v>308</v>
      </c>
    </row>
    <row r="416" spans="1:15" x14ac:dyDescent="0.25">
      <c r="A416" s="133">
        <v>416</v>
      </c>
      <c r="B416" s="134" t="s">
        <v>1228</v>
      </c>
      <c r="C416" s="135">
        <v>1907130</v>
      </c>
      <c r="D416" s="136" t="s">
        <v>968</v>
      </c>
      <c r="E416" s="137">
        <v>23460</v>
      </c>
      <c r="F416" s="137">
        <v>23460</v>
      </c>
      <c r="G416" s="137" t="s">
        <v>1218</v>
      </c>
      <c r="H416" s="137" t="s">
        <v>1214</v>
      </c>
      <c r="I416" s="135"/>
      <c r="J416" s="138">
        <v>0</v>
      </c>
      <c r="K416" s="133"/>
      <c r="L416" s="133">
        <v>695</v>
      </c>
      <c r="M416" s="139">
        <v>45954</v>
      </c>
      <c r="N416" s="140" t="s">
        <v>1229</v>
      </c>
      <c r="O416" s="134">
        <v>102</v>
      </c>
    </row>
    <row r="417" spans="1:15" x14ac:dyDescent="0.25">
      <c r="A417" s="133">
        <v>417</v>
      </c>
      <c r="B417" s="134" t="s">
        <v>1230</v>
      </c>
      <c r="C417" s="135">
        <v>1671395</v>
      </c>
      <c r="D417" s="136" t="s">
        <v>968</v>
      </c>
      <c r="E417" s="137">
        <v>175360</v>
      </c>
      <c r="F417" s="137">
        <v>175360</v>
      </c>
      <c r="G417" s="137" t="s">
        <v>1218</v>
      </c>
      <c r="H417" s="137" t="s">
        <v>1214</v>
      </c>
      <c r="I417" s="135"/>
      <c r="J417" s="138">
        <v>0</v>
      </c>
      <c r="K417" s="133"/>
      <c r="L417" s="133">
        <v>695</v>
      </c>
      <c r="M417" s="139">
        <v>45954</v>
      </c>
      <c r="N417" s="140" t="s">
        <v>1231</v>
      </c>
      <c r="O417" s="134">
        <v>608</v>
      </c>
    </row>
    <row r="418" spans="1:15" x14ac:dyDescent="0.25">
      <c r="A418" s="133">
        <v>418</v>
      </c>
      <c r="B418" s="134" t="s">
        <v>1232</v>
      </c>
      <c r="C418" s="135">
        <v>225600</v>
      </c>
      <c r="D418" s="136" t="s">
        <v>968</v>
      </c>
      <c r="E418" s="137">
        <v>18600</v>
      </c>
      <c r="F418" s="137">
        <v>18600</v>
      </c>
      <c r="G418" s="137" t="s">
        <v>1218</v>
      </c>
      <c r="H418" s="137" t="s">
        <v>1214</v>
      </c>
      <c r="I418" s="135"/>
      <c r="J418" s="138">
        <v>0</v>
      </c>
      <c r="K418" s="133"/>
      <c r="L418" s="133">
        <v>695</v>
      </c>
      <c r="M418" s="139">
        <v>45954</v>
      </c>
      <c r="N418" s="140" t="s">
        <v>1233</v>
      </c>
      <c r="O418" s="134">
        <v>602</v>
      </c>
    </row>
    <row r="419" spans="1:15" x14ac:dyDescent="0.25">
      <c r="A419" s="133">
        <v>419</v>
      </c>
      <c r="B419" s="134" t="s">
        <v>1234</v>
      </c>
      <c r="C419" s="135">
        <v>2116570</v>
      </c>
      <c r="D419" s="136" t="s">
        <v>968</v>
      </c>
      <c r="E419" s="137">
        <v>21840</v>
      </c>
      <c r="F419" s="137">
        <v>21840</v>
      </c>
      <c r="G419" s="137" t="s">
        <v>1218</v>
      </c>
      <c r="H419" s="137" t="s">
        <v>1214</v>
      </c>
      <c r="I419" s="135"/>
      <c r="J419" s="138">
        <v>0</v>
      </c>
      <c r="K419" s="133"/>
      <c r="L419" s="133">
        <v>695</v>
      </c>
      <c r="M419" s="139">
        <v>45954</v>
      </c>
      <c r="N419" s="140" t="s">
        <v>1235</v>
      </c>
      <c r="O419" s="134">
        <v>102</v>
      </c>
    </row>
    <row r="420" spans="1:15" x14ac:dyDescent="0.25">
      <c r="A420" s="133">
        <v>420</v>
      </c>
      <c r="B420" s="134" t="s">
        <v>1236</v>
      </c>
      <c r="C420" s="135">
        <v>690400</v>
      </c>
      <c r="D420" s="136" t="s">
        <v>968</v>
      </c>
      <c r="E420" s="137">
        <v>247800</v>
      </c>
      <c r="F420" s="137">
        <v>139800</v>
      </c>
      <c r="G420" s="137">
        <v>108000</v>
      </c>
      <c r="H420" s="137" t="s">
        <v>1214</v>
      </c>
      <c r="I420" s="135"/>
      <c r="J420" s="138">
        <v>0</v>
      </c>
      <c r="K420" s="133"/>
      <c r="L420" s="133">
        <v>695</v>
      </c>
      <c r="M420" s="139">
        <v>45954</v>
      </c>
      <c r="N420" s="140" t="s">
        <v>1237</v>
      </c>
      <c r="O420" s="134">
        <v>601</v>
      </c>
    </row>
    <row r="421" spans="1:15" x14ac:dyDescent="0.25">
      <c r="A421" s="133">
        <v>421</v>
      </c>
      <c r="B421" s="134" t="s">
        <v>1238</v>
      </c>
      <c r="C421" s="135">
        <v>190200</v>
      </c>
      <c r="D421" s="136" t="s">
        <v>968</v>
      </c>
      <c r="E421" s="137">
        <v>8100</v>
      </c>
      <c r="F421" s="137">
        <v>8100</v>
      </c>
      <c r="G421" s="137" t="s">
        <v>1218</v>
      </c>
      <c r="H421" s="137" t="s">
        <v>1214</v>
      </c>
      <c r="I421" s="135"/>
      <c r="J421" s="138">
        <v>0</v>
      </c>
      <c r="K421" s="133"/>
      <c r="L421" s="133">
        <v>695</v>
      </c>
      <c r="M421" s="139">
        <v>45954</v>
      </c>
      <c r="N421" s="140" t="s">
        <v>1239</v>
      </c>
      <c r="O421" s="134">
        <v>308</v>
      </c>
    </row>
    <row r="422" spans="1:15" x14ac:dyDescent="0.25">
      <c r="A422" s="133">
        <v>422</v>
      </c>
      <c r="B422" s="134" t="s">
        <v>1240</v>
      </c>
      <c r="C422" s="135">
        <v>1031920</v>
      </c>
      <c r="D422" s="136" t="s">
        <v>968</v>
      </c>
      <c r="E422" s="137">
        <v>18600</v>
      </c>
      <c r="F422" s="137">
        <v>18600</v>
      </c>
      <c r="G422" s="137" t="s">
        <v>1218</v>
      </c>
      <c r="H422" s="137" t="s">
        <v>1214</v>
      </c>
      <c r="I422" s="135"/>
      <c r="J422" s="138">
        <v>0</v>
      </c>
      <c r="K422" s="133"/>
      <c r="L422" s="133">
        <v>695</v>
      </c>
      <c r="M422" s="139">
        <v>45954</v>
      </c>
      <c r="N422" s="140" t="s">
        <v>1241</v>
      </c>
      <c r="O422" s="134">
        <v>102</v>
      </c>
    </row>
    <row r="423" spans="1:15" x14ac:dyDescent="0.25">
      <c r="A423" s="133">
        <v>423</v>
      </c>
      <c r="B423" s="134" t="s">
        <v>1242</v>
      </c>
      <c r="C423" s="135">
        <v>2666990</v>
      </c>
      <c r="D423" s="136" t="s">
        <v>968</v>
      </c>
      <c r="E423" s="137">
        <v>29940</v>
      </c>
      <c r="F423" s="137">
        <v>29940</v>
      </c>
      <c r="G423" s="137" t="s">
        <v>1218</v>
      </c>
      <c r="H423" s="137" t="s">
        <v>1214</v>
      </c>
      <c r="I423" s="135"/>
      <c r="J423" s="138">
        <v>0</v>
      </c>
      <c r="K423" s="133"/>
      <c r="L423" s="133">
        <v>695</v>
      </c>
      <c r="M423" s="139">
        <v>45954</v>
      </c>
      <c r="N423" s="140" t="s">
        <v>1243</v>
      </c>
      <c r="O423" s="134">
        <v>102</v>
      </c>
    </row>
    <row r="424" spans="1:15" x14ac:dyDescent="0.25">
      <c r="A424" s="133">
        <v>424</v>
      </c>
      <c r="B424" s="134" t="s">
        <v>1244</v>
      </c>
      <c r="C424" s="135">
        <v>1122780</v>
      </c>
      <c r="D424" s="136" t="s">
        <v>968</v>
      </c>
      <c r="E424" s="137">
        <v>20220</v>
      </c>
      <c r="F424" s="137">
        <v>20220</v>
      </c>
      <c r="G424" s="137" t="s">
        <v>1218</v>
      </c>
      <c r="H424" s="137" t="s">
        <v>1214</v>
      </c>
      <c r="I424" s="135"/>
      <c r="J424" s="138">
        <v>0</v>
      </c>
      <c r="K424" s="133"/>
      <c r="L424" s="133">
        <v>695</v>
      </c>
      <c r="M424" s="139">
        <v>45954</v>
      </c>
      <c r="N424" s="140" t="s">
        <v>1245</v>
      </c>
      <c r="O424" s="134">
        <v>102</v>
      </c>
    </row>
    <row r="425" spans="1:15" x14ac:dyDescent="0.25">
      <c r="A425" s="133">
        <v>425</v>
      </c>
      <c r="B425" s="134" t="s">
        <v>1246</v>
      </c>
      <c r="C425" s="135">
        <v>4501436</v>
      </c>
      <c r="D425" s="136" t="s">
        <v>968</v>
      </c>
      <c r="E425" s="137">
        <v>17820</v>
      </c>
      <c r="F425" s="137">
        <v>17820</v>
      </c>
      <c r="G425" s="137" t="s">
        <v>1218</v>
      </c>
      <c r="H425" s="137" t="s">
        <v>1214</v>
      </c>
      <c r="I425" s="135"/>
      <c r="J425" s="138">
        <v>0</v>
      </c>
      <c r="K425" s="133"/>
      <c r="L425" s="133">
        <v>695</v>
      </c>
      <c r="M425" s="139">
        <v>45954</v>
      </c>
      <c r="N425" s="140" t="s">
        <v>1247</v>
      </c>
      <c r="O425" s="134">
        <v>106</v>
      </c>
    </row>
    <row r="426" spans="1:15" x14ac:dyDescent="0.25">
      <c r="A426" s="133">
        <v>426</v>
      </c>
      <c r="B426" s="134" t="s">
        <v>1248</v>
      </c>
      <c r="C426" s="135">
        <v>3761850</v>
      </c>
      <c r="D426" s="136" t="s">
        <v>968</v>
      </c>
      <c r="E426" s="137">
        <v>9720</v>
      </c>
      <c r="F426" s="137">
        <v>9720</v>
      </c>
      <c r="G426" s="137" t="s">
        <v>1218</v>
      </c>
      <c r="H426" s="137" t="s">
        <v>1214</v>
      </c>
      <c r="I426" s="135"/>
      <c r="J426" s="138">
        <v>0</v>
      </c>
      <c r="K426" s="133"/>
      <c r="L426" s="133">
        <v>695</v>
      </c>
      <c r="M426" s="139">
        <v>45954</v>
      </c>
      <c r="N426" s="140" t="s">
        <v>1249</v>
      </c>
      <c r="O426" s="134">
        <v>106</v>
      </c>
    </row>
    <row r="427" spans="1:15" x14ac:dyDescent="0.25">
      <c r="A427" s="133">
        <v>427</v>
      </c>
      <c r="B427" s="134" t="s">
        <v>1250</v>
      </c>
      <c r="C427" s="135">
        <v>4981780</v>
      </c>
      <c r="D427" s="136" t="s">
        <v>968</v>
      </c>
      <c r="E427" s="137">
        <v>4981780</v>
      </c>
      <c r="F427" s="137" t="s">
        <v>1213</v>
      </c>
      <c r="G427" s="137" t="s">
        <v>1218</v>
      </c>
      <c r="H427" s="137">
        <v>4981780</v>
      </c>
      <c r="I427" s="135"/>
      <c r="J427" s="138">
        <v>0</v>
      </c>
      <c r="K427" s="133"/>
      <c r="L427" s="133">
        <v>695</v>
      </c>
      <c r="M427" s="139">
        <v>45954</v>
      </c>
      <c r="N427" s="140" t="s">
        <v>1251</v>
      </c>
      <c r="O427" s="134">
        <v>116</v>
      </c>
    </row>
    <row r="428" spans="1:15" x14ac:dyDescent="0.25">
      <c r="A428" s="133">
        <v>428</v>
      </c>
      <c r="B428" s="134" t="s">
        <v>1252</v>
      </c>
      <c r="C428" s="135">
        <v>3650855</v>
      </c>
      <c r="D428" s="136" t="s">
        <v>968</v>
      </c>
      <c r="E428" s="137">
        <v>226060</v>
      </c>
      <c r="F428" s="137">
        <v>138520</v>
      </c>
      <c r="G428" s="137">
        <v>87540</v>
      </c>
      <c r="H428" s="137" t="s">
        <v>1214</v>
      </c>
      <c r="I428" s="135"/>
      <c r="J428" s="138">
        <v>0</v>
      </c>
      <c r="K428" s="133"/>
      <c r="L428" s="133">
        <v>695</v>
      </c>
      <c r="M428" s="139">
        <v>45954</v>
      </c>
      <c r="N428" s="140" t="s">
        <v>1253</v>
      </c>
      <c r="O428" s="134">
        <v>108</v>
      </c>
    </row>
    <row r="429" spans="1:15" x14ac:dyDescent="0.25">
      <c r="A429" s="133">
        <v>429</v>
      </c>
      <c r="B429" s="134" t="s">
        <v>1254</v>
      </c>
      <c r="C429" s="135">
        <v>3086260</v>
      </c>
      <c r="D429" s="136" t="s">
        <v>968</v>
      </c>
      <c r="E429" s="137">
        <v>25080</v>
      </c>
      <c r="F429" s="137">
        <v>25080</v>
      </c>
      <c r="G429" s="137" t="s">
        <v>1218</v>
      </c>
      <c r="H429" s="137" t="s">
        <v>1214</v>
      </c>
      <c r="I429" s="135"/>
      <c r="J429" s="138">
        <v>0</v>
      </c>
      <c r="K429" s="133"/>
      <c r="L429" s="133">
        <v>695</v>
      </c>
      <c r="M429" s="139">
        <v>45954</v>
      </c>
      <c r="N429" s="140" t="s">
        <v>1255</v>
      </c>
      <c r="O429" s="134">
        <v>102</v>
      </c>
    </row>
    <row r="430" spans="1:15" x14ac:dyDescent="0.25">
      <c r="A430" s="133">
        <v>430</v>
      </c>
      <c r="B430" s="134" t="s">
        <v>1256</v>
      </c>
      <c r="C430" s="135">
        <v>469340</v>
      </c>
      <c r="D430" s="136" t="s">
        <v>968</v>
      </c>
      <c r="E430" s="137">
        <v>214200</v>
      </c>
      <c r="F430" s="137">
        <v>120600</v>
      </c>
      <c r="G430" s="137">
        <v>93600</v>
      </c>
      <c r="H430" s="137" t="s">
        <v>1214</v>
      </c>
      <c r="I430" s="135"/>
      <c r="J430" s="138">
        <v>0</v>
      </c>
      <c r="K430" s="133"/>
      <c r="L430" s="133">
        <v>695</v>
      </c>
      <c r="M430" s="139">
        <v>45954</v>
      </c>
      <c r="N430" s="140" t="s">
        <v>1257</v>
      </c>
      <c r="O430" s="134">
        <v>333</v>
      </c>
    </row>
    <row r="431" spans="1:15" x14ac:dyDescent="0.25">
      <c r="A431" s="133">
        <v>431</v>
      </c>
      <c r="B431" s="134" t="s">
        <v>1258</v>
      </c>
      <c r="C431" s="135">
        <v>1067920</v>
      </c>
      <c r="D431" s="136" t="s">
        <v>968</v>
      </c>
      <c r="E431" s="137">
        <v>20220</v>
      </c>
      <c r="F431" s="137">
        <v>20220</v>
      </c>
      <c r="G431" s="137" t="s">
        <v>1218</v>
      </c>
      <c r="H431" s="137" t="s">
        <v>1214</v>
      </c>
      <c r="I431" s="135"/>
      <c r="J431" s="138">
        <v>0</v>
      </c>
      <c r="K431" s="133"/>
      <c r="L431" s="133">
        <v>695</v>
      </c>
      <c r="M431" s="139">
        <v>45954</v>
      </c>
      <c r="N431" s="140" t="s">
        <v>1245</v>
      </c>
      <c r="O431" s="134">
        <v>102</v>
      </c>
    </row>
    <row r="432" spans="1:15" x14ac:dyDescent="0.25">
      <c r="A432" s="133">
        <v>432</v>
      </c>
      <c r="B432" s="134" t="s">
        <v>1259</v>
      </c>
      <c r="C432" s="135">
        <v>5548277</v>
      </c>
      <c r="D432" s="136" t="s">
        <v>968</v>
      </c>
      <c r="E432" s="137">
        <v>454839</v>
      </c>
      <c r="F432" s="137">
        <v>357405</v>
      </c>
      <c r="G432" s="137">
        <v>97434</v>
      </c>
      <c r="H432" s="137" t="s">
        <v>1214</v>
      </c>
      <c r="I432" s="135"/>
      <c r="J432" s="138">
        <v>0</v>
      </c>
      <c r="K432" s="133"/>
      <c r="L432" s="133">
        <v>695</v>
      </c>
      <c r="M432" s="139">
        <v>45954</v>
      </c>
      <c r="N432" s="140" t="s">
        <v>1260</v>
      </c>
      <c r="O432" s="134">
        <v>106</v>
      </c>
    </row>
    <row r="433" spans="1:15" x14ac:dyDescent="0.25">
      <c r="A433" s="133">
        <v>433</v>
      </c>
      <c r="B433" s="134" t="s">
        <v>1261</v>
      </c>
      <c r="C433" s="135">
        <v>837120</v>
      </c>
      <c r="D433" s="136" t="s">
        <v>968</v>
      </c>
      <c r="E433" s="137">
        <v>3240</v>
      </c>
      <c r="F433" s="137">
        <v>3240</v>
      </c>
      <c r="G433" s="137" t="s">
        <v>1218</v>
      </c>
      <c r="H433" s="137" t="s">
        <v>1214</v>
      </c>
      <c r="I433" s="135"/>
      <c r="J433" s="138">
        <v>0</v>
      </c>
      <c r="K433" s="133"/>
      <c r="L433" s="133">
        <v>695</v>
      </c>
      <c r="M433" s="139">
        <v>45954</v>
      </c>
      <c r="N433" s="140" t="s">
        <v>1262</v>
      </c>
      <c r="O433" s="134">
        <v>106</v>
      </c>
    </row>
    <row r="434" spans="1:15" x14ac:dyDescent="0.25">
      <c r="A434" s="133">
        <v>434</v>
      </c>
      <c r="B434" s="134" t="s">
        <v>1263</v>
      </c>
      <c r="C434" s="135">
        <v>1092540</v>
      </c>
      <c r="D434" s="136" t="s">
        <v>968</v>
      </c>
      <c r="E434" s="137">
        <v>21840</v>
      </c>
      <c r="F434" s="137">
        <v>21840</v>
      </c>
      <c r="G434" s="137" t="s">
        <v>1218</v>
      </c>
      <c r="H434" s="137" t="s">
        <v>1214</v>
      </c>
      <c r="I434" s="135"/>
      <c r="J434" s="138">
        <v>0</v>
      </c>
      <c r="K434" s="133"/>
      <c r="L434" s="133">
        <v>695</v>
      </c>
      <c r="M434" s="139">
        <v>45954</v>
      </c>
      <c r="N434" s="140" t="s">
        <v>1264</v>
      </c>
      <c r="O434" s="134">
        <v>102</v>
      </c>
    </row>
    <row r="435" spans="1:15" x14ac:dyDescent="0.25">
      <c r="A435" s="133">
        <v>435</v>
      </c>
      <c r="B435" s="134" t="s">
        <v>1265</v>
      </c>
      <c r="C435" s="135">
        <v>348600</v>
      </c>
      <c r="D435" s="136" t="s">
        <v>968</v>
      </c>
      <c r="E435" s="137">
        <v>108000</v>
      </c>
      <c r="F435" s="137" t="s">
        <v>1213</v>
      </c>
      <c r="G435" s="137">
        <v>108000</v>
      </c>
      <c r="H435" s="137" t="s">
        <v>1214</v>
      </c>
      <c r="I435" s="135"/>
      <c r="J435" s="138">
        <v>0</v>
      </c>
      <c r="K435" s="133"/>
      <c r="L435" s="133">
        <v>695</v>
      </c>
      <c r="M435" s="139">
        <v>45954</v>
      </c>
      <c r="N435" s="140" t="s">
        <v>1029</v>
      </c>
      <c r="O435" s="134">
        <v>601</v>
      </c>
    </row>
    <row r="436" spans="1:15" x14ac:dyDescent="0.25">
      <c r="A436" s="133">
        <v>436</v>
      </c>
      <c r="B436" s="134" t="s">
        <v>1266</v>
      </c>
      <c r="C436" s="135">
        <v>104700</v>
      </c>
      <c r="D436" s="136" t="s">
        <v>968</v>
      </c>
      <c r="E436" s="137">
        <v>18600</v>
      </c>
      <c r="F436" s="137">
        <v>18600</v>
      </c>
      <c r="G436" s="137" t="s">
        <v>1218</v>
      </c>
      <c r="H436" s="137" t="s">
        <v>1214</v>
      </c>
      <c r="I436" s="135"/>
      <c r="J436" s="138">
        <v>0</v>
      </c>
      <c r="K436" s="133"/>
      <c r="L436" s="133">
        <v>695</v>
      </c>
      <c r="M436" s="139">
        <v>45954</v>
      </c>
      <c r="N436" s="140" t="s">
        <v>1267</v>
      </c>
      <c r="O436" s="134">
        <v>602</v>
      </c>
    </row>
    <row r="437" spans="1:15" x14ac:dyDescent="0.25">
      <c r="A437" s="133">
        <v>437</v>
      </c>
      <c r="B437" s="134" t="s">
        <v>1268</v>
      </c>
      <c r="C437" s="135">
        <v>2567870</v>
      </c>
      <c r="D437" s="136" t="s">
        <v>968</v>
      </c>
      <c r="E437" s="137">
        <v>62160</v>
      </c>
      <c r="F437" s="137">
        <v>62160</v>
      </c>
      <c r="G437" s="137" t="s">
        <v>1218</v>
      </c>
      <c r="H437" s="137" t="s">
        <v>1214</v>
      </c>
      <c r="I437" s="135"/>
      <c r="J437" s="138">
        <v>0</v>
      </c>
      <c r="K437" s="133"/>
      <c r="L437" s="133">
        <v>695</v>
      </c>
      <c r="M437" s="139">
        <v>45954</v>
      </c>
      <c r="N437" s="140" t="s">
        <v>1269</v>
      </c>
      <c r="O437" s="134">
        <v>102</v>
      </c>
    </row>
    <row r="438" spans="1:15" x14ac:dyDescent="0.25">
      <c r="A438" s="133">
        <v>438</v>
      </c>
      <c r="B438" s="134" t="s">
        <v>1270</v>
      </c>
      <c r="C438" s="135">
        <v>2750660</v>
      </c>
      <c r="D438" s="136" t="s">
        <v>968</v>
      </c>
      <c r="E438" s="137">
        <v>20220</v>
      </c>
      <c r="F438" s="137">
        <v>20220</v>
      </c>
      <c r="G438" s="137" t="s">
        <v>1218</v>
      </c>
      <c r="H438" s="137" t="s">
        <v>1214</v>
      </c>
      <c r="I438" s="135"/>
      <c r="J438" s="138">
        <v>0</v>
      </c>
      <c r="K438" s="133"/>
      <c r="L438" s="133">
        <v>695</v>
      </c>
      <c r="M438" s="139">
        <v>45954</v>
      </c>
      <c r="N438" s="140" t="s">
        <v>1271</v>
      </c>
      <c r="O438" s="134">
        <v>106</v>
      </c>
    </row>
    <row r="439" spans="1:15" x14ac:dyDescent="0.25">
      <c r="A439" s="133">
        <v>439</v>
      </c>
      <c r="B439" s="134" t="s">
        <v>1272</v>
      </c>
      <c r="C439" s="135">
        <v>2373440</v>
      </c>
      <c r="D439" s="136" t="s">
        <v>968</v>
      </c>
      <c r="E439" s="137">
        <v>4860</v>
      </c>
      <c r="F439" s="137">
        <v>4860</v>
      </c>
      <c r="G439" s="137" t="s">
        <v>1218</v>
      </c>
      <c r="H439" s="137" t="s">
        <v>1214</v>
      </c>
      <c r="I439" s="135"/>
      <c r="J439" s="138">
        <v>0</v>
      </c>
      <c r="K439" s="133"/>
      <c r="L439" s="133">
        <v>695</v>
      </c>
      <c r="M439" s="139">
        <v>45954</v>
      </c>
      <c r="N439" s="140" t="s">
        <v>1273</v>
      </c>
      <c r="O439" s="134">
        <v>106</v>
      </c>
    </row>
    <row r="440" spans="1:15" x14ac:dyDescent="0.25">
      <c r="A440" s="133">
        <v>440</v>
      </c>
      <c r="B440" s="134" t="s">
        <v>1274</v>
      </c>
      <c r="C440" s="135">
        <v>1027290</v>
      </c>
      <c r="D440" s="136" t="s">
        <v>968</v>
      </c>
      <c r="E440" s="137">
        <v>18600</v>
      </c>
      <c r="F440" s="137">
        <v>18600</v>
      </c>
      <c r="G440" s="137" t="s">
        <v>1218</v>
      </c>
      <c r="H440" s="137" t="s">
        <v>1214</v>
      </c>
      <c r="I440" s="135"/>
      <c r="J440" s="138">
        <v>0</v>
      </c>
      <c r="K440" s="133"/>
      <c r="L440" s="133">
        <v>695</v>
      </c>
      <c r="M440" s="139">
        <v>45954</v>
      </c>
      <c r="N440" s="140" t="s">
        <v>1275</v>
      </c>
      <c r="O440" s="134">
        <v>102</v>
      </c>
    </row>
    <row r="441" spans="1:15" x14ac:dyDescent="0.25">
      <c r="A441" s="133">
        <v>441</v>
      </c>
      <c r="B441" s="134" t="s">
        <v>1276</v>
      </c>
      <c r="C441" s="135">
        <v>3911126</v>
      </c>
      <c r="D441" s="136" t="s">
        <v>968</v>
      </c>
      <c r="E441" s="137">
        <v>34800</v>
      </c>
      <c r="F441" s="137">
        <v>34800</v>
      </c>
      <c r="G441" s="137" t="s">
        <v>1218</v>
      </c>
      <c r="H441" s="137" t="s">
        <v>1214</v>
      </c>
      <c r="I441" s="135"/>
      <c r="J441" s="138">
        <v>0</v>
      </c>
      <c r="K441" s="133"/>
      <c r="L441" s="133">
        <v>695</v>
      </c>
      <c r="M441" s="139">
        <v>45954</v>
      </c>
      <c r="N441" s="140" t="s">
        <v>1277</v>
      </c>
      <c r="O441" s="134">
        <v>102</v>
      </c>
    </row>
    <row r="442" spans="1:15" x14ac:dyDescent="0.25">
      <c r="A442" s="133">
        <v>442</v>
      </c>
      <c r="B442" s="134" t="s">
        <v>1278</v>
      </c>
      <c r="C442" s="135">
        <v>812870</v>
      </c>
      <c r="D442" s="136" t="s">
        <v>968</v>
      </c>
      <c r="E442" s="137">
        <v>4860</v>
      </c>
      <c r="F442" s="137">
        <v>4860</v>
      </c>
      <c r="G442" s="137" t="s">
        <v>1218</v>
      </c>
      <c r="H442" s="137" t="s">
        <v>1214</v>
      </c>
      <c r="I442" s="135"/>
      <c r="J442" s="138">
        <v>0</v>
      </c>
      <c r="K442" s="133"/>
      <c r="L442" s="133">
        <v>695</v>
      </c>
      <c r="M442" s="139">
        <v>45954</v>
      </c>
      <c r="N442" s="140" t="s">
        <v>1279</v>
      </c>
      <c r="O442" s="134">
        <v>106</v>
      </c>
    </row>
    <row r="443" spans="1:15" x14ac:dyDescent="0.25">
      <c r="A443" s="133">
        <v>443</v>
      </c>
      <c r="B443" s="134" t="s">
        <v>1280</v>
      </c>
      <c r="C443" s="135">
        <v>2060210</v>
      </c>
      <c r="D443" s="136" t="s">
        <v>968</v>
      </c>
      <c r="E443" s="137">
        <v>20220</v>
      </c>
      <c r="F443" s="137">
        <v>20220</v>
      </c>
      <c r="G443" s="137" t="s">
        <v>1218</v>
      </c>
      <c r="H443" s="137" t="s">
        <v>1214</v>
      </c>
      <c r="I443" s="135"/>
      <c r="J443" s="138">
        <v>0</v>
      </c>
      <c r="K443" s="133"/>
      <c r="L443" s="133">
        <v>695</v>
      </c>
      <c r="M443" s="139">
        <v>45954</v>
      </c>
      <c r="N443" s="140" t="s">
        <v>1281</v>
      </c>
      <c r="O443" s="134">
        <v>102</v>
      </c>
    </row>
    <row r="444" spans="1:15" x14ac:dyDescent="0.25">
      <c r="A444" s="133">
        <v>444</v>
      </c>
      <c r="B444" s="134" t="s">
        <v>1282</v>
      </c>
      <c r="C444" s="135">
        <v>1737620</v>
      </c>
      <c r="D444" s="136" t="s">
        <v>968</v>
      </c>
      <c r="E444" s="137">
        <v>4860</v>
      </c>
      <c r="F444" s="137">
        <v>4860</v>
      </c>
      <c r="G444" s="137" t="s">
        <v>1218</v>
      </c>
      <c r="H444" s="137" t="s">
        <v>1214</v>
      </c>
      <c r="I444" s="135"/>
      <c r="J444" s="138">
        <v>0</v>
      </c>
      <c r="K444" s="133"/>
      <c r="L444" s="133">
        <v>695</v>
      </c>
      <c r="M444" s="139">
        <v>45954</v>
      </c>
      <c r="N444" s="140" t="s">
        <v>1279</v>
      </c>
      <c r="O444" s="134">
        <v>106</v>
      </c>
    </row>
    <row r="445" spans="1:15" x14ac:dyDescent="0.25">
      <c r="A445" s="133">
        <v>445</v>
      </c>
      <c r="B445" s="134" t="s">
        <v>1283</v>
      </c>
      <c r="C445" s="135">
        <v>2493810</v>
      </c>
      <c r="D445" s="136" t="s">
        <v>968</v>
      </c>
      <c r="E445" s="137">
        <v>94260</v>
      </c>
      <c r="F445" s="137">
        <v>94260</v>
      </c>
      <c r="G445" s="137" t="s">
        <v>1218</v>
      </c>
      <c r="H445" s="137" t="s">
        <v>1214</v>
      </c>
      <c r="I445" s="135"/>
      <c r="J445" s="138">
        <v>0</v>
      </c>
      <c r="K445" s="133"/>
      <c r="L445" s="133">
        <v>695</v>
      </c>
      <c r="M445" s="139">
        <v>45954</v>
      </c>
      <c r="N445" s="140" t="s">
        <v>1284</v>
      </c>
      <c r="O445" s="134">
        <v>208</v>
      </c>
    </row>
    <row r="446" spans="1:15" x14ac:dyDescent="0.25">
      <c r="A446" s="133">
        <v>446</v>
      </c>
      <c r="B446" s="134" t="s">
        <v>1285</v>
      </c>
      <c r="C446" s="135">
        <v>3922825</v>
      </c>
      <c r="D446" s="136" t="s">
        <v>968</v>
      </c>
      <c r="E446" s="137">
        <v>129720</v>
      </c>
      <c r="F446" s="137">
        <v>129720</v>
      </c>
      <c r="G446" s="137" t="s">
        <v>1218</v>
      </c>
      <c r="H446" s="137" t="s">
        <v>1214</v>
      </c>
      <c r="I446" s="135"/>
      <c r="J446" s="138">
        <v>0</v>
      </c>
      <c r="K446" s="133"/>
      <c r="L446" s="133">
        <v>695</v>
      </c>
      <c r="M446" s="139">
        <v>45954</v>
      </c>
      <c r="N446" s="140" t="s">
        <v>1286</v>
      </c>
      <c r="O446" s="134">
        <v>302</v>
      </c>
    </row>
    <row r="447" spans="1:15" x14ac:dyDescent="0.25">
      <c r="A447" s="133">
        <v>447</v>
      </c>
      <c r="B447" s="134" t="s">
        <v>1287</v>
      </c>
      <c r="C447" s="135">
        <v>2994410</v>
      </c>
      <c r="D447" s="136" t="s">
        <v>968</v>
      </c>
      <c r="E447" s="137">
        <v>112330</v>
      </c>
      <c r="F447" s="137">
        <v>60460</v>
      </c>
      <c r="G447" s="137">
        <v>51870</v>
      </c>
      <c r="H447" s="137" t="s">
        <v>1214</v>
      </c>
      <c r="I447" s="135"/>
      <c r="J447" s="138">
        <v>0</v>
      </c>
      <c r="K447" s="133"/>
      <c r="L447" s="133">
        <v>695</v>
      </c>
      <c r="M447" s="139">
        <v>45954</v>
      </c>
      <c r="N447" s="140" t="s">
        <v>1288</v>
      </c>
      <c r="O447" s="134">
        <v>202</v>
      </c>
    </row>
    <row r="448" spans="1:15" x14ac:dyDescent="0.25">
      <c r="A448" s="133">
        <v>448</v>
      </c>
      <c r="B448" s="134" t="s">
        <v>1289</v>
      </c>
      <c r="C448" s="135">
        <v>947357</v>
      </c>
      <c r="D448" s="136" t="s">
        <v>968</v>
      </c>
      <c r="E448" s="137">
        <v>1620</v>
      </c>
      <c r="F448" s="137">
        <v>1620</v>
      </c>
      <c r="G448" s="137" t="s">
        <v>1218</v>
      </c>
      <c r="H448" s="137" t="s">
        <v>1214</v>
      </c>
      <c r="I448" s="135"/>
      <c r="J448" s="138">
        <v>0</v>
      </c>
      <c r="K448" s="133"/>
      <c r="L448" s="133">
        <v>695</v>
      </c>
      <c r="M448" s="139">
        <v>45954</v>
      </c>
      <c r="N448" s="140" t="s">
        <v>1290</v>
      </c>
      <c r="O448" s="134">
        <v>106</v>
      </c>
    </row>
    <row r="449" spans="1:15" x14ac:dyDescent="0.25">
      <c r="A449" s="133">
        <v>449</v>
      </c>
      <c r="B449" s="134" t="s">
        <v>1291</v>
      </c>
      <c r="C449" s="135">
        <v>1046460</v>
      </c>
      <c r="D449" s="136" t="s">
        <v>968</v>
      </c>
      <c r="E449" s="137">
        <v>59130</v>
      </c>
      <c r="F449" s="137">
        <v>59130</v>
      </c>
      <c r="G449" s="137" t="s">
        <v>1218</v>
      </c>
      <c r="H449" s="137" t="s">
        <v>1214</v>
      </c>
      <c r="I449" s="135"/>
      <c r="J449" s="138">
        <v>0</v>
      </c>
      <c r="K449" s="133"/>
      <c r="L449" s="133">
        <v>695</v>
      </c>
      <c r="M449" s="139">
        <v>45954</v>
      </c>
      <c r="N449" s="140" t="s">
        <v>1292</v>
      </c>
      <c r="O449" s="134">
        <v>608</v>
      </c>
    </row>
    <row r="450" spans="1:15" x14ac:dyDescent="0.25">
      <c r="A450" s="133">
        <v>450</v>
      </c>
      <c r="B450" s="134" t="s">
        <v>1293</v>
      </c>
      <c r="C450" s="135">
        <v>1069620</v>
      </c>
      <c r="D450" s="136" t="s">
        <v>968</v>
      </c>
      <c r="E450" s="137">
        <v>37290</v>
      </c>
      <c r="F450" s="137">
        <v>37290</v>
      </c>
      <c r="G450" s="137" t="s">
        <v>1218</v>
      </c>
      <c r="H450" s="137" t="s">
        <v>1214</v>
      </c>
      <c r="I450" s="135"/>
      <c r="J450" s="138">
        <v>0</v>
      </c>
      <c r="K450" s="133"/>
      <c r="L450" s="133">
        <v>695</v>
      </c>
      <c r="M450" s="139">
        <v>45954</v>
      </c>
      <c r="N450" s="140" t="s">
        <v>1294</v>
      </c>
      <c r="O450" s="134">
        <v>208</v>
      </c>
    </row>
    <row r="451" spans="1:15" x14ac:dyDescent="0.25">
      <c r="A451" s="133">
        <v>451</v>
      </c>
      <c r="B451" s="134" t="s">
        <v>1295</v>
      </c>
      <c r="C451" s="135">
        <v>1327674</v>
      </c>
      <c r="D451" s="136" t="s">
        <v>968</v>
      </c>
      <c r="E451" s="137">
        <v>68560</v>
      </c>
      <c r="F451" s="137">
        <v>52360</v>
      </c>
      <c r="G451" s="137">
        <v>16200</v>
      </c>
      <c r="H451" s="137" t="s">
        <v>1214</v>
      </c>
      <c r="I451" s="135"/>
      <c r="J451" s="138">
        <v>0</v>
      </c>
      <c r="K451" s="133"/>
      <c r="L451" s="133">
        <v>695</v>
      </c>
      <c r="M451" s="139">
        <v>45954</v>
      </c>
      <c r="N451" s="140" t="s">
        <v>1296</v>
      </c>
      <c r="O451" s="134">
        <v>202</v>
      </c>
    </row>
    <row r="452" spans="1:15" x14ac:dyDescent="0.25">
      <c r="A452" s="133">
        <v>452</v>
      </c>
      <c r="B452" s="134" t="s">
        <v>1297</v>
      </c>
      <c r="C452" s="135">
        <v>2041240</v>
      </c>
      <c r="D452" s="136" t="s">
        <v>968</v>
      </c>
      <c r="E452" s="137">
        <v>62370</v>
      </c>
      <c r="F452" s="137">
        <v>62370</v>
      </c>
      <c r="G452" s="137" t="s">
        <v>1218</v>
      </c>
      <c r="H452" s="137" t="s">
        <v>1214</v>
      </c>
      <c r="I452" s="135"/>
      <c r="J452" s="138">
        <v>0</v>
      </c>
      <c r="K452" s="133"/>
      <c r="L452" s="133">
        <v>695</v>
      </c>
      <c r="M452" s="139">
        <v>45954</v>
      </c>
      <c r="N452" s="140" t="s">
        <v>1298</v>
      </c>
      <c r="O452" s="134">
        <v>208</v>
      </c>
    </row>
    <row r="453" spans="1:15" x14ac:dyDescent="0.25">
      <c r="A453" s="133">
        <v>453</v>
      </c>
      <c r="B453" s="134" t="s">
        <v>1299</v>
      </c>
      <c r="C453" s="135">
        <v>119996007</v>
      </c>
      <c r="D453" s="136" t="s">
        <v>968</v>
      </c>
      <c r="E453" s="137">
        <v>41622442</v>
      </c>
      <c r="F453" s="137">
        <v>14734076</v>
      </c>
      <c r="G453" s="137">
        <v>26888366</v>
      </c>
      <c r="H453" s="137" t="s">
        <v>1214</v>
      </c>
      <c r="I453" s="135"/>
      <c r="J453" s="138">
        <v>0</v>
      </c>
      <c r="K453" s="133"/>
      <c r="L453" s="133">
        <v>695</v>
      </c>
      <c r="M453" s="139">
        <v>45954</v>
      </c>
      <c r="N453" s="140" t="s">
        <v>1300</v>
      </c>
      <c r="O453" s="134">
        <v>206</v>
      </c>
    </row>
    <row r="454" spans="1:15" x14ac:dyDescent="0.25">
      <c r="A454" s="133">
        <v>454</v>
      </c>
      <c r="B454" s="134" t="s">
        <v>1301</v>
      </c>
      <c r="C454" s="135">
        <v>1031315</v>
      </c>
      <c r="D454" s="136" t="s">
        <v>968</v>
      </c>
      <c r="E454" s="137">
        <v>8100</v>
      </c>
      <c r="F454" s="137">
        <v>8100</v>
      </c>
      <c r="G454" s="137" t="s">
        <v>1218</v>
      </c>
      <c r="H454" s="137" t="s">
        <v>1214</v>
      </c>
      <c r="I454" s="135"/>
      <c r="J454" s="138">
        <v>0</v>
      </c>
      <c r="K454" s="133"/>
      <c r="L454" s="133">
        <v>695</v>
      </c>
      <c r="M454" s="139">
        <v>45954</v>
      </c>
      <c r="N454" s="140" t="s">
        <v>1302</v>
      </c>
      <c r="O454" s="134">
        <v>106</v>
      </c>
    </row>
    <row r="455" spans="1:15" x14ac:dyDescent="0.25">
      <c r="A455" s="133">
        <v>455</v>
      </c>
      <c r="B455" s="134" t="s">
        <v>1303</v>
      </c>
      <c r="C455" s="135">
        <v>683470</v>
      </c>
      <c r="D455" s="136" t="s">
        <v>968</v>
      </c>
      <c r="E455" s="137">
        <v>18600</v>
      </c>
      <c r="F455" s="137">
        <v>18600</v>
      </c>
      <c r="G455" s="137" t="s">
        <v>1218</v>
      </c>
      <c r="H455" s="137" t="s">
        <v>1214</v>
      </c>
      <c r="I455" s="135"/>
      <c r="J455" s="138">
        <v>0</v>
      </c>
      <c r="K455" s="133"/>
      <c r="L455" s="133">
        <v>695</v>
      </c>
      <c r="M455" s="139">
        <v>45954</v>
      </c>
      <c r="N455" s="140" t="s">
        <v>1275</v>
      </c>
      <c r="O455" s="134">
        <v>102</v>
      </c>
    </row>
    <row r="456" spans="1:15" x14ac:dyDescent="0.25">
      <c r="A456" s="133">
        <v>456</v>
      </c>
      <c r="B456" s="134" t="s">
        <v>1304</v>
      </c>
      <c r="C456" s="135">
        <v>2158090</v>
      </c>
      <c r="D456" s="136" t="s">
        <v>968</v>
      </c>
      <c r="E456" s="137">
        <v>29940</v>
      </c>
      <c r="F456" s="137">
        <v>29940</v>
      </c>
      <c r="G456" s="137" t="s">
        <v>1218</v>
      </c>
      <c r="H456" s="137" t="s">
        <v>1214</v>
      </c>
      <c r="I456" s="135"/>
      <c r="J456" s="138">
        <v>0</v>
      </c>
      <c r="K456" s="133"/>
      <c r="L456" s="133">
        <v>695</v>
      </c>
      <c r="M456" s="139">
        <v>45954</v>
      </c>
      <c r="N456" s="140" t="s">
        <v>1305</v>
      </c>
      <c r="O456" s="134">
        <v>102</v>
      </c>
    </row>
    <row r="457" spans="1:15" x14ac:dyDescent="0.25">
      <c r="A457" s="133">
        <v>457</v>
      </c>
      <c r="B457" s="134" t="s">
        <v>1306</v>
      </c>
      <c r="C457" s="135">
        <v>2667414</v>
      </c>
      <c r="D457" s="136" t="s">
        <v>968</v>
      </c>
      <c r="E457" s="137">
        <v>28320</v>
      </c>
      <c r="F457" s="137">
        <v>28320</v>
      </c>
      <c r="G457" s="137" t="s">
        <v>1218</v>
      </c>
      <c r="H457" s="137" t="s">
        <v>1214</v>
      </c>
      <c r="I457" s="135"/>
      <c r="J457" s="138">
        <v>0</v>
      </c>
      <c r="K457" s="133"/>
      <c r="L457" s="133">
        <v>695</v>
      </c>
      <c r="M457" s="139">
        <v>45954</v>
      </c>
      <c r="N457" s="140" t="s">
        <v>1307</v>
      </c>
      <c r="O457" s="134">
        <v>102</v>
      </c>
    </row>
    <row r="458" spans="1:15" x14ac:dyDescent="0.25">
      <c r="A458" s="133">
        <v>458</v>
      </c>
      <c r="B458" s="134" t="s">
        <v>1308</v>
      </c>
      <c r="C458" s="135">
        <v>921770</v>
      </c>
      <c r="D458" s="136" t="s">
        <v>968</v>
      </c>
      <c r="E458" s="137">
        <v>3240</v>
      </c>
      <c r="F458" s="137">
        <v>3240</v>
      </c>
      <c r="G458" s="137" t="s">
        <v>1218</v>
      </c>
      <c r="H458" s="137" t="s">
        <v>1214</v>
      </c>
      <c r="I458" s="135"/>
      <c r="J458" s="138">
        <v>0</v>
      </c>
      <c r="K458" s="133"/>
      <c r="L458" s="133">
        <v>695</v>
      </c>
      <c r="M458" s="139">
        <v>45954</v>
      </c>
      <c r="N458" s="140" t="s">
        <v>1309</v>
      </c>
      <c r="O458" s="134">
        <v>106</v>
      </c>
    </row>
    <row r="459" spans="1:15" x14ac:dyDescent="0.25">
      <c r="A459" s="133">
        <v>459</v>
      </c>
      <c r="B459" s="134" t="s">
        <v>1310</v>
      </c>
      <c r="C459" s="135">
        <v>573970</v>
      </c>
      <c r="D459" s="136" t="s">
        <v>968</v>
      </c>
      <c r="E459" s="137">
        <v>37290</v>
      </c>
      <c r="F459" s="137">
        <v>37290</v>
      </c>
      <c r="G459" s="137" t="s">
        <v>1218</v>
      </c>
      <c r="H459" s="137" t="s">
        <v>1214</v>
      </c>
      <c r="I459" s="135"/>
      <c r="J459" s="138">
        <v>0</v>
      </c>
      <c r="K459" s="133"/>
      <c r="L459" s="133">
        <v>695</v>
      </c>
      <c r="M459" s="139">
        <v>45954</v>
      </c>
      <c r="N459" s="140" t="s">
        <v>1311</v>
      </c>
      <c r="O459" s="134">
        <v>608</v>
      </c>
    </row>
    <row r="460" spans="1:15" x14ac:dyDescent="0.25">
      <c r="A460" s="133">
        <v>460</v>
      </c>
      <c r="B460" s="134" t="s">
        <v>1312</v>
      </c>
      <c r="C460" s="135">
        <v>14748280</v>
      </c>
      <c r="D460" s="136" t="s">
        <v>968</v>
      </c>
      <c r="E460" s="137">
        <v>2986580</v>
      </c>
      <c r="F460" s="137">
        <v>2297480</v>
      </c>
      <c r="G460" s="137">
        <v>689100</v>
      </c>
      <c r="H460" s="137" t="s">
        <v>1214</v>
      </c>
      <c r="I460" s="135"/>
      <c r="J460" s="138">
        <v>0</v>
      </c>
      <c r="K460" s="133"/>
      <c r="L460" s="133">
        <v>695</v>
      </c>
      <c r="M460" s="139">
        <v>45954</v>
      </c>
      <c r="N460" s="140" t="s">
        <v>1313</v>
      </c>
      <c r="O460" s="134">
        <v>601</v>
      </c>
    </row>
    <row r="461" spans="1:15" x14ac:dyDescent="0.25">
      <c r="A461" s="133">
        <v>461</v>
      </c>
      <c r="B461" s="134" t="s">
        <v>1314</v>
      </c>
      <c r="C461" s="135">
        <v>5028010</v>
      </c>
      <c r="D461" s="136" t="s">
        <v>968</v>
      </c>
      <c r="E461" s="137">
        <v>63700</v>
      </c>
      <c r="F461" s="137">
        <v>47500</v>
      </c>
      <c r="G461" s="137">
        <v>16200</v>
      </c>
      <c r="H461" s="137" t="s">
        <v>1214</v>
      </c>
      <c r="I461" s="135"/>
      <c r="J461" s="138">
        <v>0</v>
      </c>
      <c r="K461" s="133"/>
      <c r="L461" s="133">
        <v>695</v>
      </c>
      <c r="M461" s="139">
        <v>45954</v>
      </c>
      <c r="N461" s="140" t="s">
        <v>1315</v>
      </c>
      <c r="O461" s="134">
        <v>202</v>
      </c>
    </row>
    <row r="462" spans="1:15" x14ac:dyDescent="0.25">
      <c r="A462" s="133">
        <v>462</v>
      </c>
      <c r="B462" s="134" t="s">
        <v>1316</v>
      </c>
      <c r="C462" s="135">
        <v>2682380</v>
      </c>
      <c r="D462" s="136" t="s">
        <v>968</v>
      </c>
      <c r="E462" s="137">
        <v>1620</v>
      </c>
      <c r="F462" s="137">
        <v>1620</v>
      </c>
      <c r="G462" s="137" t="s">
        <v>1218</v>
      </c>
      <c r="H462" s="137" t="s">
        <v>1214</v>
      </c>
      <c r="I462" s="135"/>
      <c r="J462" s="138">
        <v>0</v>
      </c>
      <c r="K462" s="133"/>
      <c r="L462" s="133">
        <v>695</v>
      </c>
      <c r="M462" s="139">
        <v>45954</v>
      </c>
      <c r="N462" s="140" t="s">
        <v>1290</v>
      </c>
      <c r="O462" s="134">
        <v>106</v>
      </c>
    </row>
    <row r="463" spans="1:15" x14ac:dyDescent="0.25">
      <c r="A463" s="133">
        <v>463</v>
      </c>
      <c r="B463" s="134" t="s">
        <v>1317</v>
      </c>
      <c r="C463" s="135">
        <v>2492160</v>
      </c>
      <c r="D463" s="136" t="s">
        <v>968</v>
      </c>
      <c r="E463" s="137">
        <v>6500</v>
      </c>
      <c r="F463" s="137">
        <v>6500</v>
      </c>
      <c r="G463" s="137" t="s">
        <v>1218</v>
      </c>
      <c r="H463" s="137" t="s">
        <v>1214</v>
      </c>
      <c r="I463" s="135"/>
      <c r="J463" s="138">
        <v>0</v>
      </c>
      <c r="K463" s="133"/>
      <c r="L463" s="133">
        <v>695</v>
      </c>
      <c r="M463" s="139">
        <v>45954</v>
      </c>
      <c r="N463" s="140" t="s">
        <v>1318</v>
      </c>
      <c r="O463" s="134">
        <v>106</v>
      </c>
    </row>
    <row r="464" spans="1:15" x14ac:dyDescent="0.25">
      <c r="A464" s="133">
        <v>464</v>
      </c>
      <c r="B464" s="134" t="s">
        <v>1319</v>
      </c>
      <c r="C464" s="135">
        <v>741780</v>
      </c>
      <c r="D464" s="136" t="s">
        <v>968</v>
      </c>
      <c r="E464" s="137">
        <v>3240</v>
      </c>
      <c r="F464" s="137">
        <v>3240</v>
      </c>
      <c r="G464" s="137" t="s">
        <v>1218</v>
      </c>
      <c r="H464" s="137" t="s">
        <v>1214</v>
      </c>
      <c r="I464" s="135"/>
      <c r="J464" s="138">
        <v>0</v>
      </c>
      <c r="K464" s="133"/>
      <c r="L464" s="133">
        <v>695</v>
      </c>
      <c r="M464" s="139">
        <v>45954</v>
      </c>
      <c r="N464" s="140" t="s">
        <v>1320</v>
      </c>
      <c r="O464" s="134">
        <v>106</v>
      </c>
    </row>
    <row r="465" spans="1:15" x14ac:dyDescent="0.25">
      <c r="A465" s="133">
        <v>465</v>
      </c>
      <c r="B465" s="134" t="s">
        <v>1321</v>
      </c>
      <c r="C465" s="135">
        <v>6162518</v>
      </c>
      <c r="D465" s="136" t="s">
        <v>968</v>
      </c>
      <c r="E465" s="137">
        <v>453610</v>
      </c>
      <c r="F465" s="137">
        <v>336010</v>
      </c>
      <c r="G465" s="137">
        <v>117600</v>
      </c>
      <c r="H465" s="137" t="s">
        <v>1214</v>
      </c>
      <c r="I465" s="135"/>
      <c r="J465" s="138">
        <v>0</v>
      </c>
      <c r="K465" s="133"/>
      <c r="L465" s="133">
        <v>695</v>
      </c>
      <c r="M465" s="139">
        <v>45954</v>
      </c>
      <c r="N465" s="140" t="s">
        <v>1322</v>
      </c>
      <c r="O465" s="134">
        <v>108</v>
      </c>
    </row>
    <row r="466" spans="1:15" x14ac:dyDescent="0.25">
      <c r="A466" s="133">
        <v>466</v>
      </c>
      <c r="B466" s="134" t="s">
        <v>1323</v>
      </c>
      <c r="C466" s="135">
        <v>9094846</v>
      </c>
      <c r="D466" s="136" t="s">
        <v>968</v>
      </c>
      <c r="E466" s="137">
        <v>9094846</v>
      </c>
      <c r="F466" s="137">
        <v>9094846</v>
      </c>
      <c r="G466" s="137" t="s">
        <v>1218</v>
      </c>
      <c r="H466" s="137" t="s">
        <v>1214</v>
      </c>
      <c r="I466" s="135"/>
      <c r="J466" s="138">
        <v>0</v>
      </c>
      <c r="K466" s="133"/>
      <c r="L466" s="133">
        <v>695</v>
      </c>
      <c r="M466" s="139">
        <v>45954</v>
      </c>
      <c r="N466" s="140" t="s">
        <v>1324</v>
      </c>
      <c r="O466" s="134">
        <v>116</v>
      </c>
    </row>
    <row r="467" spans="1:15" x14ac:dyDescent="0.25">
      <c r="A467" s="133">
        <v>467</v>
      </c>
      <c r="B467" s="134" t="s">
        <v>1325</v>
      </c>
      <c r="C467" s="135">
        <v>5964408</v>
      </c>
      <c r="D467" s="136" t="s">
        <v>968</v>
      </c>
      <c r="E467" s="137">
        <v>889834</v>
      </c>
      <c r="F467" s="137">
        <v>359822</v>
      </c>
      <c r="G467" s="137">
        <v>530012</v>
      </c>
      <c r="H467" s="137" t="s">
        <v>1214</v>
      </c>
      <c r="I467" s="135"/>
      <c r="J467" s="138">
        <v>0</v>
      </c>
      <c r="K467" s="133"/>
      <c r="L467" s="133">
        <v>695</v>
      </c>
      <c r="M467" s="139">
        <v>45954</v>
      </c>
      <c r="N467" s="140" t="s">
        <v>1326</v>
      </c>
      <c r="O467" s="134">
        <v>206</v>
      </c>
    </row>
    <row r="468" spans="1:15" x14ac:dyDescent="0.25">
      <c r="A468" s="133">
        <v>468</v>
      </c>
      <c r="B468" s="134" t="s">
        <v>1327</v>
      </c>
      <c r="C468" s="135">
        <v>4371779</v>
      </c>
      <c r="D468" s="136" t="s">
        <v>968</v>
      </c>
      <c r="E468" s="137">
        <v>8100</v>
      </c>
      <c r="F468" s="137">
        <v>8100</v>
      </c>
      <c r="G468" s="137" t="s">
        <v>1218</v>
      </c>
      <c r="H468" s="137" t="s">
        <v>1214</v>
      </c>
      <c r="I468" s="135"/>
      <c r="J468" s="138">
        <v>0</v>
      </c>
      <c r="K468" s="133"/>
      <c r="L468" s="133">
        <v>695</v>
      </c>
      <c r="M468" s="139">
        <v>45954</v>
      </c>
      <c r="N468" s="140" t="s">
        <v>1302</v>
      </c>
      <c r="O468" s="134">
        <v>106</v>
      </c>
    </row>
    <row r="469" spans="1:15" x14ac:dyDescent="0.25">
      <c r="A469" s="133">
        <v>469</v>
      </c>
      <c r="B469" s="134" t="s">
        <v>1328</v>
      </c>
      <c r="C469" s="135">
        <v>5421447</v>
      </c>
      <c r="D469" s="136" t="s">
        <v>968</v>
      </c>
      <c r="E469" s="137">
        <v>94500</v>
      </c>
      <c r="F469" s="137">
        <v>94500</v>
      </c>
      <c r="G469" s="137" t="s">
        <v>1218</v>
      </c>
      <c r="H469" s="137" t="s">
        <v>1214</v>
      </c>
      <c r="I469" s="135"/>
      <c r="J469" s="138">
        <v>0</v>
      </c>
      <c r="K469" s="133"/>
      <c r="L469" s="133">
        <v>695</v>
      </c>
      <c r="M469" s="139">
        <v>45954</v>
      </c>
      <c r="N469" s="140" t="s">
        <v>1329</v>
      </c>
      <c r="O469" s="134">
        <v>208</v>
      </c>
    </row>
    <row r="470" spans="1:15" x14ac:dyDescent="0.25">
      <c r="A470" s="133">
        <v>470</v>
      </c>
      <c r="B470" s="134" t="s">
        <v>1330</v>
      </c>
      <c r="C470" s="135">
        <v>52054788</v>
      </c>
      <c r="D470" s="136" t="s">
        <v>968</v>
      </c>
      <c r="E470" s="137">
        <v>52054788</v>
      </c>
      <c r="F470" s="137" t="s">
        <v>1213</v>
      </c>
      <c r="G470" s="137" t="s">
        <v>1218</v>
      </c>
      <c r="H470" s="137">
        <v>52054788</v>
      </c>
      <c r="I470" s="135"/>
      <c r="J470" s="138">
        <v>0</v>
      </c>
      <c r="K470" s="133"/>
      <c r="L470" s="133">
        <v>695</v>
      </c>
      <c r="M470" s="139">
        <v>45954</v>
      </c>
      <c r="N470" s="140" t="s">
        <v>1331</v>
      </c>
      <c r="O470" s="134">
        <v>116</v>
      </c>
    </row>
    <row r="471" spans="1:15" x14ac:dyDescent="0.25">
      <c r="A471" s="133">
        <v>471</v>
      </c>
      <c r="B471" s="134" t="s">
        <v>1332</v>
      </c>
      <c r="C471" s="135">
        <v>6189837</v>
      </c>
      <c r="D471" s="136" t="s">
        <v>968</v>
      </c>
      <c r="E471" s="137">
        <v>76436</v>
      </c>
      <c r="F471" s="137">
        <v>76436</v>
      </c>
      <c r="G471" s="137" t="s">
        <v>1218</v>
      </c>
      <c r="H471" s="137" t="s">
        <v>1214</v>
      </c>
      <c r="I471" s="135"/>
      <c r="J471" s="138">
        <v>0</v>
      </c>
      <c r="K471" s="133"/>
      <c r="L471" s="133">
        <v>695</v>
      </c>
      <c r="M471" s="139">
        <v>45954</v>
      </c>
      <c r="N471" s="140" t="s">
        <v>1333</v>
      </c>
      <c r="O471" s="134">
        <v>106</v>
      </c>
    </row>
    <row r="472" spans="1:15" x14ac:dyDescent="0.25">
      <c r="A472" s="133">
        <v>472</v>
      </c>
      <c r="B472" s="134" t="s">
        <v>1334</v>
      </c>
      <c r="C472" s="135">
        <v>560527</v>
      </c>
      <c r="D472" s="136" t="s">
        <v>968</v>
      </c>
      <c r="E472" s="137">
        <v>20220</v>
      </c>
      <c r="F472" s="137">
        <v>20220</v>
      </c>
      <c r="G472" s="137" t="s">
        <v>1218</v>
      </c>
      <c r="H472" s="137" t="s">
        <v>1214</v>
      </c>
      <c r="I472" s="135"/>
      <c r="J472" s="138">
        <v>0</v>
      </c>
      <c r="K472" s="133"/>
      <c r="L472" s="133">
        <v>695</v>
      </c>
      <c r="M472" s="139">
        <v>45954</v>
      </c>
      <c r="N472" s="140" t="s">
        <v>1335</v>
      </c>
      <c r="O472" s="134">
        <v>102</v>
      </c>
    </row>
    <row r="473" spans="1:15" x14ac:dyDescent="0.25">
      <c r="A473" s="133">
        <v>473</v>
      </c>
      <c r="B473" s="134" t="s">
        <v>1336</v>
      </c>
      <c r="C473" s="135">
        <v>4527345</v>
      </c>
      <c r="D473" s="136" t="s">
        <v>968</v>
      </c>
      <c r="E473" s="137">
        <v>48340</v>
      </c>
      <c r="F473" s="137">
        <v>32140</v>
      </c>
      <c r="G473" s="137">
        <v>16200</v>
      </c>
      <c r="H473" s="137" t="s">
        <v>1214</v>
      </c>
      <c r="I473" s="135"/>
      <c r="J473" s="138">
        <v>0</v>
      </c>
      <c r="K473" s="133"/>
      <c r="L473" s="133">
        <v>695</v>
      </c>
      <c r="M473" s="139">
        <v>45954</v>
      </c>
      <c r="N473" s="140" t="s">
        <v>1337</v>
      </c>
      <c r="O473" s="134">
        <v>202</v>
      </c>
    </row>
    <row r="474" spans="1:15" x14ac:dyDescent="0.25">
      <c r="A474" s="133">
        <v>474</v>
      </c>
      <c r="B474" s="134" t="s">
        <v>1338</v>
      </c>
      <c r="C474" s="135">
        <v>1898656</v>
      </c>
      <c r="D474" s="136" t="s">
        <v>968</v>
      </c>
      <c r="E474" s="137">
        <v>4860</v>
      </c>
      <c r="F474" s="137">
        <v>4860</v>
      </c>
      <c r="G474" s="137" t="s">
        <v>1218</v>
      </c>
      <c r="H474" s="137" t="s">
        <v>1214</v>
      </c>
      <c r="I474" s="135"/>
      <c r="J474" s="138">
        <v>0</v>
      </c>
      <c r="K474" s="133"/>
      <c r="L474" s="133">
        <v>695</v>
      </c>
      <c r="M474" s="139">
        <v>45954</v>
      </c>
      <c r="N474" s="140" t="s">
        <v>1339</v>
      </c>
      <c r="O474" s="134">
        <v>106</v>
      </c>
    </row>
    <row r="475" spans="1:15" x14ac:dyDescent="0.25">
      <c r="A475" s="133">
        <v>475</v>
      </c>
      <c r="B475" s="134" t="s">
        <v>1340</v>
      </c>
      <c r="C475" s="135">
        <v>26812848</v>
      </c>
      <c r="D475" s="136" t="s">
        <v>968</v>
      </c>
      <c r="E475" s="137">
        <v>4853675</v>
      </c>
      <c r="F475" s="137">
        <v>2678300</v>
      </c>
      <c r="G475" s="137">
        <v>2175375</v>
      </c>
      <c r="H475" s="137" t="s">
        <v>1214</v>
      </c>
      <c r="I475" s="135"/>
      <c r="J475" s="138">
        <v>0</v>
      </c>
      <c r="K475" s="133"/>
      <c r="L475" s="133">
        <v>695</v>
      </c>
      <c r="M475" s="139">
        <v>45954</v>
      </c>
      <c r="N475" s="140" t="s">
        <v>1341</v>
      </c>
      <c r="O475" s="134">
        <v>206</v>
      </c>
    </row>
    <row r="476" spans="1:15" x14ac:dyDescent="0.25">
      <c r="A476" s="133">
        <v>476</v>
      </c>
      <c r="B476" s="134" t="s">
        <v>1342</v>
      </c>
      <c r="C476" s="135">
        <v>2764514</v>
      </c>
      <c r="D476" s="136" t="s">
        <v>968</v>
      </c>
      <c r="E476" s="137">
        <v>56440</v>
      </c>
      <c r="F476" s="137">
        <v>40240</v>
      </c>
      <c r="G476" s="137">
        <v>16200</v>
      </c>
      <c r="H476" s="137" t="s">
        <v>1214</v>
      </c>
      <c r="I476" s="135"/>
      <c r="J476" s="138">
        <v>0</v>
      </c>
      <c r="K476" s="133"/>
      <c r="L476" s="133">
        <v>695</v>
      </c>
      <c r="M476" s="139">
        <v>45954</v>
      </c>
      <c r="N476" s="140" t="s">
        <v>1343</v>
      </c>
      <c r="O476" s="134">
        <v>202</v>
      </c>
    </row>
    <row r="477" spans="1:15" x14ac:dyDescent="0.25">
      <c r="A477" s="133">
        <v>477</v>
      </c>
      <c r="B477" s="134" t="s">
        <v>1344</v>
      </c>
      <c r="C477" s="135">
        <v>2526110</v>
      </c>
      <c r="D477" s="136" t="s">
        <v>968</v>
      </c>
      <c r="E477" s="137">
        <v>62160</v>
      </c>
      <c r="F477" s="137">
        <v>62160</v>
      </c>
      <c r="G477" s="137" t="s">
        <v>1218</v>
      </c>
      <c r="H477" s="137" t="s">
        <v>1214</v>
      </c>
      <c r="I477" s="135"/>
      <c r="J477" s="138">
        <v>0</v>
      </c>
      <c r="K477" s="133"/>
      <c r="L477" s="133">
        <v>695</v>
      </c>
      <c r="M477" s="139">
        <v>45954</v>
      </c>
      <c r="N477" s="140" t="s">
        <v>1345</v>
      </c>
      <c r="O477" s="134">
        <v>202</v>
      </c>
    </row>
    <row r="478" spans="1:15" x14ac:dyDescent="0.25">
      <c r="A478" s="133">
        <v>478</v>
      </c>
      <c r="B478" s="134" t="s">
        <v>1346</v>
      </c>
      <c r="C478" s="135">
        <v>1181860</v>
      </c>
      <c r="D478" s="136" t="s">
        <v>968</v>
      </c>
      <c r="E478" s="137">
        <v>154720</v>
      </c>
      <c r="F478" s="137">
        <v>138520</v>
      </c>
      <c r="G478" s="137">
        <v>16200</v>
      </c>
      <c r="H478" s="137" t="s">
        <v>1214</v>
      </c>
      <c r="I478" s="135"/>
      <c r="J478" s="138">
        <v>0</v>
      </c>
      <c r="K478" s="133"/>
      <c r="L478" s="133">
        <v>695</v>
      </c>
      <c r="M478" s="139">
        <v>45954</v>
      </c>
      <c r="N478" s="140" t="s">
        <v>1347</v>
      </c>
      <c r="O478" s="134">
        <v>202</v>
      </c>
    </row>
    <row r="479" spans="1:15" x14ac:dyDescent="0.25">
      <c r="A479" s="133">
        <v>479</v>
      </c>
      <c r="B479" s="134" t="s">
        <v>1348</v>
      </c>
      <c r="C479" s="135">
        <v>239050</v>
      </c>
      <c r="D479" s="136" t="s">
        <v>968</v>
      </c>
      <c r="E479" s="137">
        <v>175800</v>
      </c>
      <c r="F479" s="137">
        <v>49800</v>
      </c>
      <c r="G479" s="137">
        <v>126000</v>
      </c>
      <c r="H479" s="137" t="s">
        <v>1214</v>
      </c>
      <c r="I479" s="135"/>
      <c r="J479" s="138">
        <v>0</v>
      </c>
      <c r="K479" s="133"/>
      <c r="L479" s="133">
        <v>695</v>
      </c>
      <c r="M479" s="139">
        <v>45954</v>
      </c>
      <c r="N479" s="140" t="s">
        <v>1349</v>
      </c>
      <c r="O479" s="134">
        <v>303</v>
      </c>
    </row>
    <row r="480" spans="1:15" x14ac:dyDescent="0.25">
      <c r="A480" s="133">
        <v>480</v>
      </c>
      <c r="B480" s="134" t="s">
        <v>1350</v>
      </c>
      <c r="C480" s="135">
        <v>1711108</v>
      </c>
      <c r="D480" s="136" t="s">
        <v>968</v>
      </c>
      <c r="E480" s="137">
        <v>66940</v>
      </c>
      <c r="F480" s="137">
        <v>50740</v>
      </c>
      <c r="G480" s="137">
        <v>16200</v>
      </c>
      <c r="H480" s="137" t="s">
        <v>1214</v>
      </c>
      <c r="I480" s="135"/>
      <c r="J480" s="138">
        <v>0</v>
      </c>
      <c r="K480" s="133"/>
      <c r="L480" s="133">
        <v>695</v>
      </c>
      <c r="M480" s="139">
        <v>45954</v>
      </c>
      <c r="N480" s="140" t="s">
        <v>1351</v>
      </c>
      <c r="O480" s="134">
        <v>202</v>
      </c>
    </row>
    <row r="481" spans="1:15" x14ac:dyDescent="0.25">
      <c r="A481" s="133">
        <v>481</v>
      </c>
      <c r="B481" s="134" t="s">
        <v>1352</v>
      </c>
      <c r="C481" s="135">
        <v>849497</v>
      </c>
      <c r="D481" s="136" t="s">
        <v>968</v>
      </c>
      <c r="E481" s="137">
        <v>21840</v>
      </c>
      <c r="F481" s="137">
        <v>21840</v>
      </c>
      <c r="G481" s="137" t="s">
        <v>1218</v>
      </c>
      <c r="H481" s="137" t="s">
        <v>1214</v>
      </c>
      <c r="I481" s="135"/>
      <c r="J481" s="138">
        <v>0</v>
      </c>
      <c r="K481" s="133"/>
      <c r="L481" s="133">
        <v>695</v>
      </c>
      <c r="M481" s="139">
        <v>45954</v>
      </c>
      <c r="N481" s="140" t="s">
        <v>1353</v>
      </c>
      <c r="O481" s="134">
        <v>102</v>
      </c>
    </row>
    <row r="482" spans="1:15" x14ac:dyDescent="0.25">
      <c r="A482" s="133">
        <v>482</v>
      </c>
      <c r="B482" s="134" t="s">
        <v>1354</v>
      </c>
      <c r="C482" s="135">
        <v>2115131</v>
      </c>
      <c r="D482" s="136" t="s">
        <v>968</v>
      </c>
      <c r="E482" s="137">
        <v>71800</v>
      </c>
      <c r="F482" s="137">
        <v>55600</v>
      </c>
      <c r="G482" s="137">
        <v>16200</v>
      </c>
      <c r="H482" s="137" t="s">
        <v>1214</v>
      </c>
      <c r="I482" s="135"/>
      <c r="J482" s="138">
        <v>0</v>
      </c>
      <c r="K482" s="133"/>
      <c r="L482" s="133">
        <v>695</v>
      </c>
      <c r="M482" s="139">
        <v>45954</v>
      </c>
      <c r="N482" s="140" t="s">
        <v>1355</v>
      </c>
      <c r="O482" s="134">
        <v>202</v>
      </c>
    </row>
    <row r="483" spans="1:15" x14ac:dyDescent="0.25">
      <c r="A483" s="133">
        <v>483</v>
      </c>
      <c r="B483" s="134" t="s">
        <v>1356</v>
      </c>
      <c r="C483" s="135">
        <v>1218310</v>
      </c>
      <c r="D483" s="136" t="s">
        <v>968</v>
      </c>
      <c r="E483" s="137">
        <v>247800</v>
      </c>
      <c r="F483" s="137">
        <v>247800</v>
      </c>
      <c r="G483" s="137" t="s">
        <v>1218</v>
      </c>
      <c r="H483" s="137" t="s">
        <v>1214</v>
      </c>
      <c r="I483" s="135"/>
      <c r="J483" s="138">
        <v>0</v>
      </c>
      <c r="K483" s="133"/>
      <c r="L483" s="133">
        <v>695</v>
      </c>
      <c r="M483" s="139">
        <v>45954</v>
      </c>
      <c r="N483" s="140" t="s">
        <v>1357</v>
      </c>
      <c r="O483" s="134">
        <v>601</v>
      </c>
    </row>
    <row r="484" spans="1:15" x14ac:dyDescent="0.25">
      <c r="A484" s="133">
        <v>484</v>
      </c>
      <c r="B484" s="134" t="s">
        <v>1358</v>
      </c>
      <c r="C484" s="135">
        <v>7656819</v>
      </c>
      <c r="D484" s="136" t="s">
        <v>968</v>
      </c>
      <c r="E484" s="137">
        <v>862960</v>
      </c>
      <c r="F484" s="137">
        <v>134260</v>
      </c>
      <c r="G484" s="137">
        <v>728700</v>
      </c>
      <c r="H484" s="137" t="s">
        <v>1214</v>
      </c>
      <c r="I484" s="135"/>
      <c r="J484" s="138">
        <v>0</v>
      </c>
      <c r="K484" s="133"/>
      <c r="L484" s="133">
        <v>695</v>
      </c>
      <c r="M484" s="139">
        <v>45954</v>
      </c>
      <c r="N484" s="140" t="s">
        <v>1359</v>
      </c>
      <c r="O484" s="134">
        <v>608</v>
      </c>
    </row>
    <row r="485" spans="1:15" x14ac:dyDescent="0.25">
      <c r="A485" s="133">
        <v>485</v>
      </c>
      <c r="B485" s="134" t="s">
        <v>1360</v>
      </c>
      <c r="C485" s="135">
        <v>3954785</v>
      </c>
      <c r="D485" s="136" t="s">
        <v>968</v>
      </c>
      <c r="E485" s="137">
        <v>18600</v>
      </c>
      <c r="F485" s="137">
        <v>18600</v>
      </c>
      <c r="G485" s="137" t="s">
        <v>1218</v>
      </c>
      <c r="H485" s="137" t="s">
        <v>1214</v>
      </c>
      <c r="I485" s="135"/>
      <c r="J485" s="138">
        <v>0</v>
      </c>
      <c r="K485" s="133"/>
      <c r="L485" s="133">
        <v>695</v>
      </c>
      <c r="M485" s="139">
        <v>45954</v>
      </c>
      <c r="N485" s="140" t="s">
        <v>1275</v>
      </c>
      <c r="O485" s="134">
        <v>102</v>
      </c>
    </row>
    <row r="486" spans="1:15" x14ac:dyDescent="0.25">
      <c r="A486" s="133">
        <v>486</v>
      </c>
      <c r="B486" s="134" t="s">
        <v>1361</v>
      </c>
      <c r="C486" s="135">
        <v>2817890</v>
      </c>
      <c r="D486" s="136" t="s">
        <v>968</v>
      </c>
      <c r="E486" s="137">
        <v>2817890</v>
      </c>
      <c r="F486" s="137">
        <v>2817890</v>
      </c>
      <c r="G486" s="137" t="s">
        <v>1218</v>
      </c>
      <c r="H486" s="137" t="s">
        <v>1214</v>
      </c>
      <c r="I486" s="135"/>
      <c r="J486" s="138">
        <v>0</v>
      </c>
      <c r="K486" s="133"/>
      <c r="L486" s="133">
        <v>695</v>
      </c>
      <c r="M486" s="139">
        <v>45954</v>
      </c>
      <c r="N486" s="140" t="s">
        <v>1362</v>
      </c>
      <c r="O486" s="134">
        <v>116</v>
      </c>
    </row>
    <row r="487" spans="1:15" x14ac:dyDescent="0.25">
      <c r="A487" s="133">
        <v>487</v>
      </c>
      <c r="B487" s="134" t="s">
        <v>1363</v>
      </c>
      <c r="C487" s="135">
        <v>6830843</v>
      </c>
      <c r="D487" s="136" t="s">
        <v>968</v>
      </c>
      <c r="E487" s="137">
        <v>888210</v>
      </c>
      <c r="F487" s="137">
        <v>794920</v>
      </c>
      <c r="G487" s="137">
        <v>93290</v>
      </c>
      <c r="H487" s="137" t="s">
        <v>1214</v>
      </c>
      <c r="I487" s="135"/>
      <c r="J487" s="138">
        <v>0</v>
      </c>
      <c r="K487" s="133"/>
      <c r="L487" s="133">
        <v>695</v>
      </c>
      <c r="M487" s="139">
        <v>45954</v>
      </c>
      <c r="N487" s="140" t="s">
        <v>1364</v>
      </c>
      <c r="O487" s="134">
        <v>206</v>
      </c>
    </row>
    <row r="488" spans="1:15" x14ac:dyDescent="0.25">
      <c r="A488" s="133">
        <v>488</v>
      </c>
      <c r="B488" s="134" t="s">
        <v>1365</v>
      </c>
      <c r="C488" s="135">
        <v>9577668</v>
      </c>
      <c r="D488" s="136" t="s">
        <v>968</v>
      </c>
      <c r="E488" s="137">
        <v>2892480</v>
      </c>
      <c r="F488" s="137">
        <v>1211280</v>
      </c>
      <c r="G488" s="137">
        <v>1681200</v>
      </c>
      <c r="H488" s="137" t="s">
        <v>1214</v>
      </c>
      <c r="I488" s="135"/>
      <c r="J488" s="138">
        <v>0</v>
      </c>
      <c r="K488" s="133"/>
      <c r="L488" s="133">
        <v>695</v>
      </c>
      <c r="M488" s="139">
        <v>45954</v>
      </c>
      <c r="N488" s="140" t="s">
        <v>1366</v>
      </c>
      <c r="O488" s="134">
        <v>206</v>
      </c>
    </row>
    <row r="489" spans="1:15" x14ac:dyDescent="0.25">
      <c r="A489" s="133">
        <v>489</v>
      </c>
      <c r="B489" s="134" t="s">
        <v>1367</v>
      </c>
      <c r="C489" s="135">
        <v>2748135</v>
      </c>
      <c r="D489" s="136" t="s">
        <v>968</v>
      </c>
      <c r="E489" s="137">
        <v>9720</v>
      </c>
      <c r="F489" s="137">
        <v>9720</v>
      </c>
      <c r="G489" s="137" t="s">
        <v>1218</v>
      </c>
      <c r="H489" s="137" t="s">
        <v>1214</v>
      </c>
      <c r="I489" s="135"/>
      <c r="J489" s="138">
        <v>0</v>
      </c>
      <c r="K489" s="133"/>
      <c r="L489" s="133">
        <v>695</v>
      </c>
      <c r="M489" s="139">
        <v>45954</v>
      </c>
      <c r="N489" s="140" t="s">
        <v>1249</v>
      </c>
      <c r="O489" s="134">
        <v>106</v>
      </c>
    </row>
    <row r="490" spans="1:15" x14ac:dyDescent="0.25">
      <c r="A490" s="133">
        <v>490</v>
      </c>
      <c r="B490" s="134" t="s">
        <v>1368</v>
      </c>
      <c r="C490" s="135">
        <v>1559515</v>
      </c>
      <c r="D490" s="136" t="s">
        <v>968</v>
      </c>
      <c r="E490" s="137">
        <v>8100</v>
      </c>
      <c r="F490" s="137">
        <v>8100</v>
      </c>
      <c r="G490" s="137" t="s">
        <v>1218</v>
      </c>
      <c r="H490" s="137" t="s">
        <v>1214</v>
      </c>
      <c r="I490" s="135"/>
      <c r="J490" s="138">
        <v>0</v>
      </c>
      <c r="K490" s="133"/>
      <c r="L490" s="133">
        <v>695</v>
      </c>
      <c r="M490" s="139">
        <v>45954</v>
      </c>
      <c r="N490" s="140" t="s">
        <v>1302</v>
      </c>
      <c r="O490" s="134">
        <v>102</v>
      </c>
    </row>
    <row r="491" spans="1:15" x14ac:dyDescent="0.25">
      <c r="A491" s="133">
        <v>491</v>
      </c>
      <c r="B491" s="134" t="s">
        <v>1369</v>
      </c>
      <c r="C491" s="135">
        <v>7788245</v>
      </c>
      <c r="D491" s="136" t="s">
        <v>968</v>
      </c>
      <c r="E491" s="137">
        <v>11340</v>
      </c>
      <c r="F491" s="137">
        <v>11340</v>
      </c>
      <c r="G491" s="137" t="s">
        <v>1218</v>
      </c>
      <c r="H491" s="137" t="s">
        <v>1214</v>
      </c>
      <c r="I491" s="135"/>
      <c r="J491" s="138">
        <v>0</v>
      </c>
      <c r="K491" s="133"/>
      <c r="L491" s="133">
        <v>695</v>
      </c>
      <c r="M491" s="139">
        <v>45954</v>
      </c>
      <c r="N491" s="140" t="s">
        <v>1370</v>
      </c>
      <c r="O491" s="134">
        <v>206</v>
      </c>
    </row>
    <row r="492" spans="1:15" x14ac:dyDescent="0.25">
      <c r="A492" s="133">
        <v>492</v>
      </c>
      <c r="B492" s="134" t="s">
        <v>1371</v>
      </c>
      <c r="C492" s="135">
        <v>6974098</v>
      </c>
      <c r="D492" s="136" t="s">
        <v>968</v>
      </c>
      <c r="E492" s="137">
        <v>797311</v>
      </c>
      <c r="F492" s="137">
        <v>289928</v>
      </c>
      <c r="G492" s="137">
        <v>507383</v>
      </c>
      <c r="H492" s="137" t="s">
        <v>1214</v>
      </c>
      <c r="I492" s="135"/>
      <c r="J492" s="138">
        <v>0</v>
      </c>
      <c r="K492" s="133"/>
      <c r="L492" s="133">
        <v>695</v>
      </c>
      <c r="M492" s="139">
        <v>45954</v>
      </c>
      <c r="N492" s="140" t="s">
        <v>1372</v>
      </c>
      <c r="O492" s="134">
        <v>206</v>
      </c>
    </row>
    <row r="493" spans="1:15" x14ac:dyDescent="0.25">
      <c r="A493" s="133">
        <v>493</v>
      </c>
      <c r="B493" s="134" t="s">
        <v>1373</v>
      </c>
      <c r="C493" s="135">
        <v>15144200</v>
      </c>
      <c r="D493" s="136" t="s">
        <v>968</v>
      </c>
      <c r="E493" s="137">
        <v>2514661</v>
      </c>
      <c r="F493" s="137">
        <v>2514661</v>
      </c>
      <c r="G493" s="137" t="s">
        <v>1218</v>
      </c>
      <c r="H493" s="137" t="s">
        <v>1214</v>
      </c>
      <c r="I493" s="135"/>
      <c r="J493" s="138">
        <v>0</v>
      </c>
      <c r="K493" s="133"/>
      <c r="L493" s="133">
        <v>695</v>
      </c>
      <c r="M493" s="139">
        <v>45954</v>
      </c>
      <c r="N493" s="140" t="s">
        <v>1374</v>
      </c>
      <c r="O493" s="134">
        <v>601</v>
      </c>
    </row>
    <row r="494" spans="1:15" x14ac:dyDescent="0.25">
      <c r="A494" s="133">
        <v>494</v>
      </c>
      <c r="B494" s="134" t="s">
        <v>1375</v>
      </c>
      <c r="C494" s="135">
        <v>724157</v>
      </c>
      <c r="D494" s="136" t="s">
        <v>968</v>
      </c>
      <c r="E494" s="137">
        <v>25080</v>
      </c>
      <c r="F494" s="137">
        <v>25080</v>
      </c>
      <c r="G494" s="137" t="s">
        <v>1218</v>
      </c>
      <c r="H494" s="137" t="s">
        <v>1214</v>
      </c>
      <c r="I494" s="135"/>
      <c r="J494" s="138">
        <v>0</v>
      </c>
      <c r="K494" s="133"/>
      <c r="L494" s="133">
        <v>695</v>
      </c>
      <c r="M494" s="139">
        <v>45954</v>
      </c>
      <c r="N494" s="140" t="s">
        <v>1376</v>
      </c>
      <c r="O494" s="134">
        <v>102</v>
      </c>
    </row>
    <row r="495" spans="1:15" x14ac:dyDescent="0.25">
      <c r="A495" s="133">
        <v>495</v>
      </c>
      <c r="B495" s="134" t="s">
        <v>1377</v>
      </c>
      <c r="C495" s="135">
        <v>1113396</v>
      </c>
      <c r="D495" s="136" t="s">
        <v>968</v>
      </c>
      <c r="E495" s="137">
        <v>29076</v>
      </c>
      <c r="F495" s="137">
        <v>29076</v>
      </c>
      <c r="G495" s="137" t="s">
        <v>1218</v>
      </c>
      <c r="H495" s="137" t="s">
        <v>1214</v>
      </c>
      <c r="I495" s="135"/>
      <c r="J495" s="138">
        <v>0</v>
      </c>
      <c r="K495" s="133"/>
      <c r="L495" s="133">
        <v>695</v>
      </c>
      <c r="M495" s="139">
        <v>45954</v>
      </c>
      <c r="N495" s="140" t="s">
        <v>1378</v>
      </c>
      <c r="O495" s="134">
        <v>102</v>
      </c>
    </row>
    <row r="496" spans="1:15" x14ac:dyDescent="0.25">
      <c r="A496" s="133">
        <v>496</v>
      </c>
      <c r="B496" s="134" t="s">
        <v>1379</v>
      </c>
      <c r="C496" s="135">
        <v>4006120</v>
      </c>
      <c r="D496" s="136" t="s">
        <v>968</v>
      </c>
      <c r="E496" s="137">
        <v>155438</v>
      </c>
      <c r="F496" s="137">
        <v>59317</v>
      </c>
      <c r="G496" s="137">
        <v>96121</v>
      </c>
      <c r="H496" s="137" t="s">
        <v>1214</v>
      </c>
      <c r="I496" s="135"/>
      <c r="J496" s="138">
        <v>0</v>
      </c>
      <c r="K496" s="133"/>
      <c r="L496" s="133">
        <v>695</v>
      </c>
      <c r="M496" s="139">
        <v>45954</v>
      </c>
      <c r="N496" s="140" t="s">
        <v>1380</v>
      </c>
      <c r="O496" s="134">
        <v>206</v>
      </c>
    </row>
    <row r="497" spans="1:15" x14ac:dyDescent="0.25">
      <c r="A497" s="133">
        <v>497</v>
      </c>
      <c r="B497" s="134" t="s">
        <v>1381</v>
      </c>
      <c r="C497" s="135">
        <v>2187700</v>
      </c>
      <c r="D497" s="136" t="s">
        <v>968</v>
      </c>
      <c r="E497" s="137">
        <v>23460</v>
      </c>
      <c r="F497" s="137">
        <v>23460</v>
      </c>
      <c r="G497" s="137" t="s">
        <v>1218</v>
      </c>
      <c r="H497" s="137" t="s">
        <v>1214</v>
      </c>
      <c r="I497" s="135"/>
      <c r="J497" s="138">
        <v>0</v>
      </c>
      <c r="K497" s="133"/>
      <c r="L497" s="133">
        <v>695</v>
      </c>
      <c r="M497" s="139">
        <v>45954</v>
      </c>
      <c r="N497" s="140" t="s">
        <v>1382</v>
      </c>
      <c r="O497" s="134">
        <v>102</v>
      </c>
    </row>
    <row r="498" spans="1:15" x14ac:dyDescent="0.25">
      <c r="A498" s="133">
        <v>498</v>
      </c>
      <c r="B498" s="134" t="s">
        <v>1383</v>
      </c>
      <c r="C498" s="135">
        <v>924360</v>
      </c>
      <c r="D498" s="136" t="s">
        <v>968</v>
      </c>
      <c r="E498" s="137">
        <v>63700</v>
      </c>
      <c r="F498" s="137">
        <v>63700</v>
      </c>
      <c r="G498" s="137" t="s">
        <v>1218</v>
      </c>
      <c r="H498" s="137" t="s">
        <v>1214</v>
      </c>
      <c r="I498" s="135"/>
      <c r="J498" s="138">
        <v>0</v>
      </c>
      <c r="K498" s="133"/>
      <c r="L498" s="133">
        <v>695</v>
      </c>
      <c r="M498" s="139">
        <v>45954</v>
      </c>
      <c r="N498" s="140" t="s">
        <v>1384</v>
      </c>
      <c r="O498" s="134">
        <v>202</v>
      </c>
    </row>
    <row r="499" spans="1:15" x14ac:dyDescent="0.25">
      <c r="A499" s="133">
        <v>499</v>
      </c>
      <c r="B499" s="134" t="s">
        <v>1385</v>
      </c>
      <c r="C499" s="135">
        <v>1193100</v>
      </c>
      <c r="D499" s="136" t="s">
        <v>968</v>
      </c>
      <c r="E499" s="137">
        <v>247800</v>
      </c>
      <c r="F499" s="137">
        <v>247800</v>
      </c>
      <c r="G499" s="137" t="s">
        <v>1218</v>
      </c>
      <c r="H499" s="137" t="s">
        <v>1214</v>
      </c>
      <c r="I499" s="135"/>
      <c r="J499" s="138">
        <v>0</v>
      </c>
      <c r="K499" s="133"/>
      <c r="L499" s="133">
        <v>695</v>
      </c>
      <c r="M499" s="139">
        <v>45954</v>
      </c>
      <c r="N499" s="140" t="s">
        <v>1386</v>
      </c>
      <c r="O499" s="134">
        <v>601</v>
      </c>
    </row>
    <row r="500" spans="1:15" x14ac:dyDescent="0.25">
      <c r="A500" s="133">
        <v>500</v>
      </c>
      <c r="B500" s="134" t="s">
        <v>1387</v>
      </c>
      <c r="C500" s="135">
        <v>3721800</v>
      </c>
      <c r="D500" s="136" t="s">
        <v>968</v>
      </c>
      <c r="E500" s="137">
        <v>8560</v>
      </c>
      <c r="F500" s="137">
        <v>8560</v>
      </c>
      <c r="G500" s="137" t="s">
        <v>1218</v>
      </c>
      <c r="H500" s="137" t="s">
        <v>1214</v>
      </c>
      <c r="I500" s="135"/>
      <c r="J500" s="138">
        <v>0</v>
      </c>
      <c r="K500" s="133"/>
      <c r="L500" s="133">
        <v>695</v>
      </c>
      <c r="M500" s="139">
        <v>45954</v>
      </c>
      <c r="N500" s="140" t="s">
        <v>1388</v>
      </c>
      <c r="O500" s="134">
        <v>106</v>
      </c>
    </row>
    <row r="501" spans="1:15" x14ac:dyDescent="0.25">
      <c r="A501" s="133">
        <v>501</v>
      </c>
      <c r="B501" s="134" t="s">
        <v>1389</v>
      </c>
      <c r="C501" s="135">
        <v>2337020</v>
      </c>
      <c r="D501" s="136" t="s">
        <v>968</v>
      </c>
      <c r="E501" s="137">
        <v>28320</v>
      </c>
      <c r="F501" s="137">
        <v>28320</v>
      </c>
      <c r="G501" s="137" t="s">
        <v>1218</v>
      </c>
      <c r="H501" s="137" t="s">
        <v>1214</v>
      </c>
      <c r="I501" s="135"/>
      <c r="J501" s="138">
        <v>0</v>
      </c>
      <c r="K501" s="133"/>
      <c r="L501" s="133">
        <v>695</v>
      </c>
      <c r="M501" s="139">
        <v>45954</v>
      </c>
      <c r="N501" s="140" t="s">
        <v>1390</v>
      </c>
      <c r="O501" s="134">
        <v>102</v>
      </c>
    </row>
    <row r="502" spans="1:15" x14ac:dyDescent="0.25">
      <c r="A502" s="133">
        <v>502</v>
      </c>
      <c r="B502" s="134" t="s">
        <v>1391</v>
      </c>
      <c r="C502" s="135">
        <v>3486220</v>
      </c>
      <c r="D502" s="136" t="s">
        <v>968</v>
      </c>
      <c r="E502" s="137">
        <v>49960</v>
      </c>
      <c r="F502" s="137">
        <v>33760</v>
      </c>
      <c r="G502" s="137">
        <v>16200</v>
      </c>
      <c r="H502" s="137" t="s">
        <v>1214</v>
      </c>
      <c r="I502" s="135"/>
      <c r="J502" s="138">
        <v>0</v>
      </c>
      <c r="K502" s="133"/>
      <c r="L502" s="133">
        <v>695</v>
      </c>
      <c r="M502" s="139">
        <v>45954</v>
      </c>
      <c r="N502" s="140" t="s">
        <v>1392</v>
      </c>
      <c r="O502" s="134">
        <v>202</v>
      </c>
    </row>
    <row r="503" spans="1:15" x14ac:dyDescent="0.25">
      <c r="A503" s="133">
        <v>503</v>
      </c>
      <c r="B503" s="134" t="s">
        <v>1393</v>
      </c>
      <c r="C503" s="135">
        <v>1617800</v>
      </c>
      <c r="D503" s="136" t="s">
        <v>968</v>
      </c>
      <c r="E503" s="137">
        <v>3240</v>
      </c>
      <c r="F503" s="137">
        <v>3240</v>
      </c>
      <c r="G503" s="137" t="s">
        <v>1218</v>
      </c>
      <c r="H503" s="137" t="s">
        <v>1214</v>
      </c>
      <c r="I503" s="135"/>
      <c r="J503" s="138">
        <v>0</v>
      </c>
      <c r="K503" s="133"/>
      <c r="L503" s="133">
        <v>695</v>
      </c>
      <c r="M503" s="139">
        <v>45954</v>
      </c>
      <c r="N503" s="140" t="s">
        <v>1320</v>
      </c>
      <c r="O503" s="134">
        <v>106</v>
      </c>
    </row>
    <row r="504" spans="1:15" x14ac:dyDescent="0.25">
      <c r="A504" s="133">
        <v>504</v>
      </c>
      <c r="B504" s="134" t="s">
        <v>1394</v>
      </c>
      <c r="C504" s="135">
        <v>2380147</v>
      </c>
      <c r="D504" s="136" t="s">
        <v>968</v>
      </c>
      <c r="E504" s="137">
        <v>3240</v>
      </c>
      <c r="F504" s="137">
        <v>3240</v>
      </c>
      <c r="G504" s="137" t="s">
        <v>1218</v>
      </c>
      <c r="H504" s="137" t="s">
        <v>1214</v>
      </c>
      <c r="I504" s="135"/>
      <c r="J504" s="138">
        <v>0</v>
      </c>
      <c r="K504" s="133"/>
      <c r="L504" s="133">
        <v>695</v>
      </c>
      <c r="M504" s="139">
        <v>45954</v>
      </c>
      <c r="N504" s="140" t="s">
        <v>1262</v>
      </c>
      <c r="O504" s="134">
        <v>106</v>
      </c>
    </row>
    <row r="505" spans="1:15" x14ac:dyDescent="0.25">
      <c r="A505" s="133">
        <v>505</v>
      </c>
      <c r="B505" s="134" t="s">
        <v>1395</v>
      </c>
      <c r="C505" s="135">
        <v>3548820</v>
      </c>
      <c r="D505" s="136" t="s">
        <v>968</v>
      </c>
      <c r="E505" s="137">
        <v>153180</v>
      </c>
      <c r="F505" s="137">
        <v>153180</v>
      </c>
      <c r="G505" s="137" t="s">
        <v>1218</v>
      </c>
      <c r="H505" s="137" t="s">
        <v>1214</v>
      </c>
      <c r="I505" s="135"/>
      <c r="J505" s="138">
        <v>0</v>
      </c>
      <c r="K505" s="133"/>
      <c r="L505" s="133">
        <v>695</v>
      </c>
      <c r="M505" s="139">
        <v>45954</v>
      </c>
      <c r="N505" s="140" t="s">
        <v>1396</v>
      </c>
      <c r="O505" s="134">
        <v>208</v>
      </c>
    </row>
    <row r="506" spans="1:15" x14ac:dyDescent="0.25">
      <c r="A506" s="133">
        <v>506</v>
      </c>
      <c r="B506" s="134" t="s">
        <v>1397</v>
      </c>
      <c r="C506" s="135">
        <v>6046920</v>
      </c>
      <c r="D506" s="136" t="s">
        <v>968</v>
      </c>
      <c r="E506" s="137">
        <v>1561920</v>
      </c>
      <c r="F506" s="137">
        <v>1066320</v>
      </c>
      <c r="G506" s="137">
        <v>495600</v>
      </c>
      <c r="H506" s="137" t="s">
        <v>1214</v>
      </c>
      <c r="I506" s="135"/>
      <c r="J506" s="138">
        <v>0</v>
      </c>
      <c r="K506" s="133"/>
      <c r="L506" s="133">
        <v>695</v>
      </c>
      <c r="M506" s="139">
        <v>45954</v>
      </c>
      <c r="N506" s="140" t="s">
        <v>1398</v>
      </c>
      <c r="O506" s="134">
        <v>601</v>
      </c>
    </row>
    <row r="507" spans="1:15" x14ac:dyDescent="0.25">
      <c r="A507" s="133">
        <v>507</v>
      </c>
      <c r="B507" s="134" t="s">
        <v>1399</v>
      </c>
      <c r="C507" s="135">
        <v>1612077</v>
      </c>
      <c r="D507" s="136" t="s">
        <v>968</v>
      </c>
      <c r="E507" s="137">
        <v>495600</v>
      </c>
      <c r="F507" s="137">
        <v>247800</v>
      </c>
      <c r="G507" s="137">
        <v>247800</v>
      </c>
      <c r="H507" s="137" t="s">
        <v>1214</v>
      </c>
      <c r="I507" s="135"/>
      <c r="J507" s="138">
        <v>0</v>
      </c>
      <c r="K507" s="133"/>
      <c r="L507" s="133">
        <v>695</v>
      </c>
      <c r="M507" s="139">
        <v>45954</v>
      </c>
      <c r="N507" s="140" t="s">
        <v>1400</v>
      </c>
      <c r="O507" s="134">
        <v>601</v>
      </c>
    </row>
    <row r="508" spans="1:15" x14ac:dyDescent="0.25">
      <c r="A508" s="133">
        <v>508</v>
      </c>
      <c r="B508" s="134" t="s">
        <v>1401</v>
      </c>
      <c r="C508" s="135">
        <v>1236500</v>
      </c>
      <c r="D508" s="136" t="s">
        <v>968</v>
      </c>
      <c r="E508" s="137">
        <v>45100</v>
      </c>
      <c r="F508" s="137">
        <v>28900</v>
      </c>
      <c r="G508" s="137">
        <v>16200</v>
      </c>
      <c r="H508" s="137" t="s">
        <v>1214</v>
      </c>
      <c r="I508" s="135"/>
      <c r="J508" s="138">
        <v>0</v>
      </c>
      <c r="K508" s="133"/>
      <c r="L508" s="133">
        <v>695</v>
      </c>
      <c r="M508" s="139">
        <v>45954</v>
      </c>
      <c r="N508" s="140" t="s">
        <v>1402</v>
      </c>
      <c r="O508" s="134">
        <v>202</v>
      </c>
    </row>
    <row r="509" spans="1:15" x14ac:dyDescent="0.25">
      <c r="A509" s="133">
        <v>509</v>
      </c>
      <c r="B509" s="134" t="s">
        <v>1403</v>
      </c>
      <c r="C509" s="135">
        <v>5489822</v>
      </c>
      <c r="D509" s="136" t="s">
        <v>968</v>
      </c>
      <c r="E509" s="137">
        <v>48630</v>
      </c>
      <c r="F509" s="137">
        <v>48630</v>
      </c>
      <c r="G509" s="137" t="s">
        <v>1218</v>
      </c>
      <c r="H509" s="137" t="s">
        <v>1214</v>
      </c>
      <c r="I509" s="135"/>
      <c r="J509" s="138">
        <v>0</v>
      </c>
      <c r="K509" s="133"/>
      <c r="L509" s="133">
        <v>695</v>
      </c>
      <c r="M509" s="139">
        <v>45954</v>
      </c>
      <c r="N509" s="140" t="s">
        <v>1404</v>
      </c>
      <c r="O509" s="134">
        <v>608</v>
      </c>
    </row>
    <row r="510" spans="1:15" x14ac:dyDescent="0.25">
      <c r="A510" s="133">
        <v>510</v>
      </c>
      <c r="B510" s="134" t="s">
        <v>1405</v>
      </c>
      <c r="C510" s="135">
        <v>552740</v>
      </c>
      <c r="D510" s="136" t="s">
        <v>968</v>
      </c>
      <c r="E510" s="137">
        <v>38910</v>
      </c>
      <c r="F510" s="137">
        <v>38910</v>
      </c>
      <c r="G510" s="137" t="s">
        <v>1218</v>
      </c>
      <c r="H510" s="137" t="s">
        <v>1214</v>
      </c>
      <c r="I510" s="135"/>
      <c r="J510" s="138">
        <v>0</v>
      </c>
      <c r="K510" s="133"/>
      <c r="L510" s="133">
        <v>695</v>
      </c>
      <c r="M510" s="139">
        <v>45954</v>
      </c>
      <c r="N510" s="140" t="s">
        <v>1406</v>
      </c>
      <c r="O510" s="134">
        <v>108</v>
      </c>
    </row>
    <row r="511" spans="1:15" x14ac:dyDescent="0.25">
      <c r="A511" s="133">
        <v>511</v>
      </c>
      <c r="B511" s="134" t="s">
        <v>1407</v>
      </c>
      <c r="C511" s="135">
        <v>177820</v>
      </c>
      <c r="D511" s="136" t="s">
        <v>968</v>
      </c>
      <c r="E511" s="137">
        <v>20775</v>
      </c>
      <c r="F511" s="137">
        <v>8100</v>
      </c>
      <c r="G511" s="137">
        <v>12675</v>
      </c>
      <c r="H511" s="137" t="s">
        <v>1214</v>
      </c>
      <c r="I511" s="135"/>
      <c r="J511" s="138">
        <v>0</v>
      </c>
      <c r="K511" s="133"/>
      <c r="L511" s="133">
        <v>695</v>
      </c>
      <c r="M511" s="139">
        <v>45954</v>
      </c>
      <c r="N511" s="140" t="s">
        <v>1408</v>
      </c>
      <c r="O511" s="134">
        <v>308</v>
      </c>
    </row>
    <row r="512" spans="1:15" x14ac:dyDescent="0.25">
      <c r="A512" s="133">
        <v>512</v>
      </c>
      <c r="B512" s="134" t="s">
        <v>1409</v>
      </c>
      <c r="C512" s="135">
        <v>3577608</v>
      </c>
      <c r="D512" s="136" t="s">
        <v>968</v>
      </c>
      <c r="E512" s="137">
        <v>183660</v>
      </c>
      <c r="F512" s="137">
        <v>183660</v>
      </c>
      <c r="G512" s="137" t="s">
        <v>1218</v>
      </c>
      <c r="H512" s="137" t="s">
        <v>1214</v>
      </c>
      <c r="I512" s="135"/>
      <c r="J512" s="138">
        <v>0</v>
      </c>
      <c r="K512" s="133"/>
      <c r="L512" s="133">
        <v>695</v>
      </c>
      <c r="M512" s="139">
        <v>45954</v>
      </c>
      <c r="N512" s="140" t="s">
        <v>1410</v>
      </c>
      <c r="O512" s="134">
        <v>208</v>
      </c>
    </row>
    <row r="513" spans="1:15" x14ac:dyDescent="0.25">
      <c r="A513" s="133">
        <v>513</v>
      </c>
      <c r="B513" s="134" t="s">
        <v>1411</v>
      </c>
      <c r="C513" s="135">
        <v>72027797</v>
      </c>
      <c r="D513" s="136" t="s">
        <v>968</v>
      </c>
      <c r="E513" s="137">
        <v>2958262</v>
      </c>
      <c r="F513" s="137">
        <v>1449740</v>
      </c>
      <c r="G513" s="137">
        <v>0</v>
      </c>
      <c r="H513" s="137">
        <v>1508522</v>
      </c>
      <c r="I513" s="135"/>
      <c r="J513" s="138">
        <v>0</v>
      </c>
      <c r="K513" s="133"/>
      <c r="L513" s="133">
        <v>704</v>
      </c>
      <c r="M513" s="139">
        <v>46044</v>
      </c>
      <c r="N513" s="140" t="s">
        <v>1412</v>
      </c>
      <c r="O513" s="134">
        <v>206</v>
      </c>
    </row>
    <row r="514" spans="1:15" x14ac:dyDescent="0.25">
      <c r="A514" s="133">
        <v>514</v>
      </c>
      <c r="B514" s="134" t="s">
        <v>1413</v>
      </c>
      <c r="C514" s="135">
        <v>31482475</v>
      </c>
      <c r="D514" s="136" t="s">
        <v>968</v>
      </c>
      <c r="E514" s="137">
        <v>1883467</v>
      </c>
      <c r="F514" s="137">
        <v>0</v>
      </c>
      <c r="G514" s="137">
        <v>560200</v>
      </c>
      <c r="H514" s="137">
        <v>1323267</v>
      </c>
      <c r="I514" s="135"/>
      <c r="J514" s="138">
        <v>0</v>
      </c>
      <c r="K514" s="133"/>
      <c r="L514" s="133">
        <v>704</v>
      </c>
      <c r="M514" s="139">
        <v>46044</v>
      </c>
      <c r="N514" s="140" t="s">
        <v>1414</v>
      </c>
      <c r="O514" s="134">
        <v>601</v>
      </c>
    </row>
    <row r="515" spans="1:15" x14ac:dyDescent="0.25">
      <c r="A515" s="133">
        <v>515</v>
      </c>
      <c r="B515" s="134" t="s">
        <v>1415</v>
      </c>
      <c r="C515" s="135">
        <v>68100</v>
      </c>
      <c r="D515" s="136" t="s">
        <v>968</v>
      </c>
      <c r="E515" s="137">
        <v>68100</v>
      </c>
      <c r="F515" s="137"/>
      <c r="G515" s="137">
        <v>68100</v>
      </c>
      <c r="H515" s="137">
        <v>0</v>
      </c>
      <c r="I515" s="135"/>
      <c r="J515" s="138">
        <v>0</v>
      </c>
      <c r="K515" s="133"/>
      <c r="L515" s="133">
        <v>705</v>
      </c>
      <c r="M515" s="139">
        <v>46041</v>
      </c>
      <c r="N515" s="140" t="s">
        <v>1029</v>
      </c>
      <c r="O515" s="134" t="s">
        <v>1416</v>
      </c>
    </row>
    <row r="516" spans="1:15" x14ac:dyDescent="0.25">
      <c r="A516" s="133">
        <v>516</v>
      </c>
      <c r="B516" s="134" t="s">
        <v>1417</v>
      </c>
      <c r="C516" s="135">
        <v>162700</v>
      </c>
      <c r="D516" s="136" t="s">
        <v>968</v>
      </c>
      <c r="E516" s="137">
        <v>162700</v>
      </c>
      <c r="F516" s="137"/>
      <c r="G516" s="137">
        <v>162700</v>
      </c>
      <c r="H516" s="137">
        <v>0</v>
      </c>
      <c r="I516" s="135"/>
      <c r="J516" s="138">
        <v>0</v>
      </c>
      <c r="K516" s="133"/>
      <c r="L516" s="133">
        <v>705</v>
      </c>
      <c r="M516" s="139">
        <v>46041</v>
      </c>
      <c r="N516" s="140" t="s">
        <v>1029</v>
      </c>
      <c r="O516" s="134" t="s">
        <v>1418</v>
      </c>
    </row>
    <row r="517" spans="1:15" x14ac:dyDescent="0.25">
      <c r="A517" s="133">
        <v>517</v>
      </c>
      <c r="B517" s="134" t="s">
        <v>1419</v>
      </c>
      <c r="C517" s="135">
        <v>57700</v>
      </c>
      <c r="D517" s="136" t="s">
        <v>968</v>
      </c>
      <c r="E517" s="137">
        <v>57700</v>
      </c>
      <c r="F517" s="137">
        <v>5700</v>
      </c>
      <c r="G517" s="137">
        <v>52000</v>
      </c>
      <c r="H517" s="137">
        <v>0</v>
      </c>
      <c r="I517" s="135"/>
      <c r="J517" s="138">
        <v>0</v>
      </c>
      <c r="K517" s="133"/>
      <c r="L517" s="133">
        <v>705</v>
      </c>
      <c r="M517" s="139">
        <v>46041</v>
      </c>
      <c r="N517" s="140" t="s">
        <v>1420</v>
      </c>
      <c r="O517" s="134" t="s">
        <v>1418</v>
      </c>
    </row>
    <row r="518" spans="1:15" x14ac:dyDescent="0.25">
      <c r="A518" s="133">
        <v>518</v>
      </c>
      <c r="B518" s="134" t="s">
        <v>1421</v>
      </c>
      <c r="C518" s="135">
        <v>509400</v>
      </c>
      <c r="D518" s="136" t="s">
        <v>968</v>
      </c>
      <c r="E518" s="137">
        <v>61900</v>
      </c>
      <c r="F518" s="137">
        <v>21300</v>
      </c>
      <c r="G518" s="137">
        <v>40600</v>
      </c>
      <c r="H518" s="137">
        <v>0</v>
      </c>
      <c r="I518" s="135"/>
      <c r="J518" s="138">
        <v>0</v>
      </c>
      <c r="K518" s="133"/>
      <c r="L518" s="133">
        <v>698</v>
      </c>
      <c r="M518" s="139">
        <v>46041</v>
      </c>
      <c r="N518" s="140" t="s">
        <v>1422</v>
      </c>
      <c r="O518" s="134">
        <v>208</v>
      </c>
    </row>
    <row r="519" spans="1:15" x14ac:dyDescent="0.25">
      <c r="A519" s="133">
        <v>519</v>
      </c>
      <c r="B519" s="134" t="s">
        <v>1423</v>
      </c>
      <c r="C519" s="135">
        <v>3766125</v>
      </c>
      <c r="D519" s="136" t="s">
        <v>968</v>
      </c>
      <c r="E519" s="137">
        <v>174600</v>
      </c>
      <c r="F519" s="137">
        <v>0</v>
      </c>
      <c r="G519" s="137">
        <v>174600</v>
      </c>
      <c r="H519" s="137">
        <v>0</v>
      </c>
      <c r="I519" s="135"/>
      <c r="J519" s="138">
        <v>0</v>
      </c>
      <c r="K519" s="133"/>
      <c r="L519" s="133">
        <v>711</v>
      </c>
      <c r="M519" s="139">
        <v>46038</v>
      </c>
      <c r="N519" s="140" t="s">
        <v>1029</v>
      </c>
      <c r="O519" s="134" t="s">
        <v>237</v>
      </c>
    </row>
    <row r="520" spans="1:15" x14ac:dyDescent="0.25">
      <c r="A520" s="133">
        <v>520</v>
      </c>
      <c r="B520" s="134" t="s">
        <v>1424</v>
      </c>
      <c r="C520" s="135">
        <v>437500</v>
      </c>
      <c r="D520" s="136" t="s">
        <v>968</v>
      </c>
      <c r="E520" s="137">
        <v>437500</v>
      </c>
      <c r="F520" s="137">
        <v>437500</v>
      </c>
      <c r="G520" s="137">
        <v>0</v>
      </c>
      <c r="H520" s="137">
        <v>0</v>
      </c>
      <c r="I520" s="135"/>
      <c r="J520" s="138">
        <v>0</v>
      </c>
      <c r="K520" s="133"/>
      <c r="L520" s="133">
        <v>710</v>
      </c>
      <c r="M520" s="139">
        <v>46042</v>
      </c>
      <c r="N520" s="140" t="s">
        <v>1425</v>
      </c>
      <c r="O520" s="134" t="s">
        <v>1426</v>
      </c>
    </row>
    <row r="521" spans="1:15" x14ac:dyDescent="0.25">
      <c r="A521" s="133">
        <v>521</v>
      </c>
      <c r="B521" s="134" t="s">
        <v>1427</v>
      </c>
      <c r="C521" s="135">
        <v>2749460</v>
      </c>
      <c r="D521" s="136" t="s">
        <v>968</v>
      </c>
      <c r="E521" s="137">
        <v>132000</v>
      </c>
      <c r="F521" s="137">
        <v>23400</v>
      </c>
      <c r="G521" s="137">
        <v>108600</v>
      </c>
      <c r="H521" s="137">
        <v>0</v>
      </c>
      <c r="I521" s="135"/>
      <c r="J521" s="138">
        <v>0</v>
      </c>
      <c r="K521" s="133"/>
      <c r="L521" s="133">
        <v>712</v>
      </c>
      <c r="M521" s="139">
        <v>46038</v>
      </c>
      <c r="N521" s="140" t="s">
        <v>1428</v>
      </c>
      <c r="O521" s="134" t="s">
        <v>212</v>
      </c>
    </row>
    <row r="522" spans="1:15" x14ac:dyDescent="0.25">
      <c r="A522" s="133">
        <v>522</v>
      </c>
      <c r="B522" s="134" t="s">
        <v>1429</v>
      </c>
      <c r="C522" s="135">
        <v>15970654</v>
      </c>
      <c r="D522" s="136" t="s">
        <v>968</v>
      </c>
      <c r="E522" s="137">
        <v>112000</v>
      </c>
      <c r="F522" s="137">
        <v>112000</v>
      </c>
      <c r="G522" s="137">
        <v>0</v>
      </c>
      <c r="H522" s="137">
        <v>0</v>
      </c>
      <c r="I522" s="135"/>
      <c r="J522" s="138">
        <v>0</v>
      </c>
      <c r="K522" s="133"/>
      <c r="L522" s="133">
        <v>703</v>
      </c>
      <c r="M522" s="139">
        <v>46038</v>
      </c>
      <c r="N522" s="140" t="s">
        <v>1430</v>
      </c>
      <c r="O522" s="134" t="s">
        <v>208</v>
      </c>
    </row>
    <row r="523" spans="1:15" x14ac:dyDescent="0.25">
      <c r="A523" s="133">
        <v>523</v>
      </c>
      <c r="B523" s="134" t="s">
        <v>1431</v>
      </c>
      <c r="C523" s="135">
        <v>1873926</v>
      </c>
      <c r="D523" s="136" t="s">
        <v>968</v>
      </c>
      <c r="E523" s="137">
        <v>398600</v>
      </c>
      <c r="F523" s="137">
        <v>0</v>
      </c>
      <c r="G523" s="137">
        <v>0</v>
      </c>
      <c r="H523" s="137">
        <v>398600</v>
      </c>
      <c r="I523" s="135"/>
      <c r="J523" s="138">
        <v>0</v>
      </c>
      <c r="K523" s="133"/>
      <c r="L523" s="133">
        <v>697</v>
      </c>
      <c r="M523" s="139">
        <v>46043</v>
      </c>
      <c r="N523" s="140" t="s">
        <v>1432</v>
      </c>
      <c r="O523" s="134" t="s">
        <v>194</v>
      </c>
    </row>
    <row r="524" spans="1:15" x14ac:dyDescent="0.25">
      <c r="A524" s="133">
        <v>524</v>
      </c>
      <c r="B524" s="134" t="s">
        <v>1433</v>
      </c>
      <c r="C524" s="135">
        <v>66415326</v>
      </c>
      <c r="D524" s="136" t="s">
        <v>968</v>
      </c>
      <c r="E524" s="137">
        <v>1854950</v>
      </c>
      <c r="F524" s="137">
        <v>1505750</v>
      </c>
      <c r="G524" s="137">
        <v>349200</v>
      </c>
      <c r="H524" s="137">
        <v>0</v>
      </c>
      <c r="I524" s="135"/>
      <c r="J524" s="138">
        <v>0</v>
      </c>
      <c r="K524" s="133"/>
      <c r="L524" s="133">
        <v>706</v>
      </c>
      <c r="M524" s="139">
        <v>46043</v>
      </c>
      <c r="N524" s="140" t="s">
        <v>1434</v>
      </c>
      <c r="O524" s="134" t="s">
        <v>237</v>
      </c>
    </row>
    <row r="525" spans="1:15" x14ac:dyDescent="0.25">
      <c r="A525" s="133">
        <v>525</v>
      </c>
      <c r="B525" s="134" t="s">
        <v>1435</v>
      </c>
      <c r="C525" s="135">
        <v>42967790</v>
      </c>
      <c r="D525" s="136" t="s">
        <v>968</v>
      </c>
      <c r="E525" s="137">
        <v>6590574</v>
      </c>
      <c r="F525" s="137">
        <v>5846894</v>
      </c>
      <c r="G525" s="137">
        <v>743680</v>
      </c>
      <c r="H525" s="137">
        <v>0</v>
      </c>
      <c r="I525" s="135"/>
      <c r="J525" s="138">
        <v>0</v>
      </c>
      <c r="K525" s="133"/>
      <c r="L525" s="133">
        <v>714</v>
      </c>
      <c r="M525" s="139">
        <v>46048</v>
      </c>
      <c r="N525" s="140" t="s">
        <v>1436</v>
      </c>
      <c r="O525" s="134">
        <v>206</v>
      </c>
    </row>
    <row r="526" spans="1:15" x14ac:dyDescent="0.25">
      <c r="A526" s="133">
        <v>526</v>
      </c>
      <c r="B526" s="134" t="s">
        <v>1437</v>
      </c>
      <c r="C526" s="135">
        <v>25820346</v>
      </c>
      <c r="D526" s="136" t="s">
        <v>968</v>
      </c>
      <c r="E526" s="137">
        <v>490560</v>
      </c>
      <c r="F526" s="137">
        <v>328470</v>
      </c>
      <c r="G526" s="137">
        <v>162090</v>
      </c>
      <c r="H526" s="137">
        <v>0</v>
      </c>
      <c r="I526" s="135"/>
      <c r="J526" s="138">
        <v>0</v>
      </c>
      <c r="K526" s="133"/>
      <c r="L526" s="133">
        <v>714</v>
      </c>
      <c r="M526" s="139">
        <v>46048</v>
      </c>
      <c r="N526" s="140" t="s">
        <v>1438</v>
      </c>
      <c r="O526" s="134">
        <v>207</v>
      </c>
    </row>
    <row r="527" spans="1:15" x14ac:dyDescent="0.25">
      <c r="A527" s="133">
        <v>527</v>
      </c>
      <c r="B527" s="134" t="s">
        <v>1439</v>
      </c>
      <c r="C527" s="135">
        <v>17590507</v>
      </c>
      <c r="D527" s="136" t="s">
        <v>968</v>
      </c>
      <c r="E527" s="137">
        <v>680000</v>
      </c>
      <c r="F527" s="137">
        <v>0</v>
      </c>
      <c r="G527" s="137">
        <v>680000</v>
      </c>
      <c r="H527" s="137">
        <v>0</v>
      </c>
      <c r="I527" s="135"/>
      <c r="J527" s="138">
        <v>0</v>
      </c>
      <c r="K527" s="133"/>
      <c r="L527" s="133">
        <v>714</v>
      </c>
      <c r="M527" s="139">
        <v>46048</v>
      </c>
      <c r="N527" s="140" t="s">
        <v>950</v>
      </c>
      <c r="O527" s="134">
        <v>123</v>
      </c>
    </row>
    <row r="528" spans="1:15" x14ac:dyDescent="0.25">
      <c r="A528" s="133">
        <v>528</v>
      </c>
      <c r="B528" s="134" t="s">
        <v>1440</v>
      </c>
      <c r="C528" s="135">
        <v>59345445</v>
      </c>
      <c r="D528" s="136" t="s">
        <v>968</v>
      </c>
      <c r="E528" s="137">
        <v>17092341</v>
      </c>
      <c r="F528" s="137">
        <v>4072977</v>
      </c>
      <c r="G528" s="137">
        <v>13019364</v>
      </c>
      <c r="H528" s="137">
        <v>0</v>
      </c>
      <c r="I528" s="135"/>
      <c r="J528" s="138">
        <v>0</v>
      </c>
      <c r="K528" s="133"/>
      <c r="L528" s="133">
        <v>714</v>
      </c>
      <c r="M528" s="139">
        <v>46048</v>
      </c>
      <c r="N528" s="140" t="s">
        <v>1441</v>
      </c>
      <c r="O528" s="134">
        <v>206</v>
      </c>
    </row>
    <row r="529" spans="1:15" x14ac:dyDescent="0.25">
      <c r="A529" s="133">
        <v>529</v>
      </c>
      <c r="B529" s="134" t="s">
        <v>1442</v>
      </c>
      <c r="C529" s="135">
        <v>60259128</v>
      </c>
      <c r="D529" s="136" t="s">
        <v>968</v>
      </c>
      <c r="E529" s="137">
        <v>1959800</v>
      </c>
      <c r="F529" s="137">
        <v>1317260</v>
      </c>
      <c r="G529" s="137">
        <v>642540</v>
      </c>
      <c r="H529" s="137">
        <v>0</v>
      </c>
      <c r="I529" s="135"/>
      <c r="J529" s="138">
        <v>0</v>
      </c>
      <c r="K529" s="133"/>
      <c r="L529" s="133">
        <v>714</v>
      </c>
      <c r="M529" s="139">
        <v>46048</v>
      </c>
      <c r="N529" s="140" t="s">
        <v>1443</v>
      </c>
      <c r="O529" s="134">
        <v>206</v>
      </c>
    </row>
    <row r="530" spans="1:15" x14ac:dyDescent="0.25">
      <c r="A530" s="133">
        <v>530</v>
      </c>
      <c r="B530" s="134" t="s">
        <v>1444</v>
      </c>
      <c r="C530" s="135">
        <v>534300</v>
      </c>
      <c r="D530" s="136" t="s">
        <v>968</v>
      </c>
      <c r="E530" s="137">
        <v>45900</v>
      </c>
      <c r="F530" s="137">
        <v>0</v>
      </c>
      <c r="G530" s="137">
        <v>45900</v>
      </c>
      <c r="H530" s="137">
        <v>0</v>
      </c>
      <c r="I530" s="135"/>
      <c r="J530" s="138">
        <v>0</v>
      </c>
      <c r="K530" s="133"/>
      <c r="L530" s="133">
        <v>716</v>
      </c>
      <c r="M530" s="139">
        <v>46043</v>
      </c>
      <c r="N530" s="140" t="s">
        <v>1029</v>
      </c>
      <c r="O530" s="134" t="s">
        <v>190</v>
      </c>
    </row>
    <row r="531" spans="1:15" x14ac:dyDescent="0.25">
      <c r="A531" s="133">
        <v>531</v>
      </c>
      <c r="B531" s="134" t="s">
        <v>1445</v>
      </c>
      <c r="C531" s="135">
        <v>5722300</v>
      </c>
      <c r="D531" s="136" t="s">
        <v>968</v>
      </c>
      <c r="E531" s="137">
        <v>294600</v>
      </c>
      <c r="F531" s="137">
        <v>294600</v>
      </c>
      <c r="G531" s="137">
        <v>0</v>
      </c>
      <c r="H531" s="137">
        <v>0</v>
      </c>
      <c r="I531" s="135"/>
      <c r="J531" s="138">
        <v>0</v>
      </c>
      <c r="K531" s="133"/>
      <c r="L531" s="133">
        <v>713</v>
      </c>
      <c r="M531" s="139">
        <v>46038</v>
      </c>
      <c r="N531" s="140" t="s">
        <v>1446</v>
      </c>
      <c r="O531" s="134" t="s">
        <v>314</v>
      </c>
    </row>
    <row r="532" spans="1:15" x14ac:dyDescent="0.25">
      <c r="A532" s="133">
        <v>532</v>
      </c>
      <c r="B532" s="134" t="s">
        <v>1447</v>
      </c>
      <c r="C532" s="135">
        <v>28768113</v>
      </c>
      <c r="D532" s="136" t="s">
        <v>968</v>
      </c>
      <c r="E532" s="137">
        <v>1058700</v>
      </c>
      <c r="F532" s="137">
        <v>533820</v>
      </c>
      <c r="G532" s="137">
        <v>524880</v>
      </c>
      <c r="H532" s="137"/>
      <c r="I532" s="135"/>
      <c r="J532" s="138">
        <v>0</v>
      </c>
      <c r="K532" s="133"/>
      <c r="L532" s="133">
        <v>715</v>
      </c>
      <c r="M532" s="139">
        <v>46043</v>
      </c>
      <c r="N532" s="140" t="s">
        <v>1448</v>
      </c>
      <c r="O532" s="134" t="s">
        <v>208</v>
      </c>
    </row>
    <row r="533" spans="1:15" x14ac:dyDescent="0.25">
      <c r="A533" s="133">
        <v>533</v>
      </c>
      <c r="B533" s="134" t="s">
        <v>1449</v>
      </c>
      <c r="C533" s="135">
        <v>1301800</v>
      </c>
      <c r="D533" s="136" t="s">
        <v>1450</v>
      </c>
      <c r="E533" s="137">
        <v>161300</v>
      </c>
      <c r="F533" s="137">
        <v>48390</v>
      </c>
      <c r="G533" s="137">
        <v>112910</v>
      </c>
      <c r="H533" s="137">
        <v>0</v>
      </c>
      <c r="I533" s="135"/>
      <c r="J533" s="138">
        <v>0</v>
      </c>
      <c r="K533" s="133"/>
      <c r="L533" s="133">
        <v>702</v>
      </c>
      <c r="M533" s="139">
        <v>46056</v>
      </c>
      <c r="N533" s="140" t="s">
        <v>1451</v>
      </c>
      <c r="O533" s="134" t="s">
        <v>241</v>
      </c>
    </row>
    <row r="534" spans="1:15" x14ac:dyDescent="0.25">
      <c r="A534" s="133">
        <v>534</v>
      </c>
      <c r="B534" s="134" t="s">
        <v>1452</v>
      </c>
      <c r="C534" s="135">
        <v>195149972</v>
      </c>
      <c r="D534" s="136" t="s">
        <v>1453</v>
      </c>
      <c r="E534" s="137">
        <v>200</v>
      </c>
      <c r="F534" s="137">
        <v>0</v>
      </c>
      <c r="G534" s="137">
        <v>200</v>
      </c>
      <c r="H534" s="137">
        <v>0</v>
      </c>
      <c r="I534" s="135"/>
      <c r="J534" s="138">
        <v>0</v>
      </c>
      <c r="K534" s="133"/>
      <c r="L534" s="133">
        <v>718</v>
      </c>
      <c r="M534" s="139">
        <v>46065</v>
      </c>
      <c r="N534" s="140" t="s">
        <v>1454</v>
      </c>
      <c r="O534" s="134" t="s">
        <v>388</v>
      </c>
    </row>
    <row r="535" spans="1:15" x14ac:dyDescent="0.25">
      <c r="A535" s="133">
        <v>535</v>
      </c>
      <c r="B535" s="134" t="s">
        <v>1452</v>
      </c>
      <c r="C535" s="135">
        <v>195149972</v>
      </c>
      <c r="D535" s="136" t="s">
        <v>1453</v>
      </c>
      <c r="E535" s="137">
        <v>5400</v>
      </c>
      <c r="F535" s="137">
        <v>0</v>
      </c>
      <c r="G535" s="137">
        <v>5400</v>
      </c>
      <c r="H535" s="137">
        <v>0</v>
      </c>
      <c r="I535" s="135"/>
      <c r="J535" s="138">
        <v>0</v>
      </c>
      <c r="K535" s="133"/>
      <c r="L535" s="133">
        <v>718</v>
      </c>
      <c r="M535" s="139">
        <v>46065</v>
      </c>
      <c r="N535" s="140" t="s">
        <v>1454</v>
      </c>
      <c r="O535" s="134" t="s">
        <v>388</v>
      </c>
    </row>
    <row r="536" spans="1:15" x14ac:dyDescent="0.25">
      <c r="A536" s="133">
        <v>536</v>
      </c>
      <c r="B536" s="134" t="s">
        <v>1452</v>
      </c>
      <c r="C536" s="135">
        <v>195149972</v>
      </c>
      <c r="D536" s="136" t="s">
        <v>1453</v>
      </c>
      <c r="E536" s="137">
        <v>5400</v>
      </c>
      <c r="F536" s="137">
        <v>0</v>
      </c>
      <c r="G536" s="137">
        <v>5400</v>
      </c>
      <c r="H536" s="137">
        <v>0</v>
      </c>
      <c r="I536" s="135"/>
      <c r="J536" s="138">
        <v>0</v>
      </c>
      <c r="K536" s="133"/>
      <c r="L536" s="133">
        <v>718</v>
      </c>
      <c r="M536" s="139">
        <v>46065</v>
      </c>
      <c r="N536" s="140" t="s">
        <v>1454</v>
      </c>
      <c r="O536" s="134" t="s">
        <v>388</v>
      </c>
    </row>
    <row r="537" spans="1:15" x14ac:dyDescent="0.25">
      <c r="A537" s="133">
        <v>537</v>
      </c>
      <c r="B537" s="134" t="s">
        <v>1452</v>
      </c>
      <c r="C537" s="135">
        <v>195149972</v>
      </c>
      <c r="D537" s="136" t="s">
        <v>1453</v>
      </c>
      <c r="E537" s="137">
        <v>5400</v>
      </c>
      <c r="F537" s="137">
        <v>0</v>
      </c>
      <c r="G537" s="137">
        <v>5400</v>
      </c>
      <c r="H537" s="137">
        <v>0</v>
      </c>
      <c r="I537" s="135"/>
      <c r="J537" s="138">
        <v>0</v>
      </c>
      <c r="K537" s="133"/>
      <c r="L537" s="133">
        <v>718</v>
      </c>
      <c r="M537" s="139">
        <v>46065</v>
      </c>
      <c r="N537" s="140" t="s">
        <v>1454</v>
      </c>
      <c r="O537" s="134" t="s">
        <v>388</v>
      </c>
    </row>
    <row r="538" spans="1:15" x14ac:dyDescent="0.25">
      <c r="A538" s="133">
        <v>538</v>
      </c>
      <c r="B538" s="134" t="s">
        <v>1452</v>
      </c>
      <c r="C538" s="135">
        <v>195149972</v>
      </c>
      <c r="D538" s="136" t="s">
        <v>1453</v>
      </c>
      <c r="E538" s="137">
        <v>5400</v>
      </c>
      <c r="F538" s="137">
        <v>0</v>
      </c>
      <c r="G538" s="137">
        <v>5400</v>
      </c>
      <c r="H538" s="137">
        <v>0</v>
      </c>
      <c r="I538" s="135"/>
      <c r="J538" s="138">
        <v>0</v>
      </c>
      <c r="K538" s="133"/>
      <c r="L538" s="133">
        <v>718</v>
      </c>
      <c r="M538" s="139">
        <v>46065</v>
      </c>
      <c r="N538" s="140" t="s">
        <v>1454</v>
      </c>
      <c r="O538" s="134" t="s">
        <v>388</v>
      </c>
    </row>
    <row r="539" spans="1:15" x14ac:dyDescent="0.25">
      <c r="A539" s="133">
        <v>539</v>
      </c>
      <c r="B539" s="134" t="s">
        <v>1452</v>
      </c>
      <c r="C539" s="135">
        <v>195149972</v>
      </c>
      <c r="D539" s="136" t="s">
        <v>1453</v>
      </c>
      <c r="E539" s="137">
        <v>5400</v>
      </c>
      <c r="F539" s="137">
        <v>0</v>
      </c>
      <c r="G539" s="137">
        <v>5400</v>
      </c>
      <c r="H539" s="137">
        <v>0</v>
      </c>
      <c r="I539" s="135"/>
      <c r="J539" s="138">
        <v>0</v>
      </c>
      <c r="K539" s="133"/>
      <c r="L539" s="133">
        <v>718</v>
      </c>
      <c r="M539" s="139">
        <v>46065</v>
      </c>
      <c r="N539" s="140" t="s">
        <v>1454</v>
      </c>
      <c r="O539" s="134" t="s">
        <v>388</v>
      </c>
    </row>
    <row r="540" spans="1:15" x14ac:dyDescent="0.25">
      <c r="A540" s="133">
        <v>540</v>
      </c>
      <c r="B540" s="134" t="s">
        <v>1452</v>
      </c>
      <c r="C540" s="135">
        <v>195149972</v>
      </c>
      <c r="D540" s="136" t="s">
        <v>1453</v>
      </c>
      <c r="E540" s="137">
        <v>5400</v>
      </c>
      <c r="F540" s="137">
        <v>0</v>
      </c>
      <c r="G540" s="137">
        <v>5400</v>
      </c>
      <c r="H540" s="137">
        <v>0</v>
      </c>
      <c r="I540" s="135"/>
      <c r="J540" s="138">
        <v>0</v>
      </c>
      <c r="K540" s="133"/>
      <c r="L540" s="133">
        <v>718</v>
      </c>
      <c r="M540" s="139">
        <v>46065</v>
      </c>
      <c r="N540" s="140" t="s">
        <v>1454</v>
      </c>
      <c r="O540" s="134" t="s">
        <v>388</v>
      </c>
    </row>
    <row r="541" spans="1:15" x14ac:dyDescent="0.25">
      <c r="A541" s="133">
        <v>541</v>
      </c>
      <c r="B541" s="134" t="s">
        <v>1452</v>
      </c>
      <c r="C541" s="135">
        <v>195149972</v>
      </c>
      <c r="D541" s="136" t="s">
        <v>1453</v>
      </c>
      <c r="E541" s="137">
        <v>5400</v>
      </c>
      <c r="F541" s="137">
        <v>0</v>
      </c>
      <c r="G541" s="137">
        <v>5400</v>
      </c>
      <c r="H541" s="137">
        <v>0</v>
      </c>
      <c r="I541" s="135"/>
      <c r="J541" s="138">
        <v>0</v>
      </c>
      <c r="K541" s="133"/>
      <c r="L541" s="133">
        <v>718</v>
      </c>
      <c r="M541" s="139">
        <v>46065</v>
      </c>
      <c r="N541" s="140" t="s">
        <v>1454</v>
      </c>
      <c r="O541" s="134" t="s">
        <v>388</v>
      </c>
    </row>
    <row r="542" spans="1:15" x14ac:dyDescent="0.25">
      <c r="A542" s="133">
        <v>542</v>
      </c>
      <c r="B542" s="134" t="s">
        <v>1452</v>
      </c>
      <c r="C542" s="135">
        <v>195149972</v>
      </c>
      <c r="D542" s="136" t="s">
        <v>1453</v>
      </c>
      <c r="E542" s="137">
        <v>5400</v>
      </c>
      <c r="F542" s="137">
        <v>0</v>
      </c>
      <c r="G542" s="137">
        <v>5400</v>
      </c>
      <c r="H542" s="137">
        <v>0</v>
      </c>
      <c r="I542" s="135"/>
      <c r="J542" s="138">
        <v>0</v>
      </c>
      <c r="K542" s="133"/>
      <c r="L542" s="133">
        <v>718</v>
      </c>
      <c r="M542" s="139">
        <v>46065</v>
      </c>
      <c r="N542" s="140" t="s">
        <v>1454</v>
      </c>
      <c r="O542" s="134" t="s">
        <v>388</v>
      </c>
    </row>
    <row r="543" spans="1:15" x14ac:dyDescent="0.25">
      <c r="A543" s="133">
        <v>543</v>
      </c>
      <c r="B543" s="134" t="s">
        <v>1452</v>
      </c>
      <c r="C543" s="135">
        <v>195149972</v>
      </c>
      <c r="D543" s="136" t="s">
        <v>1453</v>
      </c>
      <c r="E543" s="137">
        <v>5400</v>
      </c>
      <c r="F543" s="137">
        <v>0</v>
      </c>
      <c r="G543" s="137">
        <v>5400</v>
      </c>
      <c r="H543" s="137">
        <v>0</v>
      </c>
      <c r="I543" s="135"/>
      <c r="J543" s="138">
        <v>0</v>
      </c>
      <c r="K543" s="133"/>
      <c r="L543" s="133">
        <v>718</v>
      </c>
      <c r="M543" s="139">
        <v>46065</v>
      </c>
      <c r="N543" s="140" t="s">
        <v>1454</v>
      </c>
      <c r="O543" s="134" t="s">
        <v>388</v>
      </c>
    </row>
    <row r="544" spans="1:15" x14ac:dyDescent="0.25">
      <c r="A544" s="133">
        <v>544</v>
      </c>
      <c r="B544" s="134" t="s">
        <v>1452</v>
      </c>
      <c r="C544" s="135">
        <v>195149972</v>
      </c>
      <c r="D544" s="136" t="s">
        <v>1453</v>
      </c>
      <c r="E544" s="137">
        <v>5400</v>
      </c>
      <c r="F544" s="137">
        <v>0</v>
      </c>
      <c r="G544" s="137">
        <v>5400</v>
      </c>
      <c r="H544" s="137">
        <v>0</v>
      </c>
      <c r="I544" s="135"/>
      <c r="J544" s="138">
        <v>0</v>
      </c>
      <c r="K544" s="133"/>
      <c r="L544" s="133">
        <v>718</v>
      </c>
      <c r="M544" s="139">
        <v>46065</v>
      </c>
      <c r="N544" s="140" t="s">
        <v>1454</v>
      </c>
      <c r="O544" s="134" t="s">
        <v>388</v>
      </c>
    </row>
    <row r="545" spans="1:15" x14ac:dyDescent="0.25">
      <c r="A545" s="133">
        <v>545</v>
      </c>
      <c r="B545" s="134" t="s">
        <v>1452</v>
      </c>
      <c r="C545" s="135">
        <v>195149972</v>
      </c>
      <c r="D545" s="136" t="s">
        <v>1453</v>
      </c>
      <c r="E545" s="137">
        <v>5400</v>
      </c>
      <c r="F545" s="137">
        <v>0</v>
      </c>
      <c r="G545" s="137">
        <v>5400</v>
      </c>
      <c r="H545" s="137">
        <v>0</v>
      </c>
      <c r="I545" s="135"/>
      <c r="J545" s="138">
        <v>0</v>
      </c>
      <c r="K545" s="133"/>
      <c r="L545" s="133">
        <v>718</v>
      </c>
      <c r="M545" s="139">
        <v>46065</v>
      </c>
      <c r="N545" s="140" t="s">
        <v>1454</v>
      </c>
      <c r="O545" s="134" t="s">
        <v>388</v>
      </c>
    </row>
    <row r="546" spans="1:15" x14ac:dyDescent="0.25">
      <c r="A546" s="133">
        <v>546</v>
      </c>
      <c r="B546" s="134" t="s">
        <v>1452</v>
      </c>
      <c r="C546" s="135">
        <v>195149972</v>
      </c>
      <c r="D546" s="136" t="s">
        <v>1453</v>
      </c>
      <c r="E546" s="137">
        <v>5400</v>
      </c>
      <c r="F546" s="137">
        <v>0</v>
      </c>
      <c r="G546" s="137">
        <v>5400</v>
      </c>
      <c r="H546" s="137">
        <v>0</v>
      </c>
      <c r="I546" s="135"/>
      <c r="J546" s="138">
        <v>0</v>
      </c>
      <c r="K546" s="133"/>
      <c r="L546" s="133">
        <v>718</v>
      </c>
      <c r="M546" s="139">
        <v>46065</v>
      </c>
      <c r="N546" s="140" t="s">
        <v>1454</v>
      </c>
      <c r="O546" s="134" t="s">
        <v>388</v>
      </c>
    </row>
    <row r="547" spans="1:15" x14ac:dyDescent="0.25">
      <c r="A547" s="133">
        <v>547</v>
      </c>
      <c r="B547" s="134" t="s">
        <v>1452</v>
      </c>
      <c r="C547" s="135">
        <v>195149972</v>
      </c>
      <c r="D547" s="136" t="s">
        <v>1453</v>
      </c>
      <c r="E547" s="137">
        <v>10800</v>
      </c>
      <c r="F547" s="137">
        <v>0</v>
      </c>
      <c r="G547" s="137">
        <v>10800</v>
      </c>
      <c r="H547" s="137">
        <v>0</v>
      </c>
      <c r="I547" s="135"/>
      <c r="J547" s="138">
        <v>0</v>
      </c>
      <c r="K547" s="133"/>
      <c r="L547" s="133">
        <v>718</v>
      </c>
      <c r="M547" s="139">
        <v>46065</v>
      </c>
      <c r="N547" s="140" t="s">
        <v>1454</v>
      </c>
      <c r="O547" s="134" t="s">
        <v>388</v>
      </c>
    </row>
    <row r="548" spans="1:15" x14ac:dyDescent="0.25">
      <c r="A548" s="133">
        <v>548</v>
      </c>
      <c r="B548" s="134" t="s">
        <v>1452</v>
      </c>
      <c r="C548" s="135">
        <v>195149972</v>
      </c>
      <c r="D548" s="136" t="s">
        <v>1453</v>
      </c>
      <c r="E548" s="137">
        <v>10800</v>
      </c>
      <c r="F548" s="137">
        <v>0</v>
      </c>
      <c r="G548" s="137">
        <v>10800</v>
      </c>
      <c r="H548" s="137">
        <v>0</v>
      </c>
      <c r="I548" s="135"/>
      <c r="J548" s="138">
        <v>0</v>
      </c>
      <c r="K548" s="133"/>
      <c r="L548" s="133">
        <v>718</v>
      </c>
      <c r="M548" s="139">
        <v>46065</v>
      </c>
      <c r="N548" s="140" t="s">
        <v>1454</v>
      </c>
      <c r="O548" s="134" t="s">
        <v>388</v>
      </c>
    </row>
    <row r="549" spans="1:15" x14ac:dyDescent="0.25">
      <c r="A549" s="133">
        <v>549</v>
      </c>
      <c r="B549" s="134" t="s">
        <v>1452</v>
      </c>
      <c r="C549" s="135">
        <v>195149972</v>
      </c>
      <c r="D549" s="136" t="s">
        <v>1453</v>
      </c>
      <c r="E549" s="137">
        <v>10800</v>
      </c>
      <c r="F549" s="137">
        <v>0</v>
      </c>
      <c r="G549" s="137">
        <v>10800</v>
      </c>
      <c r="H549" s="137">
        <v>0</v>
      </c>
      <c r="I549" s="135"/>
      <c r="J549" s="138">
        <v>0</v>
      </c>
      <c r="K549" s="133"/>
      <c r="L549" s="133">
        <v>718</v>
      </c>
      <c r="M549" s="139">
        <v>46065</v>
      </c>
      <c r="N549" s="140" t="s">
        <v>1454</v>
      </c>
      <c r="O549" s="134" t="s">
        <v>388</v>
      </c>
    </row>
    <row r="550" spans="1:15" x14ac:dyDescent="0.25">
      <c r="A550" s="133">
        <v>550</v>
      </c>
      <c r="B550" s="134" t="s">
        <v>1452</v>
      </c>
      <c r="C550" s="135">
        <v>195149972</v>
      </c>
      <c r="D550" s="136" t="s">
        <v>1453</v>
      </c>
      <c r="E550" s="137">
        <v>10800</v>
      </c>
      <c r="F550" s="137">
        <v>0</v>
      </c>
      <c r="G550" s="137">
        <v>10800</v>
      </c>
      <c r="H550" s="137">
        <v>0</v>
      </c>
      <c r="I550" s="135"/>
      <c r="J550" s="138">
        <v>0</v>
      </c>
      <c r="K550" s="133"/>
      <c r="L550" s="133">
        <v>718</v>
      </c>
      <c r="M550" s="139">
        <v>46065</v>
      </c>
      <c r="N550" s="140" t="s">
        <v>1454</v>
      </c>
      <c r="O550" s="134" t="s">
        <v>388</v>
      </c>
    </row>
    <row r="551" spans="1:15" x14ac:dyDescent="0.25">
      <c r="A551" s="133">
        <v>551</v>
      </c>
      <c r="B551" s="134" t="s">
        <v>1452</v>
      </c>
      <c r="C551" s="135">
        <v>195149972</v>
      </c>
      <c r="D551" s="136" t="s">
        <v>1453</v>
      </c>
      <c r="E551" s="137">
        <v>10800</v>
      </c>
      <c r="F551" s="137">
        <v>0</v>
      </c>
      <c r="G551" s="137">
        <v>10800</v>
      </c>
      <c r="H551" s="137">
        <v>0</v>
      </c>
      <c r="I551" s="135"/>
      <c r="J551" s="138">
        <v>0</v>
      </c>
      <c r="K551" s="133"/>
      <c r="L551" s="133">
        <v>718</v>
      </c>
      <c r="M551" s="139">
        <v>46065</v>
      </c>
      <c r="N551" s="140" t="s">
        <v>1454</v>
      </c>
      <c r="O551" s="134" t="s">
        <v>388</v>
      </c>
    </row>
    <row r="552" spans="1:15" x14ac:dyDescent="0.25">
      <c r="A552" s="133">
        <v>552</v>
      </c>
      <c r="B552" s="134" t="s">
        <v>1452</v>
      </c>
      <c r="C552" s="135">
        <v>195149972</v>
      </c>
      <c r="D552" s="136" t="s">
        <v>1453</v>
      </c>
      <c r="E552" s="137">
        <v>10800</v>
      </c>
      <c r="F552" s="137">
        <v>0</v>
      </c>
      <c r="G552" s="137">
        <v>10800</v>
      </c>
      <c r="H552" s="137">
        <v>0</v>
      </c>
      <c r="I552" s="135"/>
      <c r="J552" s="138">
        <v>0</v>
      </c>
      <c r="K552" s="133"/>
      <c r="L552" s="133">
        <v>718</v>
      </c>
      <c r="M552" s="139">
        <v>46065</v>
      </c>
      <c r="N552" s="140" t="s">
        <v>1454</v>
      </c>
      <c r="O552" s="134" t="s">
        <v>388</v>
      </c>
    </row>
    <row r="553" spans="1:15" x14ac:dyDescent="0.25">
      <c r="A553" s="133">
        <v>553</v>
      </c>
      <c r="B553" s="134" t="s">
        <v>1452</v>
      </c>
      <c r="C553" s="135">
        <v>195149972</v>
      </c>
      <c r="D553" s="136" t="s">
        <v>1453</v>
      </c>
      <c r="E553" s="137">
        <v>10800</v>
      </c>
      <c r="F553" s="137">
        <v>0</v>
      </c>
      <c r="G553" s="137">
        <v>10800</v>
      </c>
      <c r="H553" s="137">
        <v>0</v>
      </c>
      <c r="I553" s="135"/>
      <c r="J553" s="138">
        <v>0</v>
      </c>
      <c r="K553" s="133"/>
      <c r="L553" s="133">
        <v>718</v>
      </c>
      <c r="M553" s="139">
        <v>46065</v>
      </c>
      <c r="N553" s="140" t="s">
        <v>1454</v>
      </c>
      <c r="O553" s="134" t="s">
        <v>388</v>
      </c>
    </row>
    <row r="554" spans="1:15" x14ac:dyDescent="0.25">
      <c r="A554" s="133">
        <v>554</v>
      </c>
      <c r="B554" s="134" t="s">
        <v>1452</v>
      </c>
      <c r="C554" s="135">
        <v>195149972</v>
      </c>
      <c r="D554" s="136" t="s">
        <v>1453</v>
      </c>
      <c r="E554" s="137">
        <v>10800</v>
      </c>
      <c r="F554" s="137">
        <v>0</v>
      </c>
      <c r="G554" s="137">
        <v>10800</v>
      </c>
      <c r="H554" s="137">
        <v>0</v>
      </c>
      <c r="I554" s="135"/>
      <c r="J554" s="138">
        <v>0</v>
      </c>
      <c r="K554" s="133"/>
      <c r="L554" s="133">
        <v>718</v>
      </c>
      <c r="M554" s="139">
        <v>46065</v>
      </c>
      <c r="N554" s="140" t="s">
        <v>1454</v>
      </c>
      <c r="O554" s="134" t="s">
        <v>388</v>
      </c>
    </row>
    <row r="555" spans="1:15" x14ac:dyDescent="0.25">
      <c r="A555" s="133">
        <v>555</v>
      </c>
      <c r="B555" s="134" t="s">
        <v>1452</v>
      </c>
      <c r="C555" s="135">
        <v>195149972</v>
      </c>
      <c r="D555" s="136" t="s">
        <v>1453</v>
      </c>
      <c r="E555" s="137">
        <v>10800</v>
      </c>
      <c r="F555" s="137">
        <v>0</v>
      </c>
      <c r="G555" s="137">
        <v>10800</v>
      </c>
      <c r="H555" s="137">
        <v>0</v>
      </c>
      <c r="I555" s="135"/>
      <c r="J555" s="138">
        <v>0</v>
      </c>
      <c r="K555" s="133"/>
      <c r="L555" s="133">
        <v>718</v>
      </c>
      <c r="M555" s="139">
        <v>46065</v>
      </c>
      <c r="N555" s="140" t="s">
        <v>1454</v>
      </c>
      <c r="O555" s="134" t="s">
        <v>388</v>
      </c>
    </row>
    <row r="556" spans="1:15" x14ac:dyDescent="0.25">
      <c r="A556" s="133">
        <v>556</v>
      </c>
      <c r="B556" s="134" t="s">
        <v>1452</v>
      </c>
      <c r="C556" s="135">
        <v>195149972</v>
      </c>
      <c r="D556" s="136" t="s">
        <v>1453</v>
      </c>
      <c r="E556" s="137">
        <v>10800</v>
      </c>
      <c r="F556" s="137">
        <v>0</v>
      </c>
      <c r="G556" s="137">
        <v>10800</v>
      </c>
      <c r="H556" s="137">
        <v>0</v>
      </c>
      <c r="I556" s="135"/>
      <c r="J556" s="138">
        <v>0</v>
      </c>
      <c r="K556" s="133"/>
      <c r="L556" s="133">
        <v>718</v>
      </c>
      <c r="M556" s="139">
        <v>46065</v>
      </c>
      <c r="N556" s="140" t="s">
        <v>1454</v>
      </c>
      <c r="O556" s="134" t="s">
        <v>388</v>
      </c>
    </row>
    <row r="557" spans="1:15" x14ac:dyDescent="0.25">
      <c r="A557" s="133">
        <v>557</v>
      </c>
      <c r="B557" s="134" t="s">
        <v>1452</v>
      </c>
      <c r="C557" s="135">
        <v>195149972</v>
      </c>
      <c r="D557" s="136" t="s">
        <v>1453</v>
      </c>
      <c r="E557" s="137">
        <v>10800</v>
      </c>
      <c r="F557" s="137">
        <v>0</v>
      </c>
      <c r="G557" s="137">
        <v>10800</v>
      </c>
      <c r="H557" s="137">
        <v>0</v>
      </c>
      <c r="I557" s="135"/>
      <c r="J557" s="138">
        <v>0</v>
      </c>
      <c r="K557" s="133"/>
      <c r="L557" s="133">
        <v>718</v>
      </c>
      <c r="M557" s="139">
        <v>46065</v>
      </c>
      <c r="N557" s="140" t="s">
        <v>1454</v>
      </c>
      <c r="O557" s="134" t="s">
        <v>388</v>
      </c>
    </row>
    <row r="558" spans="1:15" x14ac:dyDescent="0.25">
      <c r="A558" s="133">
        <v>558</v>
      </c>
      <c r="B558" s="134" t="s">
        <v>1452</v>
      </c>
      <c r="C558" s="135">
        <v>195149972</v>
      </c>
      <c r="D558" s="136" t="s">
        <v>1453</v>
      </c>
      <c r="E558" s="137">
        <v>10800</v>
      </c>
      <c r="F558" s="137">
        <v>0</v>
      </c>
      <c r="G558" s="137">
        <v>10800</v>
      </c>
      <c r="H558" s="137">
        <v>0</v>
      </c>
      <c r="I558" s="135"/>
      <c r="J558" s="138">
        <v>0</v>
      </c>
      <c r="K558" s="133"/>
      <c r="L558" s="133">
        <v>718</v>
      </c>
      <c r="M558" s="139">
        <v>46065</v>
      </c>
      <c r="N558" s="140" t="s">
        <v>1454</v>
      </c>
      <c r="O558" s="134" t="s">
        <v>388</v>
      </c>
    </row>
    <row r="559" spans="1:15" x14ac:dyDescent="0.25">
      <c r="A559" s="133">
        <v>559</v>
      </c>
      <c r="B559" s="134" t="s">
        <v>1452</v>
      </c>
      <c r="C559" s="135">
        <v>195149972</v>
      </c>
      <c r="D559" s="136" t="s">
        <v>1453</v>
      </c>
      <c r="E559" s="137">
        <v>10800</v>
      </c>
      <c r="F559" s="137">
        <v>0</v>
      </c>
      <c r="G559" s="137">
        <v>10800</v>
      </c>
      <c r="H559" s="137">
        <v>0</v>
      </c>
      <c r="I559" s="135"/>
      <c r="J559" s="138">
        <v>0</v>
      </c>
      <c r="K559" s="133"/>
      <c r="L559" s="133">
        <v>718</v>
      </c>
      <c r="M559" s="139">
        <v>46065</v>
      </c>
      <c r="N559" s="140" t="s">
        <v>1454</v>
      </c>
      <c r="O559" s="134" t="s">
        <v>388</v>
      </c>
    </row>
    <row r="560" spans="1:15" x14ac:dyDescent="0.25">
      <c r="A560" s="133">
        <v>560</v>
      </c>
      <c r="B560" s="134" t="s">
        <v>1452</v>
      </c>
      <c r="C560" s="135">
        <v>195149972</v>
      </c>
      <c r="D560" s="136" t="s">
        <v>1453</v>
      </c>
      <c r="E560" s="137">
        <v>21600</v>
      </c>
      <c r="F560" s="137">
        <v>0</v>
      </c>
      <c r="G560" s="137">
        <v>21600</v>
      </c>
      <c r="H560" s="137">
        <v>0</v>
      </c>
      <c r="I560" s="135"/>
      <c r="J560" s="138">
        <v>0</v>
      </c>
      <c r="K560" s="133"/>
      <c r="L560" s="133">
        <v>718</v>
      </c>
      <c r="M560" s="139">
        <v>46065</v>
      </c>
      <c r="N560" s="140" t="s">
        <v>1454</v>
      </c>
      <c r="O560" s="134" t="s">
        <v>388</v>
      </c>
    </row>
    <row r="561" spans="1:15" x14ac:dyDescent="0.25">
      <c r="A561" s="133">
        <v>561</v>
      </c>
      <c r="B561" s="134" t="s">
        <v>1452</v>
      </c>
      <c r="C561" s="135">
        <v>195149972</v>
      </c>
      <c r="D561" s="136" t="s">
        <v>1453</v>
      </c>
      <c r="E561" s="137">
        <v>171200</v>
      </c>
      <c r="F561" s="137">
        <v>0</v>
      </c>
      <c r="G561" s="137">
        <v>171200</v>
      </c>
      <c r="H561" s="137">
        <v>0</v>
      </c>
      <c r="I561" s="135"/>
      <c r="J561" s="138">
        <v>0</v>
      </c>
      <c r="K561" s="133"/>
      <c r="L561" s="133">
        <v>718</v>
      </c>
      <c r="M561" s="139">
        <v>46065</v>
      </c>
      <c r="N561" s="140" t="s">
        <v>1455</v>
      </c>
      <c r="O561" s="134" t="s">
        <v>388</v>
      </c>
    </row>
    <row r="562" spans="1:15" x14ac:dyDescent="0.25">
      <c r="A562" s="133">
        <v>562</v>
      </c>
      <c r="B562" s="134" t="s">
        <v>1452</v>
      </c>
      <c r="C562" s="135">
        <v>195149972</v>
      </c>
      <c r="D562" s="136" t="s">
        <v>1453</v>
      </c>
      <c r="E562" s="137">
        <v>192500</v>
      </c>
      <c r="F562" s="137">
        <v>0</v>
      </c>
      <c r="G562" s="137">
        <v>192500</v>
      </c>
      <c r="H562" s="137">
        <v>0</v>
      </c>
      <c r="I562" s="135"/>
      <c r="J562" s="138">
        <v>0</v>
      </c>
      <c r="K562" s="133"/>
      <c r="L562" s="133">
        <v>718</v>
      </c>
      <c r="M562" s="139">
        <v>46065</v>
      </c>
      <c r="N562" s="140" t="s">
        <v>1455</v>
      </c>
      <c r="O562" s="134" t="s">
        <v>388</v>
      </c>
    </row>
    <row r="563" spans="1:15" x14ac:dyDescent="0.25">
      <c r="A563" s="133">
        <v>563</v>
      </c>
      <c r="B563" s="134" t="s">
        <v>1452</v>
      </c>
      <c r="C563" s="135">
        <v>195149972</v>
      </c>
      <c r="D563" s="136" t="s">
        <v>1453</v>
      </c>
      <c r="E563" s="137">
        <v>861060</v>
      </c>
      <c r="F563" s="137">
        <v>0</v>
      </c>
      <c r="G563" s="137">
        <v>861060</v>
      </c>
      <c r="H563" s="137">
        <v>0</v>
      </c>
      <c r="I563" s="135"/>
      <c r="J563" s="138">
        <v>0</v>
      </c>
      <c r="K563" s="133"/>
      <c r="L563" s="133">
        <v>718</v>
      </c>
      <c r="M563" s="139">
        <v>46065</v>
      </c>
      <c r="N563" s="140" t="s">
        <v>1456</v>
      </c>
      <c r="O563" s="134" t="s">
        <v>388</v>
      </c>
    </row>
    <row r="564" spans="1:15" x14ac:dyDescent="0.25">
      <c r="A564" s="133">
        <v>564</v>
      </c>
      <c r="B564" s="134" t="s">
        <v>1452</v>
      </c>
      <c r="C564" s="135">
        <v>195149972</v>
      </c>
      <c r="D564" s="136" t="s">
        <v>1453</v>
      </c>
      <c r="E564" s="137">
        <v>861060</v>
      </c>
      <c r="F564" s="137">
        <v>0</v>
      </c>
      <c r="G564" s="137">
        <v>861060</v>
      </c>
      <c r="H564" s="137">
        <v>0</v>
      </c>
      <c r="I564" s="135"/>
      <c r="J564" s="138">
        <v>0</v>
      </c>
      <c r="K564" s="133"/>
      <c r="L564" s="133">
        <v>718</v>
      </c>
      <c r="M564" s="139">
        <v>46065</v>
      </c>
      <c r="N564" s="140" t="s">
        <v>1456</v>
      </c>
      <c r="O564" s="134" t="s">
        <v>388</v>
      </c>
    </row>
    <row r="565" spans="1:15" x14ac:dyDescent="0.25">
      <c r="A565" s="133">
        <v>565</v>
      </c>
      <c r="B565" s="134" t="s">
        <v>1452</v>
      </c>
      <c r="C565" s="135">
        <v>195149972</v>
      </c>
      <c r="D565" s="136" t="s">
        <v>1453</v>
      </c>
      <c r="E565" s="137">
        <v>861060</v>
      </c>
      <c r="F565" s="137">
        <v>0</v>
      </c>
      <c r="G565" s="137">
        <v>861060</v>
      </c>
      <c r="H565" s="137">
        <v>0</v>
      </c>
      <c r="I565" s="135"/>
      <c r="J565" s="138">
        <v>0</v>
      </c>
      <c r="K565" s="133"/>
      <c r="L565" s="133">
        <v>718</v>
      </c>
      <c r="M565" s="139">
        <v>46065</v>
      </c>
      <c r="N565" s="140" t="s">
        <v>1456</v>
      </c>
      <c r="O565" s="134" t="s">
        <v>388</v>
      </c>
    </row>
    <row r="566" spans="1:15" x14ac:dyDescent="0.25">
      <c r="A566" s="133">
        <v>566</v>
      </c>
      <c r="B566" s="134" t="s">
        <v>1452</v>
      </c>
      <c r="C566" s="135">
        <v>195149972</v>
      </c>
      <c r="D566" s="136" t="s">
        <v>1453</v>
      </c>
      <c r="E566" s="137">
        <v>861060</v>
      </c>
      <c r="F566" s="137">
        <v>0</v>
      </c>
      <c r="G566" s="137">
        <v>861060</v>
      </c>
      <c r="H566" s="137">
        <v>0</v>
      </c>
      <c r="I566" s="135"/>
      <c r="J566" s="138">
        <v>0</v>
      </c>
      <c r="K566" s="133"/>
      <c r="L566" s="133">
        <v>718</v>
      </c>
      <c r="M566" s="139">
        <v>46065</v>
      </c>
      <c r="N566" s="140" t="s">
        <v>1456</v>
      </c>
      <c r="O566" s="134" t="s">
        <v>388</v>
      </c>
    </row>
    <row r="567" spans="1:15" x14ac:dyDescent="0.25">
      <c r="A567" s="133">
        <v>567</v>
      </c>
      <c r="B567" s="134" t="s">
        <v>1452</v>
      </c>
      <c r="C567" s="135">
        <v>195149972</v>
      </c>
      <c r="D567" s="136" t="s">
        <v>1453</v>
      </c>
      <c r="E567" s="137">
        <v>861060</v>
      </c>
      <c r="F567" s="137">
        <v>0</v>
      </c>
      <c r="G567" s="137">
        <v>861060</v>
      </c>
      <c r="H567" s="137">
        <v>0</v>
      </c>
      <c r="I567" s="135"/>
      <c r="J567" s="138">
        <v>0</v>
      </c>
      <c r="K567" s="133"/>
      <c r="L567" s="133">
        <v>718</v>
      </c>
      <c r="M567" s="139">
        <v>46065</v>
      </c>
      <c r="N567" s="140" t="s">
        <v>1456</v>
      </c>
      <c r="O567" s="134" t="s">
        <v>388</v>
      </c>
    </row>
    <row r="568" spans="1:15" x14ac:dyDescent="0.25">
      <c r="A568" s="133">
        <v>568</v>
      </c>
      <c r="B568" s="134" t="s">
        <v>1452</v>
      </c>
      <c r="C568" s="135">
        <v>195149972</v>
      </c>
      <c r="D568" s="136" t="s">
        <v>1453</v>
      </c>
      <c r="E568" s="137">
        <v>861060</v>
      </c>
      <c r="F568" s="137">
        <v>0</v>
      </c>
      <c r="G568" s="137">
        <v>861060</v>
      </c>
      <c r="H568" s="137">
        <v>0</v>
      </c>
      <c r="I568" s="135"/>
      <c r="J568" s="138">
        <v>0</v>
      </c>
      <c r="K568" s="133"/>
      <c r="L568" s="133">
        <v>718</v>
      </c>
      <c r="M568" s="139">
        <v>46065</v>
      </c>
      <c r="N568" s="140" t="s">
        <v>1456</v>
      </c>
      <c r="O568" s="134" t="s">
        <v>388</v>
      </c>
    </row>
    <row r="569" spans="1:15" x14ac:dyDescent="0.25">
      <c r="A569" s="133">
        <v>569</v>
      </c>
      <c r="B569" s="134" t="s">
        <v>1452</v>
      </c>
      <c r="C569" s="135">
        <v>195149972</v>
      </c>
      <c r="D569" s="136" t="s">
        <v>1453</v>
      </c>
      <c r="E569" s="137">
        <v>861060</v>
      </c>
      <c r="F569" s="137">
        <v>0</v>
      </c>
      <c r="G569" s="137">
        <v>861060</v>
      </c>
      <c r="H569" s="137">
        <v>0</v>
      </c>
      <c r="I569" s="135"/>
      <c r="J569" s="138">
        <v>0</v>
      </c>
      <c r="K569" s="133"/>
      <c r="L569" s="133">
        <v>718</v>
      </c>
      <c r="M569" s="139">
        <v>46065</v>
      </c>
      <c r="N569" s="140" t="s">
        <v>1456</v>
      </c>
      <c r="O569" s="134" t="s">
        <v>388</v>
      </c>
    </row>
    <row r="570" spans="1:15" x14ac:dyDescent="0.25">
      <c r="A570" s="133">
        <v>570</v>
      </c>
      <c r="B570" s="134" t="s">
        <v>1452</v>
      </c>
      <c r="C570" s="135">
        <v>195149972</v>
      </c>
      <c r="D570" s="136" t="s">
        <v>1453</v>
      </c>
      <c r="E570" s="137">
        <v>861060</v>
      </c>
      <c r="F570" s="137">
        <v>0</v>
      </c>
      <c r="G570" s="137">
        <v>861060</v>
      </c>
      <c r="H570" s="137">
        <v>0</v>
      </c>
      <c r="I570" s="135"/>
      <c r="J570" s="138">
        <v>0</v>
      </c>
      <c r="K570" s="133"/>
      <c r="L570" s="133">
        <v>718</v>
      </c>
      <c r="M570" s="139">
        <v>46065</v>
      </c>
      <c r="N570" s="140" t="s">
        <v>1456</v>
      </c>
      <c r="O570" s="134" t="s">
        <v>388</v>
      </c>
    </row>
    <row r="571" spans="1:15" x14ac:dyDescent="0.25">
      <c r="A571" s="133">
        <v>571</v>
      </c>
      <c r="B571" s="134" t="s">
        <v>1452</v>
      </c>
      <c r="C571" s="135">
        <v>195149972</v>
      </c>
      <c r="D571" s="136" t="s">
        <v>1453</v>
      </c>
      <c r="E571" s="137">
        <v>2583180</v>
      </c>
      <c r="F571" s="137">
        <v>0</v>
      </c>
      <c r="G571" s="137">
        <v>2583180</v>
      </c>
      <c r="H571" s="137">
        <v>0</v>
      </c>
      <c r="I571" s="135"/>
      <c r="J571" s="138">
        <v>0</v>
      </c>
      <c r="K571" s="133"/>
      <c r="L571" s="133">
        <v>718</v>
      </c>
      <c r="M571" s="139">
        <v>46065</v>
      </c>
      <c r="N571" s="140" t="s">
        <v>1456</v>
      </c>
      <c r="O571" s="134" t="s">
        <v>388</v>
      </c>
    </row>
    <row r="572" spans="1:15" x14ac:dyDescent="0.25">
      <c r="A572" s="133">
        <v>572</v>
      </c>
      <c r="B572" s="134" t="s">
        <v>1457</v>
      </c>
      <c r="C572" s="135">
        <v>760500</v>
      </c>
      <c r="D572" s="136" t="s">
        <v>1453</v>
      </c>
      <c r="E572" s="137">
        <v>7700</v>
      </c>
      <c r="F572" s="137">
        <v>7700</v>
      </c>
      <c r="G572" s="137">
        <v>0</v>
      </c>
      <c r="H572" s="137">
        <v>0</v>
      </c>
      <c r="I572" s="135"/>
      <c r="J572" s="138">
        <v>0</v>
      </c>
      <c r="K572" s="133"/>
      <c r="L572" s="133">
        <v>718</v>
      </c>
      <c r="M572" s="139">
        <v>46065</v>
      </c>
      <c r="N572" s="140" t="s">
        <v>1458</v>
      </c>
      <c r="O572" s="134" t="s">
        <v>185</v>
      </c>
    </row>
    <row r="573" spans="1:15" x14ac:dyDescent="0.25">
      <c r="A573" s="133">
        <v>573</v>
      </c>
      <c r="B573" s="134" t="s">
        <v>1457</v>
      </c>
      <c r="C573" s="135">
        <v>760500</v>
      </c>
      <c r="D573" s="136" t="s">
        <v>1453</v>
      </c>
      <c r="E573" s="137">
        <v>14510</v>
      </c>
      <c r="F573" s="137">
        <v>13800</v>
      </c>
      <c r="G573" s="137">
        <v>710</v>
      </c>
      <c r="H573" s="137">
        <v>0</v>
      </c>
      <c r="I573" s="135"/>
      <c r="J573" s="138">
        <v>0</v>
      </c>
      <c r="K573" s="133"/>
      <c r="L573" s="133">
        <v>718</v>
      </c>
      <c r="M573" s="139">
        <v>46065</v>
      </c>
      <c r="N573" s="140" t="s">
        <v>1459</v>
      </c>
      <c r="O573" s="134" t="s">
        <v>185</v>
      </c>
    </row>
    <row r="574" spans="1:15" x14ac:dyDescent="0.25">
      <c r="A574" s="133">
        <v>574</v>
      </c>
      <c r="B574" s="134" t="s">
        <v>1457</v>
      </c>
      <c r="C574" s="135">
        <v>760500</v>
      </c>
      <c r="D574" s="136" t="s">
        <v>1453</v>
      </c>
      <c r="E574" s="137">
        <v>7344</v>
      </c>
      <c r="F574" s="137">
        <v>7000</v>
      </c>
      <c r="G574" s="137">
        <v>344</v>
      </c>
      <c r="H574" s="137">
        <v>0</v>
      </c>
      <c r="I574" s="135"/>
      <c r="J574" s="138">
        <v>0</v>
      </c>
      <c r="K574" s="133"/>
      <c r="L574" s="133">
        <v>718</v>
      </c>
      <c r="M574" s="139">
        <v>46065</v>
      </c>
      <c r="N574" s="140" t="s">
        <v>1460</v>
      </c>
      <c r="O574" s="134" t="s">
        <v>212</v>
      </c>
    </row>
    <row r="575" spans="1:15" x14ac:dyDescent="0.25">
      <c r="A575" s="133">
        <v>575</v>
      </c>
      <c r="B575" s="134" t="s">
        <v>1457</v>
      </c>
      <c r="C575" s="135">
        <v>760500</v>
      </c>
      <c r="D575" s="136" t="s">
        <v>1453</v>
      </c>
      <c r="E575" s="137">
        <v>32869</v>
      </c>
      <c r="F575" s="137">
        <v>31800</v>
      </c>
      <c r="G575" s="137">
        <v>1069</v>
      </c>
      <c r="H575" s="137">
        <v>0</v>
      </c>
      <c r="I575" s="135"/>
      <c r="J575" s="138">
        <v>0</v>
      </c>
      <c r="K575" s="133"/>
      <c r="L575" s="133">
        <v>718</v>
      </c>
      <c r="M575" s="139">
        <v>46065</v>
      </c>
      <c r="N575" s="140" t="s">
        <v>1461</v>
      </c>
      <c r="O575" s="134" t="s">
        <v>212</v>
      </c>
    </row>
    <row r="576" spans="1:15" x14ac:dyDescent="0.25">
      <c r="A576" s="133">
        <v>576</v>
      </c>
      <c r="B576" s="134" t="s">
        <v>1462</v>
      </c>
      <c r="C576" s="135">
        <v>10275824</v>
      </c>
      <c r="D576" s="136" t="s">
        <v>1463</v>
      </c>
      <c r="E576" s="137">
        <v>121807</v>
      </c>
      <c r="F576" s="137">
        <v>0</v>
      </c>
      <c r="G576" s="137">
        <v>121807</v>
      </c>
      <c r="H576" s="137">
        <v>0</v>
      </c>
      <c r="I576" s="141"/>
      <c r="J576" s="138">
        <v>0</v>
      </c>
      <c r="K576" s="133" t="s">
        <v>1464</v>
      </c>
      <c r="L576" s="133">
        <v>717</v>
      </c>
      <c r="M576" s="139">
        <v>46066</v>
      </c>
      <c r="N576" s="140" t="s">
        <v>1465</v>
      </c>
      <c r="O576" s="134">
        <v>112</v>
      </c>
    </row>
    <row r="577" spans="1:15" x14ac:dyDescent="0.25">
      <c r="A577" s="133">
        <v>577</v>
      </c>
      <c r="B577" s="134" t="s">
        <v>1462</v>
      </c>
      <c r="C577" s="135">
        <v>10275824</v>
      </c>
      <c r="D577" s="136" t="s">
        <v>1463</v>
      </c>
      <c r="E577" s="137">
        <v>172900</v>
      </c>
      <c r="F577" s="137">
        <v>0</v>
      </c>
      <c r="G577" s="137">
        <v>172900</v>
      </c>
      <c r="H577" s="137">
        <v>0</v>
      </c>
      <c r="I577" s="141"/>
      <c r="J577" s="138">
        <v>0</v>
      </c>
      <c r="K577" s="133" t="s">
        <v>1464</v>
      </c>
      <c r="L577" s="133">
        <v>717</v>
      </c>
      <c r="M577" s="139">
        <v>46066</v>
      </c>
      <c r="N577" s="140" t="s">
        <v>1465</v>
      </c>
      <c r="O577" s="134">
        <v>127</v>
      </c>
    </row>
    <row r="578" spans="1:15" x14ac:dyDescent="0.25">
      <c r="A578" s="133">
        <v>578</v>
      </c>
      <c r="B578" s="134" t="s">
        <v>1462</v>
      </c>
      <c r="C578" s="135">
        <v>10275824</v>
      </c>
      <c r="D578" s="136" t="s">
        <v>1463</v>
      </c>
      <c r="E578" s="137">
        <v>1595117</v>
      </c>
      <c r="F578" s="137">
        <v>301590</v>
      </c>
      <c r="G578" s="137">
        <v>1293527</v>
      </c>
      <c r="H578" s="137">
        <v>0</v>
      </c>
      <c r="I578" s="141"/>
      <c r="J578" s="138">
        <v>301590</v>
      </c>
      <c r="K578" s="133" t="s">
        <v>1466</v>
      </c>
      <c r="L578" s="133">
        <v>717</v>
      </c>
      <c r="M578" s="139">
        <v>46066</v>
      </c>
      <c r="N578" s="140" t="s">
        <v>1467</v>
      </c>
      <c r="O578" s="134">
        <v>608</v>
      </c>
    </row>
    <row r="579" spans="1:15" x14ac:dyDescent="0.25">
      <c r="A579" s="133">
        <v>579</v>
      </c>
      <c r="B579" s="134" t="s">
        <v>1468</v>
      </c>
      <c r="C579" s="135">
        <v>1343900</v>
      </c>
      <c r="D579" s="136" t="s">
        <v>1463</v>
      </c>
      <c r="E579" s="137">
        <v>100</v>
      </c>
      <c r="F579" s="137">
        <v>100</v>
      </c>
      <c r="G579" s="137">
        <v>0</v>
      </c>
      <c r="H579" s="137">
        <v>0</v>
      </c>
      <c r="I579" s="141"/>
      <c r="J579" s="138">
        <v>0</v>
      </c>
      <c r="K579" s="133" t="s">
        <v>1464</v>
      </c>
      <c r="L579" s="133">
        <v>717</v>
      </c>
      <c r="M579" s="139">
        <v>46066</v>
      </c>
      <c r="N579" s="140" t="s">
        <v>1469</v>
      </c>
      <c r="O579" s="134" t="s">
        <v>185</v>
      </c>
    </row>
    <row r="580" spans="1:15" x14ac:dyDescent="0.25">
      <c r="A580" s="133">
        <v>580</v>
      </c>
      <c r="B580" s="134" t="s">
        <v>1470</v>
      </c>
      <c r="C580" s="135">
        <v>7196280</v>
      </c>
      <c r="D580" s="136" t="s">
        <v>1463</v>
      </c>
      <c r="E580" s="137">
        <v>100</v>
      </c>
      <c r="F580" s="137">
        <v>100</v>
      </c>
      <c r="G580" s="137">
        <v>0</v>
      </c>
      <c r="H580" s="137">
        <v>0</v>
      </c>
      <c r="I580" s="141"/>
      <c r="J580" s="138">
        <v>0</v>
      </c>
      <c r="K580" s="133" t="s">
        <v>1464</v>
      </c>
      <c r="L580" s="133">
        <v>717</v>
      </c>
      <c r="M580" s="139">
        <v>46066</v>
      </c>
      <c r="N580" s="140" t="s">
        <v>1469</v>
      </c>
      <c r="O580" s="134" t="s">
        <v>185</v>
      </c>
    </row>
    <row r="581" spans="1:15" x14ac:dyDescent="0.25">
      <c r="A581" s="133">
        <v>581</v>
      </c>
      <c r="B581" s="134" t="s">
        <v>1470</v>
      </c>
      <c r="C581" s="135">
        <v>7196280</v>
      </c>
      <c r="D581" s="136" t="s">
        <v>1463</v>
      </c>
      <c r="E581" s="137">
        <v>1797500</v>
      </c>
      <c r="F581" s="137">
        <v>359500</v>
      </c>
      <c r="G581" s="137">
        <v>719000</v>
      </c>
      <c r="H581" s="137">
        <v>719000</v>
      </c>
      <c r="I581" s="141"/>
      <c r="J581" s="138">
        <v>0</v>
      </c>
      <c r="K581" s="133" t="s">
        <v>1464</v>
      </c>
      <c r="L581" s="133">
        <v>717</v>
      </c>
      <c r="M581" s="139">
        <v>46066</v>
      </c>
      <c r="N581" s="140" t="s">
        <v>1471</v>
      </c>
      <c r="O581" s="134" t="s">
        <v>194</v>
      </c>
    </row>
    <row r="582" spans="1:15" x14ac:dyDescent="0.25">
      <c r="A582" s="133">
        <v>582</v>
      </c>
      <c r="B582" s="134" t="s">
        <v>1470</v>
      </c>
      <c r="C582" s="135">
        <v>7196280</v>
      </c>
      <c r="D582" s="136" t="s">
        <v>1463</v>
      </c>
      <c r="E582" s="137">
        <v>442800</v>
      </c>
      <c r="F582" s="137">
        <v>221400</v>
      </c>
      <c r="G582" s="137">
        <v>221400</v>
      </c>
      <c r="H582" s="137">
        <v>0</v>
      </c>
      <c r="I582" s="141"/>
      <c r="J582" s="138">
        <v>0</v>
      </c>
      <c r="K582" s="133" t="s">
        <v>1464</v>
      </c>
      <c r="L582" s="133">
        <v>717</v>
      </c>
      <c r="M582" s="139">
        <v>46066</v>
      </c>
      <c r="N582" s="140" t="s">
        <v>1472</v>
      </c>
      <c r="O582" s="134" t="s">
        <v>241</v>
      </c>
    </row>
    <row r="583" spans="1:15" x14ac:dyDescent="0.25">
      <c r="A583" s="133">
        <v>583</v>
      </c>
      <c r="B583" s="134" t="s">
        <v>1470</v>
      </c>
      <c r="C583" s="135">
        <v>7196280</v>
      </c>
      <c r="D583" s="136" t="s">
        <v>1463</v>
      </c>
      <c r="E583" s="137">
        <v>662300</v>
      </c>
      <c r="F583" s="137">
        <v>0</v>
      </c>
      <c r="G583" s="137">
        <v>662300</v>
      </c>
      <c r="H583" s="137">
        <v>0</v>
      </c>
      <c r="I583" s="141"/>
      <c r="J583" s="138">
        <v>0</v>
      </c>
      <c r="K583" s="133" t="s">
        <v>1464</v>
      </c>
      <c r="L583" s="133">
        <v>717</v>
      </c>
      <c r="M583" s="139">
        <v>46066</v>
      </c>
      <c r="N583" s="140" t="s">
        <v>1465</v>
      </c>
      <c r="O583" s="134" t="s">
        <v>275</v>
      </c>
    </row>
    <row r="584" spans="1:15" x14ac:dyDescent="0.25">
      <c r="A584" s="133">
        <v>584</v>
      </c>
      <c r="B584" s="134" t="s">
        <v>1473</v>
      </c>
      <c r="C584" s="135">
        <v>18197562</v>
      </c>
      <c r="D584" s="136" t="s">
        <v>1463</v>
      </c>
      <c r="E584" s="137">
        <v>18197562</v>
      </c>
      <c r="F584" s="137">
        <v>0</v>
      </c>
      <c r="G584" s="137">
        <v>0</v>
      </c>
      <c r="H584" s="137">
        <v>18197562</v>
      </c>
      <c r="I584" s="141"/>
      <c r="J584" s="138">
        <v>0</v>
      </c>
      <c r="K584" s="133" t="s">
        <v>1464</v>
      </c>
      <c r="L584" s="133">
        <v>717</v>
      </c>
      <c r="M584" s="139">
        <v>46066</v>
      </c>
      <c r="N584" s="140" t="s">
        <v>1474</v>
      </c>
      <c r="O584" s="134">
        <v>816</v>
      </c>
    </row>
    <row r="585" spans="1:15" x14ac:dyDescent="0.25">
      <c r="A585" s="133">
        <v>585</v>
      </c>
      <c r="B585" s="134" t="s">
        <v>1475</v>
      </c>
      <c r="C585" s="135">
        <v>56300</v>
      </c>
      <c r="D585" s="136" t="s">
        <v>1463</v>
      </c>
      <c r="E585" s="137">
        <v>56300</v>
      </c>
      <c r="F585" s="137">
        <v>0</v>
      </c>
      <c r="G585" s="137">
        <v>0</v>
      </c>
      <c r="H585" s="137">
        <v>56300</v>
      </c>
      <c r="I585" s="141"/>
      <c r="J585" s="138">
        <v>0</v>
      </c>
      <c r="K585" s="133" t="s">
        <v>1464</v>
      </c>
      <c r="L585" s="133">
        <v>717</v>
      </c>
      <c r="M585" s="139">
        <v>46066</v>
      </c>
      <c r="N585" s="140" t="s">
        <v>1474</v>
      </c>
      <c r="O585" s="134">
        <v>849</v>
      </c>
    </row>
    <row r="586" spans="1:15" x14ac:dyDescent="0.25">
      <c r="A586" s="133">
        <v>586</v>
      </c>
      <c r="B586" s="134" t="s">
        <v>1476</v>
      </c>
      <c r="C586" s="135">
        <v>65300</v>
      </c>
      <c r="D586" s="136" t="s">
        <v>1463</v>
      </c>
      <c r="E586" s="137">
        <v>65300</v>
      </c>
      <c r="F586" s="137">
        <v>0</v>
      </c>
      <c r="G586" s="137">
        <v>0</v>
      </c>
      <c r="H586" s="137">
        <v>65300</v>
      </c>
      <c r="I586" s="141"/>
      <c r="J586" s="138">
        <v>0</v>
      </c>
      <c r="K586" s="133" t="s">
        <v>1464</v>
      </c>
      <c r="L586" s="133">
        <v>717</v>
      </c>
      <c r="M586" s="139">
        <v>46066</v>
      </c>
      <c r="N586" s="140" t="s">
        <v>1474</v>
      </c>
      <c r="O586" s="134">
        <v>849</v>
      </c>
    </row>
    <row r="587" spans="1:15" x14ac:dyDescent="0.25">
      <c r="A587" s="133">
        <v>587</v>
      </c>
      <c r="B587" s="134" t="s">
        <v>1477</v>
      </c>
      <c r="C587" s="135">
        <v>66900</v>
      </c>
      <c r="D587" s="136" t="s">
        <v>1463</v>
      </c>
      <c r="E587" s="137">
        <v>66900</v>
      </c>
      <c r="F587" s="137">
        <v>0</v>
      </c>
      <c r="G587" s="137">
        <v>0</v>
      </c>
      <c r="H587" s="137">
        <v>66900</v>
      </c>
      <c r="I587" s="141"/>
      <c r="J587" s="138">
        <v>0</v>
      </c>
      <c r="K587" s="133" t="s">
        <v>1464</v>
      </c>
      <c r="L587" s="133">
        <v>717</v>
      </c>
      <c r="M587" s="139">
        <v>46066</v>
      </c>
      <c r="N587" s="140" t="s">
        <v>1474</v>
      </c>
      <c r="O587" s="134">
        <v>849</v>
      </c>
    </row>
    <row r="588" spans="1:15" x14ac:dyDescent="0.25">
      <c r="A588" s="133">
        <v>588</v>
      </c>
      <c r="B588" s="134" t="s">
        <v>1478</v>
      </c>
      <c r="C588" s="135">
        <v>5466900</v>
      </c>
      <c r="D588" s="136" t="s">
        <v>1463</v>
      </c>
      <c r="E588" s="137">
        <v>5466900</v>
      </c>
      <c r="F588" s="137">
        <v>0</v>
      </c>
      <c r="G588" s="137">
        <v>0</v>
      </c>
      <c r="H588" s="137">
        <v>5466900</v>
      </c>
      <c r="I588" s="141"/>
      <c r="J588" s="138">
        <v>0</v>
      </c>
      <c r="K588" s="133" t="s">
        <v>1464</v>
      </c>
      <c r="L588" s="133">
        <v>717</v>
      </c>
      <c r="M588" s="139">
        <v>46066</v>
      </c>
      <c r="N588" s="140" t="s">
        <v>1474</v>
      </c>
      <c r="O588" s="134">
        <v>849</v>
      </c>
    </row>
    <row r="589" spans="1:15" x14ac:dyDescent="0.25">
      <c r="A589" s="133">
        <v>589</v>
      </c>
      <c r="B589" s="134" t="s">
        <v>1479</v>
      </c>
      <c r="C589" s="135">
        <v>488300</v>
      </c>
      <c r="D589" s="136" t="s">
        <v>1463</v>
      </c>
      <c r="E589" s="137">
        <v>488300</v>
      </c>
      <c r="F589" s="137">
        <v>0</v>
      </c>
      <c r="G589" s="137">
        <v>0</v>
      </c>
      <c r="H589" s="137">
        <v>488300</v>
      </c>
      <c r="I589" s="141"/>
      <c r="J589" s="138">
        <v>0</v>
      </c>
      <c r="K589" s="133" t="s">
        <v>1464</v>
      </c>
      <c r="L589" s="133">
        <v>717</v>
      </c>
      <c r="M589" s="139">
        <v>46066</v>
      </c>
      <c r="N589" s="140" t="s">
        <v>1474</v>
      </c>
      <c r="O589" s="134">
        <v>849</v>
      </c>
    </row>
    <row r="590" spans="1:15" x14ac:dyDescent="0.25">
      <c r="A590" s="133">
        <v>590</v>
      </c>
      <c r="B590" s="134" t="s">
        <v>1480</v>
      </c>
      <c r="C590" s="135">
        <v>57700</v>
      </c>
      <c r="D590" s="136" t="s">
        <v>1463</v>
      </c>
      <c r="E590" s="137">
        <v>57700</v>
      </c>
      <c r="F590" s="137">
        <v>0</v>
      </c>
      <c r="G590" s="137">
        <v>0</v>
      </c>
      <c r="H590" s="137">
        <v>57700</v>
      </c>
      <c r="I590" s="141"/>
      <c r="J590" s="138">
        <v>0</v>
      </c>
      <c r="K590" s="133" t="s">
        <v>1464</v>
      </c>
      <c r="L590" s="133">
        <v>717</v>
      </c>
      <c r="M590" s="139">
        <v>46066</v>
      </c>
      <c r="N590" s="140" t="s">
        <v>1474</v>
      </c>
      <c r="O590" s="134">
        <v>849</v>
      </c>
    </row>
    <row r="591" spans="1:15" x14ac:dyDescent="0.25">
      <c r="A591" s="133">
        <v>591</v>
      </c>
      <c r="B591" s="134" t="s">
        <v>1481</v>
      </c>
      <c r="C591" s="135">
        <v>531000</v>
      </c>
      <c r="D591" s="136" t="s">
        <v>1463</v>
      </c>
      <c r="E591" s="137">
        <v>531000</v>
      </c>
      <c r="F591" s="137">
        <v>0</v>
      </c>
      <c r="G591" s="137">
        <v>0</v>
      </c>
      <c r="H591" s="137">
        <v>531000</v>
      </c>
      <c r="I591" s="141"/>
      <c r="J591" s="138">
        <v>0</v>
      </c>
      <c r="K591" s="133" t="s">
        <v>1464</v>
      </c>
      <c r="L591" s="133">
        <v>717</v>
      </c>
      <c r="M591" s="139">
        <v>46066</v>
      </c>
      <c r="N591" s="140" t="s">
        <v>1474</v>
      </c>
      <c r="O591" s="134">
        <v>816</v>
      </c>
    </row>
    <row r="592" spans="1:15" x14ac:dyDescent="0.25">
      <c r="A592" s="133">
        <v>592</v>
      </c>
      <c r="B592" s="134" t="s">
        <v>1482</v>
      </c>
      <c r="C592" s="135">
        <v>1167900</v>
      </c>
      <c r="D592" s="136" t="s">
        <v>1463</v>
      </c>
      <c r="E592" s="137">
        <v>1167900</v>
      </c>
      <c r="F592" s="137">
        <v>0</v>
      </c>
      <c r="G592" s="137">
        <v>0</v>
      </c>
      <c r="H592" s="137">
        <v>1167900</v>
      </c>
      <c r="I592" s="141"/>
      <c r="J592" s="138">
        <v>0</v>
      </c>
      <c r="K592" s="133" t="s">
        <v>1464</v>
      </c>
      <c r="L592" s="133">
        <v>717</v>
      </c>
      <c r="M592" s="139">
        <v>46066</v>
      </c>
      <c r="N592" s="140" t="s">
        <v>1474</v>
      </c>
      <c r="O592" s="134">
        <v>849</v>
      </c>
    </row>
    <row r="593" spans="1:15" x14ac:dyDescent="0.25">
      <c r="A593" s="133">
        <v>593</v>
      </c>
      <c r="B593" s="134" t="s">
        <v>1483</v>
      </c>
      <c r="C593" s="135">
        <v>64500</v>
      </c>
      <c r="D593" s="136" t="s">
        <v>1463</v>
      </c>
      <c r="E593" s="137">
        <v>64500</v>
      </c>
      <c r="F593" s="137">
        <v>0</v>
      </c>
      <c r="G593" s="137">
        <v>0</v>
      </c>
      <c r="H593" s="137">
        <v>64500</v>
      </c>
      <c r="I593" s="141"/>
      <c r="J593" s="138">
        <v>0</v>
      </c>
      <c r="K593" s="133" t="s">
        <v>1464</v>
      </c>
      <c r="L593" s="133">
        <v>717</v>
      </c>
      <c r="M593" s="139">
        <v>46066</v>
      </c>
      <c r="N593" s="140" t="s">
        <v>1474</v>
      </c>
      <c r="O593" s="134">
        <v>849</v>
      </c>
    </row>
    <row r="594" spans="1:15" x14ac:dyDescent="0.25">
      <c r="A594" s="133">
        <v>594</v>
      </c>
      <c r="B594" s="134" t="s">
        <v>1484</v>
      </c>
      <c r="C594" s="135">
        <v>119600</v>
      </c>
      <c r="D594" s="136" t="s">
        <v>1463</v>
      </c>
      <c r="E594" s="137">
        <v>119600</v>
      </c>
      <c r="F594" s="137">
        <v>0</v>
      </c>
      <c r="G594" s="137">
        <v>0</v>
      </c>
      <c r="H594" s="137">
        <v>119600</v>
      </c>
      <c r="I594" s="141"/>
      <c r="J594" s="138">
        <v>0</v>
      </c>
      <c r="K594" s="133" t="s">
        <v>1464</v>
      </c>
      <c r="L594" s="133">
        <v>717</v>
      </c>
      <c r="M594" s="139">
        <v>46066</v>
      </c>
      <c r="N594" s="140" t="s">
        <v>1474</v>
      </c>
      <c r="O594" s="134">
        <v>849</v>
      </c>
    </row>
    <row r="595" spans="1:15" x14ac:dyDescent="0.25">
      <c r="A595" s="133">
        <v>595</v>
      </c>
      <c r="B595" s="134" t="s">
        <v>1485</v>
      </c>
      <c r="C595" s="135">
        <v>64500</v>
      </c>
      <c r="D595" s="136" t="s">
        <v>1463</v>
      </c>
      <c r="E595" s="137">
        <v>64500</v>
      </c>
      <c r="F595" s="137">
        <v>0</v>
      </c>
      <c r="G595" s="137">
        <v>0</v>
      </c>
      <c r="H595" s="137">
        <v>64500</v>
      </c>
      <c r="I595" s="141"/>
      <c r="J595" s="138">
        <v>0</v>
      </c>
      <c r="K595" s="133" t="s">
        <v>1464</v>
      </c>
      <c r="L595" s="133">
        <v>717</v>
      </c>
      <c r="M595" s="139">
        <v>46066</v>
      </c>
      <c r="N595" s="140" t="s">
        <v>1474</v>
      </c>
      <c r="O595" s="134">
        <v>849</v>
      </c>
    </row>
    <row r="596" spans="1:15" x14ac:dyDescent="0.25">
      <c r="A596" s="133">
        <v>596</v>
      </c>
      <c r="B596" s="134" t="s">
        <v>1486</v>
      </c>
      <c r="C596" s="135">
        <v>62800</v>
      </c>
      <c r="D596" s="136" t="s">
        <v>1463</v>
      </c>
      <c r="E596" s="137">
        <v>62800</v>
      </c>
      <c r="F596" s="137">
        <v>0</v>
      </c>
      <c r="G596" s="137">
        <v>0</v>
      </c>
      <c r="H596" s="137">
        <v>62800</v>
      </c>
      <c r="I596" s="141"/>
      <c r="J596" s="138">
        <v>0</v>
      </c>
      <c r="K596" s="133" t="s">
        <v>1464</v>
      </c>
      <c r="L596" s="133">
        <v>717</v>
      </c>
      <c r="M596" s="139">
        <v>46066</v>
      </c>
      <c r="N596" s="140" t="s">
        <v>1474</v>
      </c>
      <c r="O596" s="134">
        <v>849</v>
      </c>
    </row>
    <row r="597" spans="1:15" x14ac:dyDescent="0.25">
      <c r="A597" s="133">
        <v>597</v>
      </c>
      <c r="B597" s="134" t="s">
        <v>1487</v>
      </c>
      <c r="C597" s="135">
        <v>62800</v>
      </c>
      <c r="D597" s="136" t="s">
        <v>1463</v>
      </c>
      <c r="E597" s="137">
        <v>62800</v>
      </c>
      <c r="F597" s="137">
        <v>0</v>
      </c>
      <c r="G597" s="137">
        <v>0</v>
      </c>
      <c r="H597" s="137">
        <v>62800</v>
      </c>
      <c r="I597" s="141"/>
      <c r="J597" s="138">
        <v>0</v>
      </c>
      <c r="K597" s="133" t="s">
        <v>1464</v>
      </c>
      <c r="L597" s="133">
        <v>717</v>
      </c>
      <c r="M597" s="139">
        <v>46066</v>
      </c>
      <c r="N597" s="140" t="s">
        <v>1474</v>
      </c>
      <c r="O597" s="134">
        <v>849</v>
      </c>
    </row>
    <row r="598" spans="1:15" x14ac:dyDescent="0.25">
      <c r="A598" s="133">
        <v>598</v>
      </c>
      <c r="B598" s="134" t="s">
        <v>1488</v>
      </c>
      <c r="C598" s="135">
        <v>368000</v>
      </c>
      <c r="D598" s="136" t="s">
        <v>1463</v>
      </c>
      <c r="E598" s="137">
        <v>100</v>
      </c>
      <c r="F598" s="137">
        <v>100</v>
      </c>
      <c r="G598" s="137">
        <v>0</v>
      </c>
      <c r="H598" s="137">
        <v>0</v>
      </c>
      <c r="I598" s="141"/>
      <c r="J598" s="138">
        <v>0</v>
      </c>
      <c r="K598" s="133" t="s">
        <v>1464</v>
      </c>
      <c r="L598" s="133">
        <v>717</v>
      </c>
      <c r="M598" s="139">
        <v>46066</v>
      </c>
      <c r="N598" s="140" t="s">
        <v>1469</v>
      </c>
      <c r="O598" s="134" t="s">
        <v>185</v>
      </c>
    </row>
    <row r="599" spans="1:15" x14ac:dyDescent="0.25">
      <c r="A599" s="133">
        <v>599</v>
      </c>
      <c r="B599" s="134" t="s">
        <v>1489</v>
      </c>
      <c r="C599" s="135">
        <v>73700</v>
      </c>
      <c r="D599" s="136" t="s">
        <v>1463</v>
      </c>
      <c r="E599" s="137">
        <v>200</v>
      </c>
      <c r="F599" s="137">
        <v>200</v>
      </c>
      <c r="G599" s="137">
        <v>0</v>
      </c>
      <c r="H599" s="137">
        <v>0</v>
      </c>
      <c r="I599" s="141"/>
      <c r="J599" s="138">
        <v>0</v>
      </c>
      <c r="K599" s="133" t="s">
        <v>1464</v>
      </c>
      <c r="L599" s="133">
        <v>717</v>
      </c>
      <c r="M599" s="139">
        <v>46066</v>
      </c>
      <c r="N599" s="140" t="s">
        <v>1490</v>
      </c>
      <c r="O599" s="134" t="s">
        <v>185</v>
      </c>
    </row>
    <row r="600" spans="1:15" x14ac:dyDescent="0.25">
      <c r="A600" s="133">
        <v>600</v>
      </c>
      <c r="B600" s="134" t="s">
        <v>1491</v>
      </c>
      <c r="C600" s="135">
        <v>319000</v>
      </c>
      <c r="D600" s="136" t="s">
        <v>1463</v>
      </c>
      <c r="E600" s="137">
        <v>319000</v>
      </c>
      <c r="F600" s="137">
        <v>0</v>
      </c>
      <c r="G600" s="137">
        <v>0</v>
      </c>
      <c r="H600" s="137">
        <v>319000</v>
      </c>
      <c r="I600" s="141"/>
      <c r="J600" s="138">
        <v>0</v>
      </c>
      <c r="K600" s="133" t="s">
        <v>1464</v>
      </c>
      <c r="L600" s="133">
        <v>717</v>
      </c>
      <c r="M600" s="139">
        <v>46066</v>
      </c>
      <c r="N600" s="140" t="s">
        <v>1474</v>
      </c>
      <c r="O600" s="134">
        <v>849</v>
      </c>
    </row>
    <row r="601" spans="1:15" x14ac:dyDescent="0.25">
      <c r="A601" s="133">
        <v>601</v>
      </c>
      <c r="B601" s="134" t="s">
        <v>1492</v>
      </c>
      <c r="C601" s="135">
        <v>71500</v>
      </c>
      <c r="D601" s="136" t="s">
        <v>1463</v>
      </c>
      <c r="E601" s="137">
        <v>71500</v>
      </c>
      <c r="F601" s="137">
        <v>0</v>
      </c>
      <c r="G601" s="137">
        <v>0</v>
      </c>
      <c r="H601" s="137">
        <v>71500</v>
      </c>
      <c r="I601" s="141"/>
      <c r="J601" s="138">
        <v>0</v>
      </c>
      <c r="K601" s="133" t="s">
        <v>1464</v>
      </c>
      <c r="L601" s="133">
        <v>717</v>
      </c>
      <c r="M601" s="139">
        <v>46066</v>
      </c>
      <c r="N601" s="140" t="s">
        <v>1474</v>
      </c>
      <c r="O601" s="134">
        <v>849</v>
      </c>
    </row>
    <row r="602" spans="1:15" x14ac:dyDescent="0.25">
      <c r="A602" s="133">
        <v>602</v>
      </c>
      <c r="B602" s="134" t="s">
        <v>1493</v>
      </c>
      <c r="C602" s="135">
        <v>11607039</v>
      </c>
      <c r="D602" s="136" t="s">
        <v>1494</v>
      </c>
      <c r="E602" s="137">
        <v>629700</v>
      </c>
      <c r="F602" s="137">
        <v>629700</v>
      </c>
      <c r="G602" s="137">
        <v>0</v>
      </c>
      <c r="H602" s="137">
        <v>0</v>
      </c>
      <c r="I602" s="141"/>
      <c r="J602" s="138">
        <v>0</v>
      </c>
      <c r="K602" s="133" t="s">
        <v>1464</v>
      </c>
      <c r="L602" s="133">
        <v>707</v>
      </c>
      <c r="M602" s="139">
        <v>46062</v>
      </c>
      <c r="N602" s="140" t="s">
        <v>1495</v>
      </c>
      <c r="O602" s="134">
        <v>106</v>
      </c>
    </row>
    <row r="603" spans="1:15" x14ac:dyDescent="0.25">
      <c r="A603" s="133">
        <v>603</v>
      </c>
      <c r="B603" s="134" t="s">
        <v>1496</v>
      </c>
      <c r="C603" s="135">
        <v>11574420</v>
      </c>
      <c r="D603" s="136" t="s">
        <v>1494</v>
      </c>
      <c r="E603" s="137">
        <v>629700</v>
      </c>
      <c r="F603" s="137">
        <v>629700</v>
      </c>
      <c r="G603" s="137">
        <v>0</v>
      </c>
      <c r="H603" s="137">
        <v>0</v>
      </c>
      <c r="I603" s="141"/>
      <c r="J603" s="138">
        <v>0</v>
      </c>
      <c r="K603" s="133" t="s">
        <v>1464</v>
      </c>
      <c r="L603" s="133">
        <v>707</v>
      </c>
      <c r="M603" s="139">
        <v>46062</v>
      </c>
      <c r="N603" s="140" t="s">
        <v>1497</v>
      </c>
      <c r="O603" s="134">
        <v>108</v>
      </c>
    </row>
    <row r="604" spans="1:15" x14ac:dyDescent="0.25">
      <c r="A604" s="133">
        <v>604</v>
      </c>
      <c r="B604" s="134" t="s">
        <v>1498</v>
      </c>
      <c r="C604" s="135">
        <v>6427713</v>
      </c>
      <c r="D604" s="136" t="s">
        <v>1494</v>
      </c>
      <c r="E604" s="137">
        <v>209900</v>
      </c>
      <c r="F604" s="137">
        <v>209900</v>
      </c>
      <c r="G604" s="137">
        <v>0</v>
      </c>
      <c r="H604" s="137">
        <v>0</v>
      </c>
      <c r="I604" s="141"/>
      <c r="J604" s="138">
        <v>0</v>
      </c>
      <c r="K604" s="133" t="s">
        <v>1464</v>
      </c>
      <c r="L604" s="133">
        <v>707</v>
      </c>
      <c r="M604" s="139">
        <v>46062</v>
      </c>
      <c r="N604" s="140" t="s">
        <v>1499</v>
      </c>
      <c r="O604" s="134">
        <v>108</v>
      </c>
    </row>
    <row r="605" spans="1:15" x14ac:dyDescent="0.25">
      <c r="A605" s="133">
        <v>605</v>
      </c>
      <c r="B605" s="134" t="s">
        <v>1500</v>
      </c>
      <c r="C605" s="135">
        <v>369785</v>
      </c>
      <c r="D605" s="136" t="s">
        <v>1494</v>
      </c>
      <c r="E605" s="137">
        <v>195</v>
      </c>
      <c r="F605" s="137">
        <v>0</v>
      </c>
      <c r="G605" s="137">
        <v>195</v>
      </c>
      <c r="H605" s="137">
        <v>0</v>
      </c>
      <c r="I605" s="141"/>
      <c r="J605" s="138">
        <v>0</v>
      </c>
      <c r="K605" s="133" t="s">
        <v>1464</v>
      </c>
      <c r="L605" s="133">
        <v>707</v>
      </c>
      <c r="M605" s="139">
        <v>46062</v>
      </c>
      <c r="N605" s="140" t="s">
        <v>1501</v>
      </c>
      <c r="O605" s="134">
        <v>206</v>
      </c>
    </row>
    <row r="606" spans="1:15" x14ac:dyDescent="0.25">
      <c r="A606" s="133">
        <v>606</v>
      </c>
      <c r="B606" s="134" t="s">
        <v>1500</v>
      </c>
      <c r="C606" s="135">
        <v>369785</v>
      </c>
      <c r="D606" s="136" t="s">
        <v>1494</v>
      </c>
      <c r="E606" s="137">
        <v>2500</v>
      </c>
      <c r="F606" s="137">
        <v>0</v>
      </c>
      <c r="G606" s="137">
        <v>2500</v>
      </c>
      <c r="H606" s="137">
        <v>0</v>
      </c>
      <c r="I606" s="141"/>
      <c r="J606" s="138">
        <v>0</v>
      </c>
      <c r="K606" s="133" t="s">
        <v>1464</v>
      </c>
      <c r="L606" s="133">
        <v>707</v>
      </c>
      <c r="M606" s="139">
        <v>46062</v>
      </c>
      <c r="N606" s="140" t="s">
        <v>1501</v>
      </c>
      <c r="O606" s="134">
        <v>207</v>
      </c>
    </row>
    <row r="607" spans="1:15" x14ac:dyDescent="0.25">
      <c r="A607" s="133">
        <v>607</v>
      </c>
      <c r="B607" s="134" t="s">
        <v>1500</v>
      </c>
      <c r="C607" s="135">
        <v>369785</v>
      </c>
      <c r="D607" s="136" t="s">
        <v>1494</v>
      </c>
      <c r="E607" s="137">
        <v>90400</v>
      </c>
      <c r="F607" s="137">
        <v>90400</v>
      </c>
      <c r="G607" s="137">
        <v>0</v>
      </c>
      <c r="H607" s="137">
        <v>0</v>
      </c>
      <c r="I607" s="141"/>
      <c r="J607" s="138">
        <v>0</v>
      </c>
      <c r="K607" s="133" t="s">
        <v>1464</v>
      </c>
      <c r="L607" s="133">
        <v>707</v>
      </c>
      <c r="M607" s="139">
        <v>46062</v>
      </c>
      <c r="N607" s="140" t="s">
        <v>1502</v>
      </c>
      <c r="O607" s="134">
        <v>608</v>
      </c>
    </row>
    <row r="608" spans="1:15" x14ac:dyDescent="0.25">
      <c r="A608" s="133">
        <v>608</v>
      </c>
      <c r="B608" s="134" t="s">
        <v>1503</v>
      </c>
      <c r="C608" s="135">
        <v>838600</v>
      </c>
      <c r="D608" s="136" t="s">
        <v>1494</v>
      </c>
      <c r="E608" s="137">
        <v>192100</v>
      </c>
      <c r="F608" s="137">
        <v>192100</v>
      </c>
      <c r="G608" s="137">
        <v>0</v>
      </c>
      <c r="H608" s="137">
        <v>0</v>
      </c>
      <c r="I608" s="141"/>
      <c r="J608" s="138">
        <v>0</v>
      </c>
      <c r="K608" s="133" t="s">
        <v>1464</v>
      </c>
      <c r="L608" s="133">
        <v>707</v>
      </c>
      <c r="M608" s="139">
        <v>46062</v>
      </c>
      <c r="N608" s="140" t="s">
        <v>1504</v>
      </c>
      <c r="O608" s="134">
        <v>601</v>
      </c>
    </row>
    <row r="609" spans="1:15" x14ac:dyDescent="0.25">
      <c r="A609" s="133">
        <v>609</v>
      </c>
      <c r="B609" s="134" t="s">
        <v>1505</v>
      </c>
      <c r="C609" s="135">
        <v>636000</v>
      </c>
      <c r="D609" s="136" t="s">
        <v>1494</v>
      </c>
      <c r="E609" s="137">
        <v>318000</v>
      </c>
      <c r="F609" s="137">
        <v>318000</v>
      </c>
      <c r="G609" s="137">
        <v>0</v>
      </c>
      <c r="H609" s="137">
        <v>0</v>
      </c>
      <c r="I609" s="141"/>
      <c r="J609" s="138">
        <v>0</v>
      </c>
      <c r="K609" s="133" t="s">
        <v>1464</v>
      </c>
      <c r="L609" s="133">
        <v>707</v>
      </c>
      <c r="M609" s="139">
        <v>46062</v>
      </c>
      <c r="N609" s="140" t="s">
        <v>1506</v>
      </c>
      <c r="O609" s="134">
        <v>604</v>
      </c>
    </row>
    <row r="610" spans="1:15" x14ac:dyDescent="0.25">
      <c r="A610" s="133">
        <v>610</v>
      </c>
      <c r="B610" s="134" t="s">
        <v>1507</v>
      </c>
      <c r="C610" s="135">
        <v>2354835</v>
      </c>
      <c r="D610" s="136" t="s">
        <v>1494</v>
      </c>
      <c r="E610" s="137">
        <v>2700</v>
      </c>
      <c r="F610" s="137">
        <v>0</v>
      </c>
      <c r="G610" s="137">
        <v>2700</v>
      </c>
      <c r="H610" s="137">
        <v>0</v>
      </c>
      <c r="I610" s="141"/>
      <c r="J610" s="138">
        <v>0</v>
      </c>
      <c r="K610" s="133" t="s">
        <v>1464</v>
      </c>
      <c r="L610" s="133">
        <v>707</v>
      </c>
      <c r="M610" s="139">
        <v>46062</v>
      </c>
      <c r="N610" s="140" t="s">
        <v>1501</v>
      </c>
      <c r="O610" s="134">
        <v>206</v>
      </c>
    </row>
    <row r="611" spans="1:15" x14ac:dyDescent="0.25">
      <c r="A611" s="133">
        <v>611</v>
      </c>
      <c r="B611" s="134" t="s">
        <v>1507</v>
      </c>
      <c r="C611" s="135">
        <v>2354835</v>
      </c>
      <c r="D611" s="136" t="s">
        <v>1494</v>
      </c>
      <c r="E611" s="137">
        <v>46700</v>
      </c>
      <c r="F611" s="137">
        <v>46700</v>
      </c>
      <c r="G611" s="137">
        <v>0</v>
      </c>
      <c r="H611" s="137">
        <v>0</v>
      </c>
      <c r="I611" s="141"/>
      <c r="J611" s="138">
        <v>0</v>
      </c>
      <c r="K611" s="133" t="s">
        <v>1464</v>
      </c>
      <c r="L611" s="133">
        <v>707</v>
      </c>
      <c r="M611" s="139">
        <v>46062</v>
      </c>
      <c r="N611" s="140" t="s">
        <v>1508</v>
      </c>
      <c r="O611" s="134">
        <v>608</v>
      </c>
    </row>
    <row r="612" spans="1:15" x14ac:dyDescent="0.25">
      <c r="A612" s="133">
        <v>612</v>
      </c>
      <c r="B612" s="134" t="s">
        <v>1509</v>
      </c>
      <c r="C612" s="135">
        <v>71500</v>
      </c>
      <c r="D612" s="136" t="s">
        <v>1494</v>
      </c>
      <c r="E612" s="137">
        <v>10300</v>
      </c>
      <c r="F612" s="137">
        <v>10300</v>
      </c>
      <c r="G612" s="137">
        <v>0</v>
      </c>
      <c r="H612" s="137">
        <v>0</v>
      </c>
      <c r="I612" s="141"/>
      <c r="J612" s="138">
        <v>0</v>
      </c>
      <c r="K612" s="133" t="s">
        <v>1464</v>
      </c>
      <c r="L612" s="133">
        <v>707</v>
      </c>
      <c r="M612" s="139">
        <v>46062</v>
      </c>
      <c r="N612" s="140" t="s">
        <v>1510</v>
      </c>
      <c r="O612" s="134">
        <v>102</v>
      </c>
    </row>
    <row r="613" spans="1:15" x14ac:dyDescent="0.25">
      <c r="A613" s="133">
        <v>613</v>
      </c>
      <c r="B613" s="134" t="s">
        <v>1511</v>
      </c>
      <c r="C613" s="135">
        <v>3585852</v>
      </c>
      <c r="D613" s="136" t="s">
        <v>1494</v>
      </c>
      <c r="E613" s="137">
        <v>32000</v>
      </c>
      <c r="F613" s="137">
        <v>0</v>
      </c>
      <c r="G613" s="137">
        <v>32000</v>
      </c>
      <c r="H613" s="137">
        <v>0</v>
      </c>
      <c r="I613" s="141"/>
      <c r="J613" s="138">
        <v>0</v>
      </c>
      <c r="K613" s="133" t="s">
        <v>1464</v>
      </c>
      <c r="L613" s="133">
        <v>707</v>
      </c>
      <c r="M613" s="139">
        <v>46062</v>
      </c>
      <c r="N613" s="140" t="s">
        <v>1501</v>
      </c>
      <c r="O613" s="134">
        <v>102</v>
      </c>
    </row>
    <row r="614" spans="1:15" x14ac:dyDescent="0.25">
      <c r="A614" s="133">
        <v>614</v>
      </c>
      <c r="B614" s="134" t="s">
        <v>1511</v>
      </c>
      <c r="C614" s="135">
        <v>3585852</v>
      </c>
      <c r="D614" s="136" t="s">
        <v>1494</v>
      </c>
      <c r="E614" s="137">
        <v>344226</v>
      </c>
      <c r="F614" s="137">
        <v>0</v>
      </c>
      <c r="G614" s="137">
        <v>0</v>
      </c>
      <c r="H614" s="137">
        <v>344226</v>
      </c>
      <c r="I614" s="141"/>
      <c r="J614" s="138">
        <v>0</v>
      </c>
      <c r="K614" s="133" t="s">
        <v>1464</v>
      </c>
      <c r="L614" s="133">
        <v>707</v>
      </c>
      <c r="M614" s="139">
        <v>46062</v>
      </c>
      <c r="N614" s="140" t="s">
        <v>1512</v>
      </c>
      <c r="O614" s="134">
        <v>607</v>
      </c>
    </row>
    <row r="615" spans="1:15" x14ac:dyDescent="0.25">
      <c r="A615" s="133">
        <v>615</v>
      </c>
      <c r="B615" s="134" t="s">
        <v>1511</v>
      </c>
      <c r="C615" s="135">
        <v>3585852</v>
      </c>
      <c r="D615" s="136" t="s">
        <v>1494</v>
      </c>
      <c r="E615" s="137">
        <v>1086126</v>
      </c>
      <c r="F615" s="137">
        <v>98400</v>
      </c>
      <c r="G615" s="137">
        <v>0</v>
      </c>
      <c r="H615" s="137">
        <v>987726</v>
      </c>
      <c r="I615" s="141"/>
      <c r="J615" s="138">
        <v>0</v>
      </c>
      <c r="K615" s="133" t="s">
        <v>1464</v>
      </c>
      <c r="L615" s="133">
        <v>707</v>
      </c>
      <c r="M615" s="139">
        <v>46062</v>
      </c>
      <c r="N615" s="140" t="s">
        <v>1513</v>
      </c>
      <c r="O615" s="134">
        <v>608</v>
      </c>
    </row>
    <row r="616" spans="1:15" x14ac:dyDescent="0.25">
      <c r="A616" s="133">
        <v>616</v>
      </c>
      <c r="B616" s="134" t="s">
        <v>1514</v>
      </c>
      <c r="C616" s="135">
        <v>4916206</v>
      </c>
      <c r="D616" s="136" t="s">
        <v>1494</v>
      </c>
      <c r="E616" s="137">
        <v>1122200</v>
      </c>
      <c r="F616" s="137">
        <v>1022900</v>
      </c>
      <c r="G616" s="137">
        <v>99300</v>
      </c>
      <c r="H616" s="137">
        <v>0</v>
      </c>
      <c r="I616" s="141"/>
      <c r="J616" s="138">
        <v>0</v>
      </c>
      <c r="K616" s="133" t="s">
        <v>1464</v>
      </c>
      <c r="L616" s="133">
        <v>707</v>
      </c>
      <c r="M616" s="139">
        <v>46062</v>
      </c>
      <c r="N616" s="140" t="s">
        <v>1515</v>
      </c>
      <c r="O616" s="134">
        <v>608</v>
      </c>
    </row>
    <row r="617" spans="1:15" x14ac:dyDescent="0.25">
      <c r="A617" s="133">
        <v>617</v>
      </c>
      <c r="B617" s="134" t="s">
        <v>1516</v>
      </c>
      <c r="C617" s="135">
        <v>11873094</v>
      </c>
      <c r="D617" s="136" t="s">
        <v>1494</v>
      </c>
      <c r="E617" s="137">
        <v>194500</v>
      </c>
      <c r="F617" s="137">
        <v>181700</v>
      </c>
      <c r="G617" s="137">
        <v>12800</v>
      </c>
      <c r="H617" s="137">
        <v>0</v>
      </c>
      <c r="I617" s="141"/>
      <c r="J617" s="138">
        <v>0</v>
      </c>
      <c r="K617" s="133" t="s">
        <v>1464</v>
      </c>
      <c r="L617" s="133">
        <v>707</v>
      </c>
      <c r="M617" s="139">
        <v>46062</v>
      </c>
      <c r="N617" s="140" t="s">
        <v>1517</v>
      </c>
      <c r="O617" s="134">
        <v>108</v>
      </c>
    </row>
    <row r="618" spans="1:15" x14ac:dyDescent="0.25">
      <c r="A618" s="133">
        <v>618</v>
      </c>
      <c r="B618" s="134" t="s">
        <v>1516</v>
      </c>
      <c r="C618" s="135">
        <v>11873094</v>
      </c>
      <c r="D618" s="136" t="s">
        <v>1494</v>
      </c>
      <c r="E618" s="137">
        <v>51300</v>
      </c>
      <c r="F618" s="137">
        <v>0</v>
      </c>
      <c r="G618" s="137">
        <v>51300</v>
      </c>
      <c r="H618" s="137">
        <v>0</v>
      </c>
      <c r="I618" s="141"/>
      <c r="J618" s="138">
        <v>0</v>
      </c>
      <c r="K618" s="133" t="s">
        <v>1464</v>
      </c>
      <c r="L618" s="133">
        <v>707</v>
      </c>
      <c r="M618" s="139">
        <v>46062</v>
      </c>
      <c r="N618" s="140" t="s">
        <v>1501</v>
      </c>
      <c r="O618" s="134">
        <v>206</v>
      </c>
    </row>
    <row r="619" spans="1:15" x14ac:dyDescent="0.25">
      <c r="A619" s="133">
        <v>619</v>
      </c>
      <c r="B619" s="134" t="s">
        <v>1516</v>
      </c>
      <c r="C619" s="135">
        <v>11873094</v>
      </c>
      <c r="D619" s="136" t="s">
        <v>1494</v>
      </c>
      <c r="E619" s="137">
        <v>1527726</v>
      </c>
      <c r="F619" s="137">
        <v>1424626</v>
      </c>
      <c r="G619" s="137">
        <v>103100</v>
      </c>
      <c r="H619" s="137">
        <v>0</v>
      </c>
      <c r="I619" s="141"/>
      <c r="J619" s="138">
        <v>0</v>
      </c>
      <c r="K619" s="133" t="s">
        <v>1464</v>
      </c>
      <c r="L619" s="133">
        <v>707</v>
      </c>
      <c r="M619" s="139">
        <v>46062</v>
      </c>
      <c r="N619" s="140" t="s">
        <v>1518</v>
      </c>
      <c r="O619" s="134">
        <v>608</v>
      </c>
    </row>
    <row r="620" spans="1:15" x14ac:dyDescent="0.25">
      <c r="A620" s="133">
        <v>620</v>
      </c>
      <c r="B620" s="134" t="s">
        <v>1519</v>
      </c>
      <c r="C620" s="135">
        <v>11938302</v>
      </c>
      <c r="D620" s="136" t="s">
        <v>1494</v>
      </c>
      <c r="E620" s="137">
        <v>93200</v>
      </c>
      <c r="F620" s="137">
        <v>93200</v>
      </c>
      <c r="G620" s="137">
        <v>0</v>
      </c>
      <c r="H620" s="137">
        <v>0</v>
      </c>
      <c r="I620" s="141"/>
      <c r="J620" s="138">
        <v>93200</v>
      </c>
      <c r="K620" s="133" t="s">
        <v>1466</v>
      </c>
      <c r="L620" s="133">
        <v>707</v>
      </c>
      <c r="M620" s="139">
        <v>46062</v>
      </c>
      <c r="N620" s="140" t="s">
        <v>1520</v>
      </c>
      <c r="O620" s="134">
        <v>112</v>
      </c>
    </row>
    <row r="621" spans="1:15" x14ac:dyDescent="0.25">
      <c r="A621" s="133">
        <v>621</v>
      </c>
      <c r="B621" s="134" t="s">
        <v>1519</v>
      </c>
      <c r="C621" s="135">
        <v>11938302</v>
      </c>
      <c r="D621" s="136" t="s">
        <v>1494</v>
      </c>
      <c r="E621" s="137">
        <v>51700</v>
      </c>
      <c r="F621" s="137">
        <v>0</v>
      </c>
      <c r="G621" s="137">
        <v>51700</v>
      </c>
      <c r="H621" s="137">
        <v>0</v>
      </c>
      <c r="I621" s="141"/>
      <c r="J621" s="138">
        <v>0</v>
      </c>
      <c r="K621" s="133" t="s">
        <v>1464</v>
      </c>
      <c r="L621" s="133">
        <v>707</v>
      </c>
      <c r="M621" s="139">
        <v>46062</v>
      </c>
      <c r="N621" s="140" t="s">
        <v>1501</v>
      </c>
      <c r="O621" s="134">
        <v>108</v>
      </c>
    </row>
    <row r="622" spans="1:15" x14ac:dyDescent="0.25">
      <c r="A622" s="133">
        <v>622</v>
      </c>
      <c r="B622" s="134" t="s">
        <v>1519</v>
      </c>
      <c r="C622" s="135">
        <v>11938302</v>
      </c>
      <c r="D622" s="136" t="s">
        <v>1494</v>
      </c>
      <c r="E622" s="137">
        <v>39600</v>
      </c>
      <c r="F622" s="137">
        <v>0</v>
      </c>
      <c r="G622" s="137">
        <v>39600</v>
      </c>
      <c r="H622" s="137">
        <v>0</v>
      </c>
      <c r="I622" s="141"/>
      <c r="J622" s="138">
        <v>0</v>
      </c>
      <c r="K622" s="133" t="s">
        <v>1464</v>
      </c>
      <c r="L622" s="133">
        <v>707</v>
      </c>
      <c r="M622" s="139">
        <v>46062</v>
      </c>
      <c r="N622" s="140" t="s">
        <v>1501</v>
      </c>
      <c r="O622" s="134">
        <v>207</v>
      </c>
    </row>
    <row r="623" spans="1:15" x14ac:dyDescent="0.25">
      <c r="A623" s="133">
        <v>623</v>
      </c>
      <c r="B623" s="134" t="s">
        <v>1519</v>
      </c>
      <c r="C623" s="135">
        <v>11938302</v>
      </c>
      <c r="D623" s="136" t="s">
        <v>1494</v>
      </c>
      <c r="E623" s="137">
        <v>87200</v>
      </c>
      <c r="F623" s="137">
        <v>0</v>
      </c>
      <c r="G623" s="137">
        <v>87200</v>
      </c>
      <c r="H623" s="137">
        <v>0</v>
      </c>
      <c r="I623" s="141"/>
      <c r="J623" s="138">
        <v>0</v>
      </c>
      <c r="K623" s="133" t="s">
        <v>1464</v>
      </c>
      <c r="L623" s="133">
        <v>707</v>
      </c>
      <c r="M623" s="139">
        <v>46062</v>
      </c>
      <c r="N623" s="140" t="s">
        <v>1501</v>
      </c>
      <c r="O623" s="134">
        <v>206</v>
      </c>
    </row>
    <row r="624" spans="1:15" x14ac:dyDescent="0.25">
      <c r="A624" s="133">
        <v>624</v>
      </c>
      <c r="B624" s="134" t="s">
        <v>1519</v>
      </c>
      <c r="C624" s="135">
        <v>11938302</v>
      </c>
      <c r="D624" s="136" t="s">
        <v>1494</v>
      </c>
      <c r="E624" s="137">
        <v>173200</v>
      </c>
      <c r="F624" s="137">
        <v>0</v>
      </c>
      <c r="G624" s="137">
        <v>173200</v>
      </c>
      <c r="H624" s="137">
        <v>0</v>
      </c>
      <c r="I624" s="141"/>
      <c r="J624" s="138">
        <v>0</v>
      </c>
      <c r="K624" s="133" t="s">
        <v>1464</v>
      </c>
      <c r="L624" s="133">
        <v>707</v>
      </c>
      <c r="M624" s="139">
        <v>46062</v>
      </c>
      <c r="N624" s="140" t="s">
        <v>1501</v>
      </c>
      <c r="O624" s="134">
        <v>341</v>
      </c>
    </row>
    <row r="625" spans="1:15" x14ac:dyDescent="0.25">
      <c r="A625" s="133">
        <v>625</v>
      </c>
      <c r="B625" s="134" t="s">
        <v>1521</v>
      </c>
      <c r="C625" s="135">
        <v>324900</v>
      </c>
      <c r="D625" s="136" t="s">
        <v>1494</v>
      </c>
      <c r="E625" s="137">
        <v>90400</v>
      </c>
      <c r="F625" s="137">
        <v>0</v>
      </c>
      <c r="G625" s="137">
        <v>90400</v>
      </c>
      <c r="H625" s="137">
        <v>0</v>
      </c>
      <c r="I625" s="141"/>
      <c r="J625" s="138">
        <v>0</v>
      </c>
      <c r="K625" s="133" t="s">
        <v>1464</v>
      </c>
      <c r="L625" s="133">
        <v>707</v>
      </c>
      <c r="M625" s="139">
        <v>46062</v>
      </c>
      <c r="N625" s="140" t="s">
        <v>1501</v>
      </c>
      <c r="O625" s="134">
        <v>608</v>
      </c>
    </row>
    <row r="626" spans="1:15" x14ac:dyDescent="0.25">
      <c r="A626" s="133">
        <v>626</v>
      </c>
      <c r="B626" s="134" t="s">
        <v>1522</v>
      </c>
      <c r="C626" s="135">
        <v>1896620</v>
      </c>
      <c r="D626" s="136" t="s">
        <v>1494</v>
      </c>
      <c r="E626" s="137">
        <v>51100</v>
      </c>
      <c r="F626" s="137">
        <v>40800</v>
      </c>
      <c r="G626" s="137">
        <v>10300</v>
      </c>
      <c r="H626" s="137">
        <v>0</v>
      </c>
      <c r="I626" s="141"/>
      <c r="J626" s="138">
        <v>0</v>
      </c>
      <c r="K626" s="133" t="s">
        <v>1464</v>
      </c>
      <c r="L626" s="133">
        <v>707</v>
      </c>
      <c r="M626" s="139">
        <v>46062</v>
      </c>
      <c r="N626" s="140" t="s">
        <v>1523</v>
      </c>
      <c r="O626" s="134">
        <v>111</v>
      </c>
    </row>
    <row r="627" spans="1:15" x14ac:dyDescent="0.25">
      <c r="A627" s="133">
        <v>627</v>
      </c>
      <c r="B627" s="134" t="s">
        <v>1522</v>
      </c>
      <c r="C627" s="135">
        <v>1896620</v>
      </c>
      <c r="D627" s="136" t="s">
        <v>1494</v>
      </c>
      <c r="E627" s="137">
        <v>41320</v>
      </c>
      <c r="F627" s="137">
        <v>20660</v>
      </c>
      <c r="G627" s="137">
        <v>20660</v>
      </c>
      <c r="H627" s="137">
        <v>0</v>
      </c>
      <c r="I627" s="141"/>
      <c r="J627" s="138">
        <v>0</v>
      </c>
      <c r="K627" s="133" t="s">
        <v>1464</v>
      </c>
      <c r="L627" s="133">
        <v>707</v>
      </c>
      <c r="M627" s="139">
        <v>46062</v>
      </c>
      <c r="N627" s="140" t="s">
        <v>1524</v>
      </c>
      <c r="O627" s="134">
        <v>206</v>
      </c>
    </row>
    <row r="628" spans="1:15" x14ac:dyDescent="0.25">
      <c r="A628" s="133">
        <v>628</v>
      </c>
      <c r="B628" s="134" t="s">
        <v>1525</v>
      </c>
      <c r="C628" s="135">
        <v>432300</v>
      </c>
      <c r="D628" s="136" t="s">
        <v>1494</v>
      </c>
      <c r="E628" s="137">
        <v>400</v>
      </c>
      <c r="F628" s="137">
        <v>0</v>
      </c>
      <c r="G628" s="137">
        <v>400</v>
      </c>
      <c r="H628" s="137">
        <v>0</v>
      </c>
      <c r="I628" s="141"/>
      <c r="J628" s="138">
        <v>0</v>
      </c>
      <c r="K628" s="133" t="s">
        <v>1464</v>
      </c>
      <c r="L628" s="133">
        <v>707</v>
      </c>
      <c r="M628" s="139">
        <v>46062</v>
      </c>
      <c r="N628" s="140" t="s">
        <v>1501</v>
      </c>
      <c r="O628" s="134">
        <v>206</v>
      </c>
    </row>
    <row r="629" spans="1:15" x14ac:dyDescent="0.25">
      <c r="A629" s="133">
        <v>629</v>
      </c>
      <c r="B629" s="134" t="s">
        <v>1525</v>
      </c>
      <c r="C629" s="135">
        <v>432300</v>
      </c>
      <c r="D629" s="136" t="s">
        <v>1494</v>
      </c>
      <c r="E629" s="137">
        <v>148700</v>
      </c>
      <c r="F629" s="137">
        <v>0</v>
      </c>
      <c r="G629" s="137">
        <v>148700</v>
      </c>
      <c r="H629" s="137">
        <v>0</v>
      </c>
      <c r="I629" s="141"/>
      <c r="J629" s="138">
        <v>0</v>
      </c>
      <c r="K629" s="133" t="s">
        <v>1464</v>
      </c>
      <c r="L629" s="133">
        <v>707</v>
      </c>
      <c r="M629" s="139">
        <v>46062</v>
      </c>
      <c r="N629" s="140" t="s">
        <v>1501</v>
      </c>
      <c r="O629" s="134">
        <v>601</v>
      </c>
    </row>
    <row r="630" spans="1:15" x14ac:dyDescent="0.25">
      <c r="A630" s="133">
        <v>630</v>
      </c>
      <c r="B630" s="134" t="s">
        <v>1526</v>
      </c>
      <c r="C630" s="135">
        <v>11336682</v>
      </c>
      <c r="D630" s="136" t="s">
        <v>1494</v>
      </c>
      <c r="E630" s="137">
        <v>743000</v>
      </c>
      <c r="F630" s="137">
        <v>743000</v>
      </c>
      <c r="G630" s="137">
        <v>0</v>
      </c>
      <c r="H630" s="137">
        <v>0</v>
      </c>
      <c r="I630" s="141"/>
      <c r="J630" s="138">
        <v>0</v>
      </c>
      <c r="K630" s="133" t="s">
        <v>1464</v>
      </c>
      <c r="L630" s="133">
        <v>707</v>
      </c>
      <c r="M630" s="139">
        <v>46062</v>
      </c>
      <c r="N630" s="140" t="s">
        <v>1527</v>
      </c>
      <c r="O630" s="134">
        <v>108</v>
      </c>
    </row>
    <row r="631" spans="1:15" x14ac:dyDescent="0.25">
      <c r="A631" s="133">
        <v>631</v>
      </c>
      <c r="B631" s="134" t="s">
        <v>1526</v>
      </c>
      <c r="C631" s="135">
        <v>11336682</v>
      </c>
      <c r="D631" s="136" t="s">
        <v>1494</v>
      </c>
      <c r="E631" s="137">
        <v>66800</v>
      </c>
      <c r="F631" s="137">
        <v>57950</v>
      </c>
      <c r="G631" s="137">
        <v>8850</v>
      </c>
      <c r="H631" s="137">
        <v>0</v>
      </c>
      <c r="I631" s="141"/>
      <c r="J631" s="138">
        <v>0</v>
      </c>
      <c r="K631" s="133" t="s">
        <v>1464</v>
      </c>
      <c r="L631" s="133">
        <v>707</v>
      </c>
      <c r="M631" s="139">
        <v>46062</v>
      </c>
      <c r="N631" s="140" t="s">
        <v>1528</v>
      </c>
      <c r="O631" s="134">
        <v>206</v>
      </c>
    </row>
    <row r="632" spans="1:15" x14ac:dyDescent="0.25">
      <c r="A632" s="133">
        <v>632</v>
      </c>
      <c r="B632" s="134" t="s">
        <v>1526</v>
      </c>
      <c r="C632" s="135">
        <v>11336682</v>
      </c>
      <c r="D632" s="136" t="s">
        <v>1494</v>
      </c>
      <c r="E632" s="137">
        <v>49100</v>
      </c>
      <c r="F632" s="137">
        <v>0</v>
      </c>
      <c r="G632" s="137">
        <v>49100</v>
      </c>
      <c r="H632" s="137">
        <v>0</v>
      </c>
      <c r="I632" s="141"/>
      <c r="J632" s="138">
        <v>0</v>
      </c>
      <c r="K632" s="133" t="s">
        <v>1464</v>
      </c>
      <c r="L632" s="133">
        <v>707</v>
      </c>
      <c r="M632" s="139">
        <v>46062</v>
      </c>
      <c r="N632" s="140" t="s">
        <v>1501</v>
      </c>
      <c r="O632" s="134">
        <v>207</v>
      </c>
    </row>
    <row r="633" spans="1:15" x14ac:dyDescent="0.25">
      <c r="A633" s="133">
        <v>633</v>
      </c>
      <c r="B633" s="134" t="s">
        <v>1529</v>
      </c>
      <c r="C633" s="135">
        <v>97400</v>
      </c>
      <c r="D633" s="136" t="s">
        <v>1494</v>
      </c>
      <c r="E633" s="137">
        <v>25900</v>
      </c>
      <c r="F633" s="137">
        <v>25900</v>
      </c>
      <c r="G633" s="137">
        <v>0</v>
      </c>
      <c r="H633" s="137">
        <v>0</v>
      </c>
      <c r="I633" s="141"/>
      <c r="J633" s="138">
        <v>0</v>
      </c>
      <c r="K633" s="133" t="s">
        <v>1464</v>
      </c>
      <c r="L633" s="133">
        <v>707</v>
      </c>
      <c r="M633" s="139">
        <v>46062</v>
      </c>
      <c r="N633" s="140" t="s">
        <v>1530</v>
      </c>
      <c r="O633" s="134">
        <v>202</v>
      </c>
    </row>
    <row r="634" spans="1:15" x14ac:dyDescent="0.25">
      <c r="A634" s="133">
        <v>634</v>
      </c>
      <c r="B634" s="134" t="s">
        <v>1531</v>
      </c>
      <c r="C634" s="135">
        <v>3023300</v>
      </c>
      <c r="D634" s="136" t="s">
        <v>1494</v>
      </c>
      <c r="E634" s="137">
        <v>2000</v>
      </c>
      <c r="F634" s="137">
        <v>0</v>
      </c>
      <c r="G634" s="137">
        <v>2000</v>
      </c>
      <c r="H634" s="137">
        <v>0</v>
      </c>
      <c r="I634" s="141"/>
      <c r="J634" s="138">
        <v>0</v>
      </c>
      <c r="K634" s="133" t="s">
        <v>1464</v>
      </c>
      <c r="L634" s="133">
        <v>707</v>
      </c>
      <c r="M634" s="139">
        <v>46062</v>
      </c>
      <c r="N634" s="140" t="s">
        <v>1501</v>
      </c>
      <c r="O634" s="134">
        <v>206</v>
      </c>
    </row>
    <row r="635" spans="1:15" x14ac:dyDescent="0.25">
      <c r="A635" s="133">
        <v>635</v>
      </c>
      <c r="B635" s="134" t="s">
        <v>1531</v>
      </c>
      <c r="C635" s="135">
        <v>3023300</v>
      </c>
      <c r="D635" s="136" t="s">
        <v>1494</v>
      </c>
      <c r="E635" s="137">
        <v>98400</v>
      </c>
      <c r="F635" s="137">
        <v>98400</v>
      </c>
      <c r="G635" s="137">
        <v>0</v>
      </c>
      <c r="H635" s="137">
        <v>0</v>
      </c>
      <c r="I635" s="141"/>
      <c r="J635" s="138">
        <v>0</v>
      </c>
      <c r="K635" s="133" t="s">
        <v>1464</v>
      </c>
      <c r="L635" s="133">
        <v>707</v>
      </c>
      <c r="M635" s="139">
        <v>46062</v>
      </c>
      <c r="N635" s="140" t="s">
        <v>1532</v>
      </c>
      <c r="O635" s="134">
        <v>608</v>
      </c>
    </row>
    <row r="636" spans="1:15" x14ac:dyDescent="0.25">
      <c r="A636" s="133">
        <v>636</v>
      </c>
      <c r="B636" s="134" t="s">
        <v>1531</v>
      </c>
      <c r="C636" s="135">
        <v>3023300</v>
      </c>
      <c r="D636" s="136" t="s">
        <v>1494</v>
      </c>
      <c r="E636" s="137">
        <v>32000</v>
      </c>
      <c r="F636" s="137">
        <v>0</v>
      </c>
      <c r="G636" s="137">
        <v>32000</v>
      </c>
      <c r="H636" s="137">
        <v>0</v>
      </c>
      <c r="I636" s="141"/>
      <c r="J636" s="138">
        <v>0</v>
      </c>
      <c r="K636" s="133" t="s">
        <v>1464</v>
      </c>
      <c r="L636" s="133">
        <v>707</v>
      </c>
      <c r="M636" s="139">
        <v>46062</v>
      </c>
      <c r="N636" s="140" t="s">
        <v>1501</v>
      </c>
      <c r="O636" s="134">
        <v>602</v>
      </c>
    </row>
    <row r="637" spans="1:15" x14ac:dyDescent="0.25">
      <c r="A637" s="133">
        <v>637</v>
      </c>
      <c r="B637" s="134" t="s">
        <v>1533</v>
      </c>
      <c r="C637" s="135">
        <v>2815930</v>
      </c>
      <c r="D637" s="136" t="s">
        <v>1494</v>
      </c>
      <c r="E637" s="137">
        <v>8200</v>
      </c>
      <c r="F637" s="137">
        <v>4100</v>
      </c>
      <c r="G637" s="137">
        <v>4100</v>
      </c>
      <c r="H637" s="137">
        <v>0</v>
      </c>
      <c r="I637" s="141"/>
      <c r="J637" s="138">
        <v>0</v>
      </c>
      <c r="K637" s="133" t="s">
        <v>1464</v>
      </c>
      <c r="L637" s="133">
        <v>707</v>
      </c>
      <c r="M637" s="139">
        <v>46062</v>
      </c>
      <c r="N637" s="140" t="s">
        <v>1534</v>
      </c>
      <c r="O637" s="134">
        <v>206</v>
      </c>
    </row>
    <row r="638" spans="1:15" x14ac:dyDescent="0.25">
      <c r="A638" s="133">
        <v>638</v>
      </c>
      <c r="B638" s="134" t="s">
        <v>1533</v>
      </c>
      <c r="C638" s="135">
        <v>2815930</v>
      </c>
      <c r="D638" s="136" t="s">
        <v>1494</v>
      </c>
      <c r="E638" s="137">
        <v>1343800</v>
      </c>
      <c r="F638" s="137">
        <v>625500</v>
      </c>
      <c r="G638" s="137">
        <v>718300</v>
      </c>
      <c r="H638" s="137">
        <v>0</v>
      </c>
      <c r="I638" s="141"/>
      <c r="J638" s="138">
        <v>0</v>
      </c>
      <c r="K638" s="133" t="s">
        <v>1464</v>
      </c>
      <c r="L638" s="133">
        <v>707</v>
      </c>
      <c r="M638" s="139">
        <v>46062</v>
      </c>
      <c r="N638" s="140" t="s">
        <v>1535</v>
      </c>
      <c r="O638" s="134">
        <v>608</v>
      </c>
    </row>
    <row r="639" spans="1:15" x14ac:dyDescent="0.25">
      <c r="A639" s="133">
        <v>639</v>
      </c>
      <c r="B639" s="134" t="s">
        <v>1533</v>
      </c>
      <c r="C639" s="135">
        <v>2815930</v>
      </c>
      <c r="D639" s="136" t="s">
        <v>1494</v>
      </c>
      <c r="E639" s="137">
        <v>118000</v>
      </c>
      <c r="F639" s="137">
        <v>0</v>
      </c>
      <c r="G639" s="137">
        <v>118000</v>
      </c>
      <c r="H639" s="137">
        <v>0</v>
      </c>
      <c r="I639" s="141"/>
      <c r="J639" s="138">
        <v>0</v>
      </c>
      <c r="K639" s="133" t="s">
        <v>1464</v>
      </c>
      <c r="L639" s="133">
        <v>707</v>
      </c>
      <c r="M639" s="139">
        <v>46062</v>
      </c>
      <c r="N639" s="140" t="s">
        <v>1501</v>
      </c>
      <c r="O639" s="134">
        <v>607</v>
      </c>
    </row>
    <row r="640" spans="1:15" x14ac:dyDescent="0.25">
      <c r="A640" s="133">
        <v>640</v>
      </c>
      <c r="B640" s="134" t="s">
        <v>1533</v>
      </c>
      <c r="C640" s="135">
        <v>2815930</v>
      </c>
      <c r="D640" s="136" t="s">
        <v>1494</v>
      </c>
      <c r="E640" s="137">
        <v>362226</v>
      </c>
      <c r="F640" s="137">
        <v>0</v>
      </c>
      <c r="G640" s="137">
        <v>362226</v>
      </c>
      <c r="H640" s="137">
        <v>0</v>
      </c>
      <c r="I640" s="141"/>
      <c r="J640" s="138">
        <v>0</v>
      </c>
      <c r="K640" s="133" t="s">
        <v>1464</v>
      </c>
      <c r="L640" s="133">
        <v>707</v>
      </c>
      <c r="M640" s="139">
        <v>46062</v>
      </c>
      <c r="N640" s="140" t="s">
        <v>1501</v>
      </c>
      <c r="O640" s="134">
        <v>606</v>
      </c>
    </row>
    <row r="641" spans="1:15" x14ac:dyDescent="0.25">
      <c r="A641" s="133">
        <v>641</v>
      </c>
      <c r="B641" s="134" t="s">
        <v>1536</v>
      </c>
      <c r="C641" s="135">
        <v>3012000</v>
      </c>
      <c r="D641" s="136" t="s">
        <v>1494</v>
      </c>
      <c r="E641" s="137">
        <v>15200</v>
      </c>
      <c r="F641" s="137">
        <v>10750</v>
      </c>
      <c r="G641" s="137">
        <v>4450</v>
      </c>
      <c r="H641" s="137">
        <v>0</v>
      </c>
      <c r="I641" s="141"/>
      <c r="J641" s="138">
        <v>0</v>
      </c>
      <c r="K641" s="133" t="s">
        <v>1464</v>
      </c>
      <c r="L641" s="133">
        <v>707</v>
      </c>
      <c r="M641" s="139">
        <v>46062</v>
      </c>
      <c r="N641" s="140" t="s">
        <v>1537</v>
      </c>
      <c r="O641" s="134">
        <v>206</v>
      </c>
    </row>
    <row r="642" spans="1:15" x14ac:dyDescent="0.25">
      <c r="A642" s="133">
        <v>642</v>
      </c>
      <c r="B642" s="134" t="s">
        <v>1536</v>
      </c>
      <c r="C642" s="135">
        <v>3012000</v>
      </c>
      <c r="D642" s="136" t="s">
        <v>1494</v>
      </c>
      <c r="E642" s="137">
        <v>6300</v>
      </c>
      <c r="F642" s="137">
        <v>0</v>
      </c>
      <c r="G642" s="137">
        <v>6300</v>
      </c>
      <c r="H642" s="137">
        <v>0</v>
      </c>
      <c r="I642" s="141"/>
      <c r="J642" s="138">
        <v>0</v>
      </c>
      <c r="K642" s="133" t="s">
        <v>1464</v>
      </c>
      <c r="L642" s="133">
        <v>707</v>
      </c>
      <c r="M642" s="139">
        <v>46062</v>
      </c>
      <c r="N642" s="140" t="s">
        <v>1501</v>
      </c>
      <c r="O642" s="134">
        <v>207</v>
      </c>
    </row>
    <row r="643" spans="1:15" x14ac:dyDescent="0.25">
      <c r="A643" s="133">
        <v>643</v>
      </c>
      <c r="B643" s="134" t="s">
        <v>1538</v>
      </c>
      <c r="C643" s="135">
        <v>22336469</v>
      </c>
      <c r="D643" s="136" t="s">
        <v>1494</v>
      </c>
      <c r="E643" s="137">
        <v>31993</v>
      </c>
      <c r="F643" s="137">
        <v>31993</v>
      </c>
      <c r="G643" s="137">
        <v>0</v>
      </c>
      <c r="H643" s="137">
        <v>0</v>
      </c>
      <c r="I643" s="141"/>
      <c r="J643" s="138">
        <v>0</v>
      </c>
      <c r="K643" s="133" t="s">
        <v>1464</v>
      </c>
      <c r="L643" s="133">
        <v>707</v>
      </c>
      <c r="M643" s="139">
        <v>46062</v>
      </c>
      <c r="N643" s="140" t="s">
        <v>1539</v>
      </c>
      <c r="O643" s="134">
        <v>206</v>
      </c>
    </row>
    <row r="644" spans="1:15" x14ac:dyDescent="0.25">
      <c r="A644" s="133">
        <v>644</v>
      </c>
      <c r="B644" s="134" t="s">
        <v>1538</v>
      </c>
      <c r="C644" s="135">
        <v>22336469</v>
      </c>
      <c r="D644" s="136" t="s">
        <v>1494</v>
      </c>
      <c r="E644" s="137">
        <v>13445200</v>
      </c>
      <c r="F644" s="137">
        <v>121700</v>
      </c>
      <c r="G644" s="137">
        <v>100500</v>
      </c>
      <c r="H644" s="137">
        <v>13223000</v>
      </c>
      <c r="I644" s="141"/>
      <c r="J644" s="138">
        <v>0</v>
      </c>
      <c r="K644" s="133" t="s">
        <v>1464</v>
      </c>
      <c r="L644" s="133">
        <v>707</v>
      </c>
      <c r="M644" s="139">
        <v>46062</v>
      </c>
      <c r="N644" s="140" t="s">
        <v>1540</v>
      </c>
      <c r="O644" s="134">
        <v>106</v>
      </c>
    </row>
    <row r="645" spans="1:15" x14ac:dyDescent="0.25">
      <c r="A645" s="133">
        <v>645</v>
      </c>
      <c r="B645" s="134" t="s">
        <v>1541</v>
      </c>
      <c r="C645" s="135">
        <v>10361583</v>
      </c>
      <c r="D645" s="136" t="s">
        <v>1494</v>
      </c>
      <c r="E645" s="137">
        <v>32000</v>
      </c>
      <c r="F645" s="137">
        <v>0</v>
      </c>
      <c r="G645" s="137">
        <v>32000</v>
      </c>
      <c r="H645" s="137">
        <v>0</v>
      </c>
      <c r="I645" s="141"/>
      <c r="J645" s="138">
        <v>0</v>
      </c>
      <c r="K645" s="133" t="s">
        <v>1464</v>
      </c>
      <c r="L645" s="133">
        <v>707</v>
      </c>
      <c r="M645" s="139">
        <v>46062</v>
      </c>
      <c r="N645" s="140" t="s">
        <v>1501</v>
      </c>
      <c r="O645" s="134">
        <v>102</v>
      </c>
    </row>
    <row r="646" spans="1:15" x14ac:dyDescent="0.25">
      <c r="A646" s="133">
        <v>646</v>
      </c>
      <c r="B646" s="134" t="s">
        <v>1542</v>
      </c>
      <c r="C646" s="135">
        <v>6880697</v>
      </c>
      <c r="D646" s="136" t="s">
        <v>1494</v>
      </c>
      <c r="E646" s="137">
        <v>21797</v>
      </c>
      <c r="F646" s="137">
        <v>0</v>
      </c>
      <c r="G646" s="137">
        <v>21797</v>
      </c>
      <c r="H646" s="137">
        <v>0</v>
      </c>
      <c r="I646" s="141"/>
      <c r="J646" s="138">
        <v>0</v>
      </c>
      <c r="K646" s="133" t="s">
        <v>1464</v>
      </c>
      <c r="L646" s="133">
        <v>707</v>
      </c>
      <c r="M646" s="139">
        <v>46062</v>
      </c>
      <c r="N646" s="140" t="s">
        <v>1501</v>
      </c>
      <c r="O646" s="134">
        <v>111</v>
      </c>
    </row>
    <row r="647" spans="1:15" x14ac:dyDescent="0.25">
      <c r="A647" s="133">
        <v>647</v>
      </c>
      <c r="B647" s="134" t="s">
        <v>1543</v>
      </c>
      <c r="C647" s="135">
        <v>12384213</v>
      </c>
      <c r="D647" s="136" t="s">
        <v>1494</v>
      </c>
      <c r="E647" s="137">
        <v>539787</v>
      </c>
      <c r="F647" s="137">
        <v>539384</v>
      </c>
      <c r="G647" s="137">
        <v>403</v>
      </c>
      <c r="H647" s="137">
        <v>0</v>
      </c>
      <c r="I647" s="141"/>
      <c r="J647" s="138">
        <v>0</v>
      </c>
      <c r="K647" s="133" t="s">
        <v>1464</v>
      </c>
      <c r="L647" s="133">
        <v>707</v>
      </c>
      <c r="M647" s="139">
        <v>46062</v>
      </c>
      <c r="N647" s="140" t="s">
        <v>1544</v>
      </c>
      <c r="O647" s="134">
        <v>106</v>
      </c>
    </row>
    <row r="648" spans="1:15" x14ac:dyDescent="0.25">
      <c r="A648" s="133">
        <v>648</v>
      </c>
      <c r="B648" s="134" t="s">
        <v>1543</v>
      </c>
      <c r="C648" s="135">
        <v>12384213</v>
      </c>
      <c r="D648" s="136" t="s">
        <v>1494</v>
      </c>
      <c r="E648" s="137">
        <v>157800</v>
      </c>
      <c r="F648" s="137">
        <v>78900</v>
      </c>
      <c r="G648" s="137">
        <v>78900</v>
      </c>
      <c r="H648" s="137">
        <v>0</v>
      </c>
      <c r="I648" s="141"/>
      <c r="J648" s="138">
        <v>0</v>
      </c>
      <c r="K648" s="133" t="s">
        <v>1464</v>
      </c>
      <c r="L648" s="133">
        <v>707</v>
      </c>
      <c r="M648" s="139">
        <v>46062</v>
      </c>
      <c r="N648" s="140" t="s">
        <v>1545</v>
      </c>
      <c r="O648" s="134">
        <v>207</v>
      </c>
    </row>
    <row r="649" spans="1:15" x14ac:dyDescent="0.25">
      <c r="A649" s="133">
        <v>649</v>
      </c>
      <c r="B649" s="134" t="s">
        <v>1543</v>
      </c>
      <c r="C649" s="135">
        <v>12384213</v>
      </c>
      <c r="D649" s="136" t="s">
        <v>1494</v>
      </c>
      <c r="E649" s="137">
        <v>27200</v>
      </c>
      <c r="F649" s="137">
        <v>13600</v>
      </c>
      <c r="G649" s="137">
        <v>13600</v>
      </c>
      <c r="H649" s="137">
        <v>0</v>
      </c>
      <c r="I649" s="141"/>
      <c r="J649" s="138">
        <v>0</v>
      </c>
      <c r="K649" s="133" t="s">
        <v>1464</v>
      </c>
      <c r="L649" s="133">
        <v>707</v>
      </c>
      <c r="M649" s="139">
        <v>46062</v>
      </c>
      <c r="N649" s="140" t="s">
        <v>1546</v>
      </c>
      <c r="O649" s="134">
        <v>206</v>
      </c>
    </row>
    <row r="650" spans="1:15" x14ac:dyDescent="0.25">
      <c r="A650" s="133">
        <v>650</v>
      </c>
      <c r="B650" s="134" t="s">
        <v>1543</v>
      </c>
      <c r="C650" s="135">
        <v>12384213</v>
      </c>
      <c r="D650" s="136" t="s">
        <v>1494</v>
      </c>
      <c r="E650" s="137">
        <v>90400</v>
      </c>
      <c r="F650" s="137">
        <v>90400</v>
      </c>
      <c r="G650" s="137">
        <v>0</v>
      </c>
      <c r="H650" s="137">
        <v>0</v>
      </c>
      <c r="I650" s="141"/>
      <c r="J650" s="138">
        <v>0</v>
      </c>
      <c r="K650" s="133" t="s">
        <v>1464</v>
      </c>
      <c r="L650" s="133">
        <v>707</v>
      </c>
      <c r="M650" s="139">
        <v>46062</v>
      </c>
      <c r="N650" s="140" t="s">
        <v>1547</v>
      </c>
      <c r="O650" s="134">
        <v>527</v>
      </c>
    </row>
    <row r="651" spans="1:15" x14ac:dyDescent="0.25">
      <c r="A651" s="133">
        <v>651</v>
      </c>
      <c r="B651" s="134" t="s">
        <v>1548</v>
      </c>
      <c r="C651" s="135">
        <v>97400</v>
      </c>
      <c r="D651" s="136" t="s">
        <v>1494</v>
      </c>
      <c r="E651" s="137">
        <v>25900</v>
      </c>
      <c r="F651" s="137">
        <v>25900</v>
      </c>
      <c r="G651" s="137">
        <v>0</v>
      </c>
      <c r="H651" s="137">
        <v>0</v>
      </c>
      <c r="I651" s="141"/>
      <c r="J651" s="138">
        <v>0</v>
      </c>
      <c r="K651" s="133" t="s">
        <v>1464</v>
      </c>
      <c r="L651" s="133">
        <v>707</v>
      </c>
      <c r="M651" s="139">
        <v>46062</v>
      </c>
      <c r="N651" s="140" t="s">
        <v>1549</v>
      </c>
      <c r="O651" s="134">
        <v>202</v>
      </c>
    </row>
    <row r="652" spans="1:15" x14ac:dyDescent="0.25">
      <c r="A652" s="133">
        <v>652</v>
      </c>
      <c r="B652" s="134" t="s">
        <v>1550</v>
      </c>
      <c r="C652" s="135">
        <v>11686937</v>
      </c>
      <c r="D652" s="136" t="s">
        <v>1494</v>
      </c>
      <c r="E652" s="137">
        <v>273900</v>
      </c>
      <c r="F652" s="137">
        <v>77100</v>
      </c>
      <c r="G652" s="137">
        <v>196800</v>
      </c>
      <c r="H652" s="137">
        <v>0</v>
      </c>
      <c r="I652" s="141"/>
      <c r="J652" s="138">
        <v>0</v>
      </c>
      <c r="K652" s="133" t="s">
        <v>1464</v>
      </c>
      <c r="L652" s="133">
        <v>707</v>
      </c>
      <c r="M652" s="139">
        <v>46062</v>
      </c>
      <c r="N652" s="140" t="s">
        <v>1551</v>
      </c>
      <c r="O652" s="134">
        <v>608</v>
      </c>
    </row>
    <row r="653" spans="1:15" x14ac:dyDescent="0.25">
      <c r="A653" s="133">
        <v>653</v>
      </c>
      <c r="B653" s="134" t="s">
        <v>1550</v>
      </c>
      <c r="C653" s="135">
        <v>11686937</v>
      </c>
      <c r="D653" s="136" t="s">
        <v>1494</v>
      </c>
      <c r="E653" s="137">
        <v>505805</v>
      </c>
      <c r="F653" s="137">
        <v>505805</v>
      </c>
      <c r="G653" s="137">
        <v>0</v>
      </c>
      <c r="H653" s="137">
        <v>0</v>
      </c>
      <c r="I653" s="141"/>
      <c r="J653" s="138">
        <v>0</v>
      </c>
      <c r="K653" s="133" t="s">
        <v>1464</v>
      </c>
      <c r="L653" s="133">
        <v>707</v>
      </c>
      <c r="M653" s="139">
        <v>46062</v>
      </c>
      <c r="N653" s="140" t="s">
        <v>1552</v>
      </c>
      <c r="O653" s="134">
        <v>106</v>
      </c>
    </row>
    <row r="654" spans="1:15" x14ac:dyDescent="0.25">
      <c r="A654" s="133">
        <v>654</v>
      </c>
      <c r="B654" s="134" t="s">
        <v>1550</v>
      </c>
      <c r="C654" s="135">
        <v>11686937</v>
      </c>
      <c r="D654" s="136" t="s">
        <v>1494</v>
      </c>
      <c r="E654" s="137">
        <v>681600</v>
      </c>
      <c r="F654" s="137">
        <v>340800</v>
      </c>
      <c r="G654" s="137">
        <v>340800</v>
      </c>
      <c r="H654" s="137">
        <v>0</v>
      </c>
      <c r="I654" s="141"/>
      <c r="J654" s="138">
        <v>0</v>
      </c>
      <c r="K654" s="133" t="s">
        <v>1464</v>
      </c>
      <c r="L654" s="133">
        <v>707</v>
      </c>
      <c r="M654" s="139">
        <v>46062</v>
      </c>
      <c r="N654" s="140" t="s">
        <v>1553</v>
      </c>
      <c r="O654" s="134">
        <v>601</v>
      </c>
    </row>
    <row r="655" spans="1:15" x14ac:dyDescent="0.25">
      <c r="A655" s="133">
        <v>655</v>
      </c>
      <c r="B655" s="134" t="s">
        <v>1550</v>
      </c>
      <c r="C655" s="135">
        <v>11686937</v>
      </c>
      <c r="D655" s="136" t="s">
        <v>1494</v>
      </c>
      <c r="E655" s="137">
        <v>82300</v>
      </c>
      <c r="F655" s="137">
        <v>0</v>
      </c>
      <c r="G655" s="137">
        <v>82300</v>
      </c>
      <c r="H655" s="137">
        <v>0</v>
      </c>
      <c r="I655" s="141"/>
      <c r="J655" s="138">
        <v>0</v>
      </c>
      <c r="K655" s="133" t="s">
        <v>1464</v>
      </c>
      <c r="L655" s="133">
        <v>707</v>
      </c>
      <c r="M655" s="139">
        <v>46062</v>
      </c>
      <c r="N655" s="140" t="s">
        <v>1501</v>
      </c>
      <c r="O655" s="134">
        <v>607</v>
      </c>
    </row>
    <row r="656" spans="1:15" x14ac:dyDescent="0.25">
      <c r="A656" s="133">
        <v>656</v>
      </c>
      <c r="B656" s="134" t="s">
        <v>1550</v>
      </c>
      <c r="C656" s="135">
        <v>11686937</v>
      </c>
      <c r="D656" s="136" t="s">
        <v>1494</v>
      </c>
      <c r="E656" s="137">
        <v>13914</v>
      </c>
      <c r="F656" s="137">
        <v>0</v>
      </c>
      <c r="G656" s="137">
        <v>13914</v>
      </c>
      <c r="H656" s="137">
        <v>0</v>
      </c>
      <c r="I656" s="141"/>
      <c r="J656" s="138">
        <v>0</v>
      </c>
      <c r="K656" s="133" t="s">
        <v>1464</v>
      </c>
      <c r="L656" s="133">
        <v>707</v>
      </c>
      <c r="M656" s="139">
        <v>46062</v>
      </c>
      <c r="N656" s="140" t="s">
        <v>1501</v>
      </c>
      <c r="O656" s="134">
        <v>606</v>
      </c>
    </row>
    <row r="657" spans="1:15" x14ac:dyDescent="0.25">
      <c r="A657" s="133">
        <v>657</v>
      </c>
      <c r="B657" s="134" t="s">
        <v>1550</v>
      </c>
      <c r="C657" s="135">
        <v>11686937</v>
      </c>
      <c r="D657" s="136" t="s">
        <v>1494</v>
      </c>
      <c r="E657" s="137">
        <v>227100</v>
      </c>
      <c r="F657" s="137">
        <v>195000</v>
      </c>
      <c r="G657" s="137">
        <v>32100</v>
      </c>
      <c r="H657" s="137">
        <v>0</v>
      </c>
      <c r="I657" s="141"/>
      <c r="J657" s="138">
        <v>0</v>
      </c>
      <c r="K657" s="133" t="s">
        <v>1464</v>
      </c>
      <c r="L657" s="133">
        <v>707</v>
      </c>
      <c r="M657" s="139">
        <v>46062</v>
      </c>
      <c r="N657" s="140" t="s">
        <v>1554</v>
      </c>
      <c r="O657" s="134">
        <v>112</v>
      </c>
    </row>
    <row r="658" spans="1:15" x14ac:dyDescent="0.25">
      <c r="A658" s="133">
        <v>658</v>
      </c>
      <c r="B658" s="134" t="s">
        <v>1550</v>
      </c>
      <c r="C658" s="135">
        <v>11686937</v>
      </c>
      <c r="D658" s="136" t="s">
        <v>1494</v>
      </c>
      <c r="E658" s="137">
        <v>1591800</v>
      </c>
      <c r="F658" s="137">
        <v>0</v>
      </c>
      <c r="G658" s="137">
        <v>0</v>
      </c>
      <c r="H658" s="137">
        <v>1591800</v>
      </c>
      <c r="I658" s="141"/>
      <c r="J658" s="138">
        <v>0</v>
      </c>
      <c r="K658" s="133" t="s">
        <v>1464</v>
      </c>
      <c r="L658" s="133">
        <v>707</v>
      </c>
      <c r="M658" s="139">
        <v>46062</v>
      </c>
      <c r="N658" s="140" t="s">
        <v>1555</v>
      </c>
      <c r="O658" s="134">
        <v>127</v>
      </c>
    </row>
    <row r="659" spans="1:15" x14ac:dyDescent="0.25">
      <c r="A659" s="133">
        <v>659</v>
      </c>
      <c r="B659" s="134" t="s">
        <v>1550</v>
      </c>
      <c r="C659" s="135">
        <v>11686937</v>
      </c>
      <c r="D659" s="136" t="s">
        <v>1494</v>
      </c>
      <c r="E659" s="137">
        <v>19600</v>
      </c>
      <c r="F659" s="137">
        <v>0</v>
      </c>
      <c r="G659" s="137">
        <v>19600</v>
      </c>
      <c r="H659" s="137">
        <v>0</v>
      </c>
      <c r="I659" s="141"/>
      <c r="J659" s="138">
        <v>0</v>
      </c>
      <c r="K659" s="133" t="s">
        <v>1464</v>
      </c>
      <c r="L659" s="133">
        <v>707</v>
      </c>
      <c r="M659" s="139">
        <v>46062</v>
      </c>
      <c r="N659" s="140" t="s">
        <v>1501</v>
      </c>
      <c r="O659" s="134">
        <v>207</v>
      </c>
    </row>
    <row r="660" spans="1:15" x14ac:dyDescent="0.25">
      <c r="A660" s="133">
        <v>660</v>
      </c>
      <c r="B660" s="134" t="s">
        <v>1550</v>
      </c>
      <c r="C660" s="135">
        <v>11686937</v>
      </c>
      <c r="D660" s="136" t="s">
        <v>1494</v>
      </c>
      <c r="E660" s="137">
        <v>64200</v>
      </c>
      <c r="F660" s="137">
        <v>41900</v>
      </c>
      <c r="G660" s="137">
        <v>22300</v>
      </c>
      <c r="H660" s="137">
        <v>0</v>
      </c>
      <c r="I660" s="141"/>
      <c r="J660" s="138">
        <v>0</v>
      </c>
      <c r="K660" s="133" t="s">
        <v>1464</v>
      </c>
      <c r="L660" s="133">
        <v>707</v>
      </c>
      <c r="M660" s="139">
        <v>46062</v>
      </c>
      <c r="N660" s="140" t="s">
        <v>1556</v>
      </c>
      <c r="O660" s="134">
        <v>206</v>
      </c>
    </row>
    <row r="661" spans="1:15" x14ac:dyDescent="0.25">
      <c r="A661" s="133">
        <v>661</v>
      </c>
      <c r="B661" s="134" t="s">
        <v>1550</v>
      </c>
      <c r="C661" s="135">
        <v>11686937</v>
      </c>
      <c r="D661" s="136" t="s">
        <v>1494</v>
      </c>
      <c r="E661" s="137">
        <v>185440</v>
      </c>
      <c r="F661" s="137">
        <v>0</v>
      </c>
      <c r="G661" s="137">
        <v>0</v>
      </c>
      <c r="H661" s="137">
        <v>185440</v>
      </c>
      <c r="I661" s="141"/>
      <c r="J661" s="138">
        <v>0</v>
      </c>
      <c r="K661" s="133" t="s">
        <v>1464</v>
      </c>
      <c r="L661" s="133">
        <v>707</v>
      </c>
      <c r="M661" s="139">
        <v>46062</v>
      </c>
      <c r="N661" s="140" t="s">
        <v>1557</v>
      </c>
      <c r="O661" s="134">
        <v>307</v>
      </c>
    </row>
    <row r="662" spans="1:15" x14ac:dyDescent="0.25">
      <c r="A662" s="133">
        <v>662</v>
      </c>
      <c r="B662" s="134" t="s">
        <v>1550</v>
      </c>
      <c r="C662" s="135">
        <v>11686937</v>
      </c>
      <c r="D662" s="136" t="s">
        <v>1494</v>
      </c>
      <c r="E662" s="137">
        <v>173200</v>
      </c>
      <c r="F662" s="137">
        <v>0</v>
      </c>
      <c r="G662" s="137">
        <v>0</v>
      </c>
      <c r="H662" s="137">
        <v>173200</v>
      </c>
      <c r="I662" s="141"/>
      <c r="J662" s="138">
        <v>0</v>
      </c>
      <c r="K662" s="133" t="s">
        <v>1464</v>
      </c>
      <c r="L662" s="133">
        <v>707</v>
      </c>
      <c r="M662" s="139">
        <v>46062</v>
      </c>
      <c r="N662" s="140" t="s">
        <v>1558</v>
      </c>
      <c r="O662" s="134">
        <v>105</v>
      </c>
    </row>
    <row r="663" spans="1:15" x14ac:dyDescent="0.25">
      <c r="A663" s="133">
        <v>663</v>
      </c>
      <c r="B663" s="134" t="s">
        <v>1559</v>
      </c>
      <c r="C663" s="135">
        <v>97400</v>
      </c>
      <c r="D663" s="136" t="s">
        <v>1494</v>
      </c>
      <c r="E663" s="137">
        <v>25900</v>
      </c>
      <c r="F663" s="137">
        <v>25900</v>
      </c>
      <c r="G663" s="137">
        <v>0</v>
      </c>
      <c r="H663" s="137">
        <v>0</v>
      </c>
      <c r="I663" s="141"/>
      <c r="J663" s="138">
        <v>0</v>
      </c>
      <c r="K663" s="133" t="s">
        <v>1464</v>
      </c>
      <c r="L663" s="133">
        <v>707</v>
      </c>
      <c r="M663" s="139">
        <v>46062</v>
      </c>
      <c r="N663" s="140" t="s">
        <v>1560</v>
      </c>
      <c r="O663" s="134">
        <v>202</v>
      </c>
    </row>
    <row r="664" spans="1:15" x14ac:dyDescent="0.25">
      <c r="A664" s="133">
        <v>664</v>
      </c>
      <c r="B664" s="134" t="s">
        <v>1561</v>
      </c>
      <c r="C664" s="135">
        <v>1279600</v>
      </c>
      <c r="D664" s="136" t="s">
        <v>1494</v>
      </c>
      <c r="E664" s="137">
        <v>1279600</v>
      </c>
      <c r="F664" s="137">
        <v>1279600</v>
      </c>
      <c r="G664" s="137">
        <v>0</v>
      </c>
      <c r="H664" s="137">
        <v>0</v>
      </c>
      <c r="I664" s="141"/>
      <c r="J664" s="138">
        <v>1279600</v>
      </c>
      <c r="K664" s="133" t="s">
        <v>1562</v>
      </c>
      <c r="L664" s="133">
        <v>707</v>
      </c>
      <c r="M664" s="139">
        <v>46062</v>
      </c>
      <c r="N664" s="140" t="s">
        <v>1563</v>
      </c>
      <c r="O664" s="134">
        <v>849</v>
      </c>
    </row>
    <row r="665" spans="1:15" x14ac:dyDescent="0.25">
      <c r="A665" s="133">
        <v>665</v>
      </c>
      <c r="B665" s="134" t="s">
        <v>1564</v>
      </c>
      <c r="C665" s="135">
        <v>6235072</v>
      </c>
      <c r="D665" s="136" t="s">
        <v>1494</v>
      </c>
      <c r="E665" s="137">
        <v>25900</v>
      </c>
      <c r="F665" s="137">
        <v>12950</v>
      </c>
      <c r="G665" s="137">
        <v>12950</v>
      </c>
      <c r="H665" s="137">
        <v>0</v>
      </c>
      <c r="I665" s="141"/>
      <c r="J665" s="138">
        <v>0</v>
      </c>
      <c r="K665" s="133" t="s">
        <v>1464</v>
      </c>
      <c r="L665" s="133">
        <v>707</v>
      </c>
      <c r="M665" s="139">
        <v>46062</v>
      </c>
      <c r="N665" s="140" t="s">
        <v>1565</v>
      </c>
      <c r="O665" s="134">
        <v>206</v>
      </c>
    </row>
    <row r="666" spans="1:15" x14ac:dyDescent="0.25">
      <c r="A666" s="133">
        <v>666</v>
      </c>
      <c r="B666" s="134" t="s">
        <v>1564</v>
      </c>
      <c r="C666" s="135">
        <v>6235072</v>
      </c>
      <c r="D666" s="136" t="s">
        <v>1494</v>
      </c>
      <c r="E666" s="137">
        <v>55000</v>
      </c>
      <c r="F666" s="137">
        <v>0</v>
      </c>
      <c r="G666" s="137">
        <v>55000</v>
      </c>
      <c r="H666" s="137">
        <v>0</v>
      </c>
      <c r="I666" s="141"/>
      <c r="J666" s="138">
        <v>0</v>
      </c>
      <c r="K666" s="133" t="s">
        <v>1464</v>
      </c>
      <c r="L666" s="133">
        <v>707</v>
      </c>
      <c r="M666" s="139">
        <v>46062</v>
      </c>
      <c r="N666" s="140" t="s">
        <v>1501</v>
      </c>
      <c r="O666" s="134">
        <v>108</v>
      </c>
    </row>
    <row r="667" spans="1:15" x14ac:dyDescent="0.25">
      <c r="A667" s="133">
        <v>667</v>
      </c>
      <c r="B667" s="134" t="s">
        <v>1566</v>
      </c>
      <c r="C667" s="135">
        <v>97400</v>
      </c>
      <c r="D667" s="136" t="s">
        <v>1494</v>
      </c>
      <c r="E667" s="137">
        <v>25900</v>
      </c>
      <c r="F667" s="137">
        <v>25900</v>
      </c>
      <c r="G667" s="137">
        <v>0</v>
      </c>
      <c r="H667" s="137">
        <v>0</v>
      </c>
      <c r="I667" s="141"/>
      <c r="J667" s="138">
        <v>0</v>
      </c>
      <c r="K667" s="133" t="s">
        <v>1464</v>
      </c>
      <c r="L667" s="133">
        <v>707</v>
      </c>
      <c r="M667" s="139">
        <v>46062</v>
      </c>
      <c r="N667" s="140" t="s">
        <v>1567</v>
      </c>
      <c r="O667" s="134">
        <v>206</v>
      </c>
    </row>
    <row r="668" spans="1:15" x14ac:dyDescent="0.25">
      <c r="A668" s="133">
        <v>668</v>
      </c>
      <c r="B668" s="134" t="s">
        <v>1568</v>
      </c>
      <c r="C668" s="135">
        <v>97600</v>
      </c>
      <c r="D668" s="136" t="s">
        <v>1494</v>
      </c>
      <c r="E668" s="137">
        <v>26100</v>
      </c>
      <c r="F668" s="137">
        <v>26100</v>
      </c>
      <c r="G668" s="137">
        <v>0</v>
      </c>
      <c r="H668" s="137">
        <v>0</v>
      </c>
      <c r="I668" s="141"/>
      <c r="J668" s="138">
        <v>0</v>
      </c>
      <c r="K668" s="133" t="s">
        <v>1464</v>
      </c>
      <c r="L668" s="133">
        <v>707</v>
      </c>
      <c r="M668" s="139">
        <v>46062</v>
      </c>
      <c r="N668" s="140" t="s">
        <v>1569</v>
      </c>
      <c r="O668" s="134">
        <v>206</v>
      </c>
    </row>
    <row r="669" spans="1:15" x14ac:dyDescent="0.25">
      <c r="A669" s="133">
        <v>669</v>
      </c>
      <c r="B669" s="134" t="s">
        <v>1570</v>
      </c>
      <c r="C669" s="135">
        <v>97400</v>
      </c>
      <c r="D669" s="136" t="s">
        <v>1494</v>
      </c>
      <c r="E669" s="137">
        <v>25900</v>
      </c>
      <c r="F669" s="137">
        <v>25900</v>
      </c>
      <c r="G669" s="137">
        <v>0</v>
      </c>
      <c r="H669" s="137">
        <v>0</v>
      </c>
      <c r="I669" s="141"/>
      <c r="J669" s="138">
        <v>0</v>
      </c>
      <c r="K669" s="133" t="s">
        <v>1464</v>
      </c>
      <c r="L669" s="133">
        <v>707</v>
      </c>
      <c r="M669" s="139">
        <v>46062</v>
      </c>
      <c r="N669" s="140" t="s">
        <v>1571</v>
      </c>
      <c r="O669" s="134">
        <v>206</v>
      </c>
    </row>
    <row r="670" spans="1:15" x14ac:dyDescent="0.25">
      <c r="A670" s="133">
        <v>670</v>
      </c>
      <c r="B670" s="134" t="s">
        <v>1572</v>
      </c>
      <c r="C670" s="135">
        <v>97400</v>
      </c>
      <c r="D670" s="136" t="s">
        <v>1494</v>
      </c>
      <c r="E670" s="137">
        <v>25900</v>
      </c>
      <c r="F670" s="137">
        <v>25900</v>
      </c>
      <c r="G670" s="137">
        <v>0</v>
      </c>
      <c r="H670" s="137">
        <v>0</v>
      </c>
      <c r="I670" s="141"/>
      <c r="J670" s="138">
        <v>0</v>
      </c>
      <c r="K670" s="133" t="s">
        <v>1464</v>
      </c>
      <c r="L670" s="133">
        <v>707</v>
      </c>
      <c r="M670" s="139">
        <v>46062</v>
      </c>
      <c r="N670" s="140" t="s">
        <v>1573</v>
      </c>
      <c r="O670" s="134">
        <v>849</v>
      </c>
    </row>
    <row r="671" spans="1:15" x14ac:dyDescent="0.25">
      <c r="A671" s="133">
        <v>671</v>
      </c>
      <c r="B671" s="134" t="s">
        <v>1574</v>
      </c>
      <c r="C671" s="135">
        <v>8296373</v>
      </c>
      <c r="D671" s="136" t="s">
        <v>1494</v>
      </c>
      <c r="E671" s="137">
        <v>8296373</v>
      </c>
      <c r="F671" s="137">
        <v>0</v>
      </c>
      <c r="G671" s="137">
        <v>0</v>
      </c>
      <c r="H671" s="137">
        <v>8296373</v>
      </c>
      <c r="I671" s="141"/>
      <c r="J671" s="138">
        <v>0</v>
      </c>
      <c r="K671" s="133" t="s">
        <v>1464</v>
      </c>
      <c r="L671" s="133">
        <v>707</v>
      </c>
      <c r="M671" s="139">
        <v>46062</v>
      </c>
      <c r="N671" s="140" t="s">
        <v>1474</v>
      </c>
      <c r="O671" s="134">
        <v>849</v>
      </c>
    </row>
    <row r="672" spans="1:15" x14ac:dyDescent="0.25">
      <c r="A672" s="133">
        <v>672</v>
      </c>
      <c r="B672" s="134" t="s">
        <v>1575</v>
      </c>
      <c r="C672" s="135">
        <v>173200</v>
      </c>
      <c r="D672" s="136" t="s">
        <v>1494</v>
      </c>
      <c r="E672" s="137">
        <v>173200</v>
      </c>
      <c r="F672" s="137">
        <v>0</v>
      </c>
      <c r="G672" s="137">
        <v>0</v>
      </c>
      <c r="H672" s="137">
        <v>173200</v>
      </c>
      <c r="I672" s="141"/>
      <c r="J672" s="138">
        <v>0</v>
      </c>
      <c r="K672" s="133" t="s">
        <v>1464</v>
      </c>
      <c r="L672" s="133">
        <v>707</v>
      </c>
      <c r="M672" s="139">
        <v>46062</v>
      </c>
      <c r="N672" s="140" t="s">
        <v>1474</v>
      </c>
      <c r="O672" s="134">
        <v>849</v>
      </c>
    </row>
    <row r="673" spans="1:15" x14ac:dyDescent="0.25">
      <c r="A673" s="133">
        <v>673</v>
      </c>
      <c r="B673" s="134" t="s">
        <v>1576</v>
      </c>
      <c r="C673" s="135">
        <v>4806300</v>
      </c>
      <c r="D673" s="136" t="s">
        <v>1494</v>
      </c>
      <c r="E673" s="137">
        <v>4806300</v>
      </c>
      <c r="F673" s="137">
        <v>0</v>
      </c>
      <c r="G673" s="137">
        <v>0</v>
      </c>
      <c r="H673" s="137">
        <v>4806300</v>
      </c>
      <c r="I673" s="141"/>
      <c r="J673" s="138">
        <v>0</v>
      </c>
      <c r="K673" s="133" t="s">
        <v>1464</v>
      </c>
      <c r="L673" s="133">
        <v>707</v>
      </c>
      <c r="M673" s="139">
        <v>46062</v>
      </c>
      <c r="N673" s="140" t="s">
        <v>1474</v>
      </c>
      <c r="O673" s="134">
        <v>849</v>
      </c>
    </row>
    <row r="674" spans="1:15" x14ac:dyDescent="0.25">
      <c r="A674" s="133">
        <v>674</v>
      </c>
      <c r="B674" s="134" t="s">
        <v>1577</v>
      </c>
      <c r="C674" s="135">
        <v>346400</v>
      </c>
      <c r="D674" s="136" t="s">
        <v>1494</v>
      </c>
      <c r="E674" s="137">
        <v>346400</v>
      </c>
      <c r="F674" s="137">
        <v>0</v>
      </c>
      <c r="G674" s="137">
        <v>0</v>
      </c>
      <c r="H674" s="137">
        <v>346400</v>
      </c>
      <c r="I674" s="141"/>
      <c r="J674" s="138">
        <v>0</v>
      </c>
      <c r="K674" s="133" t="s">
        <v>1464</v>
      </c>
      <c r="L674" s="133">
        <v>707</v>
      </c>
      <c r="M674" s="139">
        <v>46062</v>
      </c>
      <c r="N674" s="140" t="s">
        <v>1474</v>
      </c>
      <c r="O674" s="134">
        <v>849</v>
      </c>
    </row>
    <row r="675" spans="1:15" x14ac:dyDescent="0.25">
      <c r="A675" s="133">
        <v>675</v>
      </c>
      <c r="B675" s="134" t="s">
        <v>1578</v>
      </c>
      <c r="C675" s="135">
        <v>81400</v>
      </c>
      <c r="D675" s="136" t="s">
        <v>1494</v>
      </c>
      <c r="E675" s="137">
        <v>81400</v>
      </c>
      <c r="F675" s="137">
        <v>0</v>
      </c>
      <c r="G675" s="137">
        <v>0</v>
      </c>
      <c r="H675" s="137">
        <v>81400</v>
      </c>
      <c r="I675" s="141"/>
      <c r="J675" s="138">
        <v>0</v>
      </c>
      <c r="K675" s="133" t="s">
        <v>1464</v>
      </c>
      <c r="L675" s="133">
        <v>707</v>
      </c>
      <c r="M675" s="139">
        <v>46062</v>
      </c>
      <c r="N675" s="140" t="s">
        <v>1474</v>
      </c>
      <c r="O675" s="134">
        <v>849</v>
      </c>
    </row>
    <row r="676" spans="1:15" x14ac:dyDescent="0.25">
      <c r="A676" s="133">
        <v>676</v>
      </c>
      <c r="B676" s="134" t="s">
        <v>1579</v>
      </c>
      <c r="C676" s="135">
        <v>10663212</v>
      </c>
      <c r="D676" s="136" t="s">
        <v>1494</v>
      </c>
      <c r="E676" s="137">
        <v>10663212</v>
      </c>
      <c r="F676" s="137">
        <v>0</v>
      </c>
      <c r="G676" s="137">
        <v>0</v>
      </c>
      <c r="H676" s="137">
        <v>10663212</v>
      </c>
      <c r="I676" s="141"/>
      <c r="J676" s="138">
        <v>0</v>
      </c>
      <c r="K676" s="133" t="s">
        <v>1464</v>
      </c>
      <c r="L676" s="133">
        <v>707</v>
      </c>
      <c r="M676" s="139">
        <v>46062</v>
      </c>
      <c r="N676" s="140" t="s">
        <v>1474</v>
      </c>
      <c r="O676" s="134">
        <v>849</v>
      </c>
    </row>
    <row r="677" spans="1:15" x14ac:dyDescent="0.25">
      <c r="A677" s="133">
        <v>677</v>
      </c>
      <c r="B677" s="134" t="s">
        <v>1580</v>
      </c>
      <c r="C677" s="135">
        <v>1752838</v>
      </c>
      <c r="D677" s="136" t="s">
        <v>1581</v>
      </c>
      <c r="E677" s="137">
        <v>18375</v>
      </c>
      <c r="F677" s="137">
        <v>0</v>
      </c>
      <c r="G677" s="137">
        <v>18375</v>
      </c>
      <c r="H677" s="137">
        <v>0</v>
      </c>
      <c r="I677" s="135"/>
      <c r="J677" s="138">
        <v>0</v>
      </c>
      <c r="K677" s="133" t="s">
        <v>1464</v>
      </c>
      <c r="L677" s="133">
        <v>719</v>
      </c>
      <c r="M677" s="139">
        <v>46059</v>
      </c>
      <c r="N677" s="140" t="s">
        <v>1582</v>
      </c>
      <c r="O677" s="134" t="s">
        <v>212</v>
      </c>
    </row>
    <row r="678" spans="1:15" x14ac:dyDescent="0.25">
      <c r="A678" s="133">
        <v>678</v>
      </c>
      <c r="B678" s="134" t="s">
        <v>1580</v>
      </c>
      <c r="C678" s="135">
        <v>1752838</v>
      </c>
      <c r="D678" s="136" t="s">
        <v>1581</v>
      </c>
      <c r="E678" s="137">
        <v>23925</v>
      </c>
      <c r="F678" s="137">
        <v>0</v>
      </c>
      <c r="G678" s="137">
        <v>23925</v>
      </c>
      <c r="H678" s="137">
        <v>0</v>
      </c>
      <c r="I678" s="135"/>
      <c r="J678" s="138">
        <v>0</v>
      </c>
      <c r="K678" s="133" t="s">
        <v>1464</v>
      </c>
      <c r="L678" s="133">
        <v>719</v>
      </c>
      <c r="M678" s="139">
        <v>46059</v>
      </c>
      <c r="N678" s="140" t="s">
        <v>1582</v>
      </c>
      <c r="O678" s="134" t="s">
        <v>212</v>
      </c>
    </row>
    <row r="679" spans="1:15" x14ac:dyDescent="0.25">
      <c r="A679" s="133">
        <v>679</v>
      </c>
      <c r="B679" s="134" t="s">
        <v>1580</v>
      </c>
      <c r="C679" s="135">
        <v>1752838</v>
      </c>
      <c r="D679" s="136" t="s">
        <v>1581</v>
      </c>
      <c r="E679" s="137">
        <v>23925</v>
      </c>
      <c r="F679" s="137">
        <v>0</v>
      </c>
      <c r="G679" s="137">
        <v>23925</v>
      </c>
      <c r="H679" s="137">
        <v>0</v>
      </c>
      <c r="I679" s="135"/>
      <c r="J679" s="138">
        <v>0</v>
      </c>
      <c r="K679" s="133" t="s">
        <v>1464</v>
      </c>
      <c r="L679" s="133">
        <v>719</v>
      </c>
      <c r="M679" s="139">
        <v>46059</v>
      </c>
      <c r="N679" s="140" t="s">
        <v>1582</v>
      </c>
      <c r="O679" s="134" t="s">
        <v>212</v>
      </c>
    </row>
    <row r="680" spans="1:15" x14ac:dyDescent="0.25">
      <c r="A680" s="133">
        <v>680</v>
      </c>
      <c r="B680" s="134" t="s">
        <v>1580</v>
      </c>
      <c r="C680" s="135">
        <v>1752838</v>
      </c>
      <c r="D680" s="136" t="s">
        <v>1581</v>
      </c>
      <c r="E680" s="137">
        <v>20225</v>
      </c>
      <c r="F680" s="137">
        <v>0</v>
      </c>
      <c r="G680" s="137">
        <v>20225</v>
      </c>
      <c r="H680" s="137">
        <v>0</v>
      </c>
      <c r="I680" s="135"/>
      <c r="J680" s="138">
        <v>0</v>
      </c>
      <c r="K680" s="133" t="s">
        <v>1464</v>
      </c>
      <c r="L680" s="133">
        <v>719</v>
      </c>
      <c r="M680" s="139">
        <v>46059</v>
      </c>
      <c r="N680" s="140" t="s">
        <v>1582</v>
      </c>
      <c r="O680" s="134" t="s">
        <v>212</v>
      </c>
    </row>
    <row r="681" spans="1:15" x14ac:dyDescent="0.25">
      <c r="A681" s="133">
        <v>681</v>
      </c>
      <c r="B681" s="134" t="s">
        <v>1580</v>
      </c>
      <c r="C681" s="135">
        <v>1752838</v>
      </c>
      <c r="D681" s="136" t="s">
        <v>1581</v>
      </c>
      <c r="E681" s="137">
        <v>10775</v>
      </c>
      <c r="F681" s="137">
        <v>0</v>
      </c>
      <c r="G681" s="137">
        <v>10775</v>
      </c>
      <c r="H681" s="137">
        <v>0</v>
      </c>
      <c r="I681" s="135"/>
      <c r="J681" s="138">
        <v>0</v>
      </c>
      <c r="K681" s="133" t="s">
        <v>1464</v>
      </c>
      <c r="L681" s="133">
        <v>719</v>
      </c>
      <c r="M681" s="139">
        <v>46059</v>
      </c>
      <c r="N681" s="140" t="s">
        <v>1582</v>
      </c>
      <c r="O681" s="134" t="s">
        <v>212</v>
      </c>
    </row>
    <row r="682" spans="1:15" x14ac:dyDescent="0.25">
      <c r="A682" s="133">
        <v>682</v>
      </c>
      <c r="B682" s="134" t="s">
        <v>1583</v>
      </c>
      <c r="C682" s="135">
        <v>2101500</v>
      </c>
      <c r="D682" s="136" t="s">
        <v>1581</v>
      </c>
      <c r="E682" s="137">
        <v>1769300</v>
      </c>
      <c r="F682" s="137">
        <v>186653</v>
      </c>
      <c r="G682" s="137">
        <v>1582647</v>
      </c>
      <c r="H682" s="137">
        <v>0</v>
      </c>
      <c r="I682" s="135"/>
      <c r="J682" s="138">
        <v>0</v>
      </c>
      <c r="K682" s="133" t="s">
        <v>1464</v>
      </c>
      <c r="L682" s="133">
        <v>719</v>
      </c>
      <c r="M682" s="139">
        <v>46059</v>
      </c>
      <c r="N682" s="140" t="s">
        <v>1584</v>
      </c>
      <c r="O682" s="134" t="s">
        <v>237</v>
      </c>
    </row>
    <row r="683" spans="1:15" x14ac:dyDescent="0.25">
      <c r="A683" s="133">
        <v>683</v>
      </c>
      <c r="B683" s="142" t="s">
        <v>1585</v>
      </c>
      <c r="C683" s="143">
        <v>2047773</v>
      </c>
      <c r="D683" s="136" t="s">
        <v>1586</v>
      </c>
      <c r="E683" s="144">
        <v>28745</v>
      </c>
      <c r="F683" s="143">
        <v>0</v>
      </c>
      <c r="G683" s="144">
        <v>28745</v>
      </c>
      <c r="H683" s="143">
        <v>0</v>
      </c>
      <c r="I683" s="135"/>
      <c r="J683" s="138">
        <v>0</v>
      </c>
      <c r="K683" s="133" t="s">
        <v>1464</v>
      </c>
      <c r="L683" s="133">
        <v>721</v>
      </c>
      <c r="M683" s="139">
        <v>46073</v>
      </c>
      <c r="N683" s="145" t="s">
        <v>950</v>
      </c>
      <c r="O683" s="146" t="s">
        <v>208</v>
      </c>
    </row>
    <row r="684" spans="1:15" x14ac:dyDescent="0.25">
      <c r="A684" s="133">
        <v>684</v>
      </c>
      <c r="B684" s="142" t="s">
        <v>1587</v>
      </c>
      <c r="C684" s="143">
        <v>7244639</v>
      </c>
      <c r="D684" s="136" t="s">
        <v>1586</v>
      </c>
      <c r="E684" s="144">
        <v>86235</v>
      </c>
      <c r="F684" s="143">
        <v>0</v>
      </c>
      <c r="G684" s="144">
        <v>86235</v>
      </c>
      <c r="H684" s="143">
        <v>0</v>
      </c>
      <c r="I684" s="135"/>
      <c r="J684" s="138">
        <v>0</v>
      </c>
      <c r="K684" s="133" t="s">
        <v>1464</v>
      </c>
      <c r="L684" s="133">
        <v>721</v>
      </c>
      <c r="M684" s="139">
        <v>46073</v>
      </c>
      <c r="N684" s="145" t="s">
        <v>950</v>
      </c>
      <c r="O684" s="146" t="s">
        <v>208</v>
      </c>
    </row>
    <row r="685" spans="1:15" x14ac:dyDescent="0.25">
      <c r="A685" s="133">
        <v>685</v>
      </c>
      <c r="B685" s="142" t="s">
        <v>1588</v>
      </c>
      <c r="C685" s="143">
        <v>3463958</v>
      </c>
      <c r="D685" s="136" t="s">
        <v>1586</v>
      </c>
      <c r="E685" s="144">
        <v>143725</v>
      </c>
      <c r="F685" s="143">
        <v>0</v>
      </c>
      <c r="G685" s="144">
        <v>143725</v>
      </c>
      <c r="H685" s="143">
        <v>0</v>
      </c>
      <c r="I685" s="135"/>
      <c r="J685" s="138">
        <v>0</v>
      </c>
      <c r="K685" s="133" t="s">
        <v>1464</v>
      </c>
      <c r="L685" s="133">
        <v>721</v>
      </c>
      <c r="M685" s="139">
        <v>46073</v>
      </c>
      <c r="N685" s="145" t="s">
        <v>950</v>
      </c>
      <c r="O685" s="146" t="s">
        <v>208</v>
      </c>
    </row>
    <row r="686" spans="1:15" x14ac:dyDescent="0.25">
      <c r="A686" s="133">
        <v>686</v>
      </c>
      <c r="B686" s="142" t="s">
        <v>1588</v>
      </c>
      <c r="C686" s="143">
        <v>3463958</v>
      </c>
      <c r="D686" s="136" t="s">
        <v>1586</v>
      </c>
      <c r="E686" s="144">
        <v>37600</v>
      </c>
      <c r="F686" s="144">
        <v>37600</v>
      </c>
      <c r="G686" s="143">
        <v>0</v>
      </c>
      <c r="H686" s="143">
        <v>0</v>
      </c>
      <c r="I686" s="135"/>
      <c r="J686" s="138">
        <v>0</v>
      </c>
      <c r="K686" s="133" t="s">
        <v>1464</v>
      </c>
      <c r="L686" s="133">
        <v>721</v>
      </c>
      <c r="M686" s="139">
        <v>46073</v>
      </c>
      <c r="N686" s="145" t="s">
        <v>1589</v>
      </c>
      <c r="O686" s="146" t="s">
        <v>321</v>
      </c>
    </row>
    <row r="687" spans="1:15" x14ac:dyDescent="0.25">
      <c r="A687" s="133">
        <v>687</v>
      </c>
      <c r="B687" s="142" t="s">
        <v>1590</v>
      </c>
      <c r="C687" s="143">
        <v>4242714</v>
      </c>
      <c r="D687" s="136" t="s">
        <v>1586</v>
      </c>
      <c r="E687" s="144">
        <v>367004</v>
      </c>
      <c r="F687" s="144">
        <v>367004</v>
      </c>
      <c r="G687" s="143">
        <v>0</v>
      </c>
      <c r="H687" s="143">
        <v>0</v>
      </c>
      <c r="I687" s="135"/>
      <c r="J687" s="138">
        <v>0</v>
      </c>
      <c r="K687" s="133" t="s">
        <v>1464</v>
      </c>
      <c r="L687" s="133">
        <v>721</v>
      </c>
      <c r="M687" s="139">
        <v>46073</v>
      </c>
      <c r="N687" s="147" t="s">
        <v>1591</v>
      </c>
      <c r="O687" s="146" t="s">
        <v>208</v>
      </c>
    </row>
    <row r="688" spans="1:15" x14ac:dyDescent="0.25">
      <c r="A688" s="133">
        <v>688</v>
      </c>
      <c r="B688" s="142" t="s">
        <v>1590</v>
      </c>
      <c r="C688" s="143">
        <v>4242714</v>
      </c>
      <c r="D688" s="136" t="s">
        <v>1586</v>
      </c>
      <c r="E688" s="144">
        <v>1581</v>
      </c>
      <c r="F688" s="144">
        <v>1581</v>
      </c>
      <c r="G688" s="143">
        <v>0</v>
      </c>
      <c r="H688" s="143">
        <v>0</v>
      </c>
      <c r="I688" s="135"/>
      <c r="J688" s="138">
        <v>0</v>
      </c>
      <c r="K688" s="133" t="s">
        <v>1464</v>
      </c>
      <c r="L688" s="133">
        <v>721</v>
      </c>
      <c r="M688" s="139">
        <v>46073</v>
      </c>
      <c r="N688" s="147" t="s">
        <v>1592</v>
      </c>
      <c r="O688" s="146" t="s">
        <v>1016</v>
      </c>
    </row>
    <row r="689" spans="1:15" x14ac:dyDescent="0.25">
      <c r="A689" s="133">
        <v>689</v>
      </c>
      <c r="B689" s="142" t="s">
        <v>1593</v>
      </c>
      <c r="C689" s="143">
        <v>24797164</v>
      </c>
      <c r="D689" s="136" t="s">
        <v>1586</v>
      </c>
      <c r="E689" s="144">
        <v>3029622</v>
      </c>
      <c r="F689" s="143">
        <v>0</v>
      </c>
      <c r="G689" s="144">
        <v>3029622</v>
      </c>
      <c r="H689" s="143">
        <v>0</v>
      </c>
      <c r="I689" s="135"/>
      <c r="J689" s="138">
        <v>0</v>
      </c>
      <c r="K689" s="133" t="s">
        <v>1464</v>
      </c>
      <c r="L689" s="133">
        <v>721</v>
      </c>
      <c r="M689" s="139">
        <v>46073</v>
      </c>
      <c r="N689" s="145" t="s">
        <v>1594</v>
      </c>
      <c r="O689" s="146" t="s">
        <v>237</v>
      </c>
    </row>
    <row r="690" spans="1:15" x14ac:dyDescent="0.25">
      <c r="A690" s="133">
        <v>690</v>
      </c>
      <c r="B690" s="142" t="s">
        <v>1593</v>
      </c>
      <c r="C690" s="143">
        <v>24797164</v>
      </c>
      <c r="D690" s="136" t="s">
        <v>1586</v>
      </c>
      <c r="E690" s="143">
        <v>4718</v>
      </c>
      <c r="F690" s="143">
        <v>4718</v>
      </c>
      <c r="G690" s="143">
        <v>0</v>
      </c>
      <c r="H690" s="143">
        <v>0</v>
      </c>
      <c r="I690" s="135"/>
      <c r="J690" s="138">
        <v>0</v>
      </c>
      <c r="K690" s="133" t="s">
        <v>1464</v>
      </c>
      <c r="L690" s="133">
        <v>721</v>
      </c>
      <c r="M690" s="139">
        <v>46073</v>
      </c>
      <c r="N690" s="145" t="s">
        <v>1595</v>
      </c>
      <c r="O690" s="146" t="s">
        <v>212</v>
      </c>
    </row>
    <row r="691" spans="1:15" x14ac:dyDescent="0.25">
      <c r="A691" s="133">
        <v>691</v>
      </c>
      <c r="B691" s="142" t="s">
        <v>1593</v>
      </c>
      <c r="C691" s="143">
        <v>24797164</v>
      </c>
      <c r="D691" s="136" t="s">
        <v>1586</v>
      </c>
      <c r="E691" s="144">
        <v>13978</v>
      </c>
      <c r="F691" s="144">
        <v>13978</v>
      </c>
      <c r="G691" s="143">
        <v>0</v>
      </c>
      <c r="H691" s="143">
        <v>0</v>
      </c>
      <c r="I691" s="135"/>
      <c r="J691" s="138">
        <v>0</v>
      </c>
      <c r="K691" s="133" t="s">
        <v>1464</v>
      </c>
      <c r="L691" s="133">
        <v>721</v>
      </c>
      <c r="M691" s="139">
        <v>46073</v>
      </c>
      <c r="N691" s="145" t="s">
        <v>1596</v>
      </c>
      <c r="O691" s="146" t="s">
        <v>1187</v>
      </c>
    </row>
    <row r="692" spans="1:15" x14ac:dyDescent="0.25">
      <c r="A692" s="133">
        <v>692</v>
      </c>
      <c r="B692" s="142" t="s">
        <v>1597</v>
      </c>
      <c r="C692" s="143">
        <v>11862210</v>
      </c>
      <c r="D692" s="136" t="s">
        <v>1586</v>
      </c>
      <c r="E692" s="143">
        <v>4306906</v>
      </c>
      <c r="F692" s="143">
        <v>1669596</v>
      </c>
      <c r="G692" s="143">
        <v>2637310</v>
      </c>
      <c r="H692" s="143">
        <v>0</v>
      </c>
      <c r="I692" s="135"/>
      <c r="J692" s="138">
        <v>0</v>
      </c>
      <c r="K692" s="133" t="s">
        <v>1464</v>
      </c>
      <c r="L692" s="133">
        <v>721</v>
      </c>
      <c r="M692" s="139">
        <v>46073</v>
      </c>
      <c r="N692" s="148" t="s">
        <v>1598</v>
      </c>
      <c r="O692" s="146" t="s">
        <v>227</v>
      </c>
    </row>
    <row r="693" spans="1:15" x14ac:dyDescent="0.25">
      <c r="A693" s="133">
        <v>693</v>
      </c>
      <c r="B693" s="142" t="s">
        <v>1599</v>
      </c>
      <c r="C693" s="143">
        <v>6839677</v>
      </c>
      <c r="D693" s="136" t="s">
        <v>1586</v>
      </c>
      <c r="E693" s="144">
        <v>201215</v>
      </c>
      <c r="F693" s="143">
        <v>0</v>
      </c>
      <c r="G693" s="144">
        <v>201215</v>
      </c>
      <c r="H693" s="143">
        <v>0</v>
      </c>
      <c r="I693" s="135"/>
      <c r="J693" s="138">
        <v>0</v>
      </c>
      <c r="K693" s="133" t="s">
        <v>1464</v>
      </c>
      <c r="L693" s="133">
        <v>721</v>
      </c>
      <c r="M693" s="139">
        <v>46073</v>
      </c>
      <c r="N693" s="145" t="s">
        <v>1582</v>
      </c>
      <c r="O693" s="146" t="s">
        <v>208</v>
      </c>
    </row>
    <row r="694" spans="1:15" x14ac:dyDescent="0.25">
      <c r="A694" s="133">
        <v>694</v>
      </c>
      <c r="B694" s="142" t="s">
        <v>1599</v>
      </c>
      <c r="C694" s="143">
        <v>6839677</v>
      </c>
      <c r="D694" s="136" t="s">
        <v>1586</v>
      </c>
      <c r="E694" s="144">
        <v>12100</v>
      </c>
      <c r="F694" s="143">
        <v>0</v>
      </c>
      <c r="G694" s="144">
        <v>12100</v>
      </c>
      <c r="H694" s="143">
        <v>0</v>
      </c>
      <c r="I694" s="135"/>
      <c r="J694" s="138">
        <v>0</v>
      </c>
      <c r="K694" s="133" t="s">
        <v>1464</v>
      </c>
      <c r="L694" s="133">
        <v>721</v>
      </c>
      <c r="M694" s="139">
        <v>46073</v>
      </c>
      <c r="N694" s="145" t="s">
        <v>1582</v>
      </c>
      <c r="O694" s="146" t="s">
        <v>1016</v>
      </c>
    </row>
    <row r="695" spans="1:15" x14ac:dyDescent="0.25">
      <c r="A695" s="133">
        <v>695</v>
      </c>
      <c r="B695" s="142" t="s">
        <v>1599</v>
      </c>
      <c r="C695" s="143">
        <v>6839677</v>
      </c>
      <c r="D695" s="136" t="s">
        <v>1586</v>
      </c>
      <c r="E695" s="144">
        <v>25300</v>
      </c>
      <c r="F695" s="144">
        <v>25300</v>
      </c>
      <c r="G695" s="144">
        <v>0</v>
      </c>
      <c r="H695" s="143">
        <v>0</v>
      </c>
      <c r="I695" s="135"/>
      <c r="J695" s="138">
        <v>0</v>
      </c>
      <c r="K695" s="133" t="s">
        <v>1464</v>
      </c>
      <c r="L695" s="133">
        <v>721</v>
      </c>
      <c r="M695" s="139">
        <v>46073</v>
      </c>
      <c r="N695" s="145" t="s">
        <v>1600</v>
      </c>
      <c r="O695" s="146" t="s">
        <v>230</v>
      </c>
    </row>
    <row r="696" spans="1:15" x14ac:dyDescent="0.25">
      <c r="A696" s="133">
        <v>696</v>
      </c>
      <c r="B696" s="142" t="s">
        <v>1601</v>
      </c>
      <c r="C696" s="143">
        <v>4233247</v>
      </c>
      <c r="D696" s="136" t="s">
        <v>1586</v>
      </c>
      <c r="E696" s="144">
        <v>86235</v>
      </c>
      <c r="F696" s="143">
        <v>0</v>
      </c>
      <c r="G696" s="144">
        <v>86235</v>
      </c>
      <c r="H696" s="143">
        <v>0</v>
      </c>
      <c r="I696" s="135"/>
      <c r="J696" s="138">
        <v>0</v>
      </c>
      <c r="K696" s="133" t="s">
        <v>1464</v>
      </c>
      <c r="L696" s="133">
        <v>721</v>
      </c>
      <c r="M696" s="139">
        <v>46073</v>
      </c>
      <c r="N696" s="145" t="s">
        <v>950</v>
      </c>
      <c r="O696" s="146" t="s">
        <v>208</v>
      </c>
    </row>
    <row r="697" spans="1:15" x14ac:dyDescent="0.25">
      <c r="A697" s="133">
        <v>697</v>
      </c>
      <c r="B697" s="142" t="s">
        <v>1602</v>
      </c>
      <c r="C697" s="143">
        <v>5322888</v>
      </c>
      <c r="D697" s="136" t="s">
        <v>1586</v>
      </c>
      <c r="E697" s="144">
        <v>114980</v>
      </c>
      <c r="F697" s="143">
        <v>0</v>
      </c>
      <c r="G697" s="144">
        <v>114980</v>
      </c>
      <c r="H697" s="143">
        <v>0</v>
      </c>
      <c r="I697" s="135"/>
      <c r="J697" s="138">
        <v>0</v>
      </c>
      <c r="K697" s="133" t="s">
        <v>1464</v>
      </c>
      <c r="L697" s="133">
        <v>721</v>
      </c>
      <c r="M697" s="139">
        <v>46073</v>
      </c>
      <c r="N697" s="145" t="s">
        <v>950</v>
      </c>
      <c r="O697" s="146" t="s">
        <v>208</v>
      </c>
    </row>
    <row r="698" spans="1:15" x14ac:dyDescent="0.25">
      <c r="A698" s="133">
        <v>698</v>
      </c>
      <c r="B698" s="142" t="s">
        <v>1603</v>
      </c>
      <c r="C698" s="143">
        <v>4052545</v>
      </c>
      <c r="D698" s="136" t="s">
        <v>1586</v>
      </c>
      <c r="E698" s="144">
        <v>86235</v>
      </c>
      <c r="F698" s="143">
        <v>0</v>
      </c>
      <c r="G698" s="144">
        <v>86235</v>
      </c>
      <c r="H698" s="143">
        <v>0</v>
      </c>
      <c r="I698" s="135"/>
      <c r="J698" s="138">
        <v>0</v>
      </c>
      <c r="K698" s="133" t="s">
        <v>1464</v>
      </c>
      <c r="L698" s="133">
        <v>721</v>
      </c>
      <c r="M698" s="139">
        <v>46073</v>
      </c>
      <c r="N698" s="145" t="s">
        <v>950</v>
      </c>
      <c r="O698" s="146" t="s">
        <v>208</v>
      </c>
    </row>
    <row r="699" spans="1:15" x14ac:dyDescent="0.25">
      <c r="A699" s="133">
        <v>699</v>
      </c>
      <c r="B699" s="142" t="s">
        <v>1603</v>
      </c>
      <c r="C699" s="143">
        <v>4052545</v>
      </c>
      <c r="D699" s="136" t="s">
        <v>1586</v>
      </c>
      <c r="E699" s="144">
        <v>204360</v>
      </c>
      <c r="F699" s="144">
        <v>0</v>
      </c>
      <c r="G699" s="144">
        <v>204360</v>
      </c>
      <c r="H699" s="143">
        <v>0</v>
      </c>
      <c r="I699" s="135"/>
      <c r="J699" s="138">
        <v>0</v>
      </c>
      <c r="K699" s="133" t="s">
        <v>1464</v>
      </c>
      <c r="L699" s="133">
        <v>721</v>
      </c>
      <c r="M699" s="139">
        <v>46073</v>
      </c>
      <c r="N699" s="145" t="s">
        <v>950</v>
      </c>
      <c r="O699" s="146" t="s">
        <v>237</v>
      </c>
    </row>
    <row r="700" spans="1:15" x14ac:dyDescent="0.25">
      <c r="A700" s="133">
        <v>700</v>
      </c>
      <c r="B700" s="142" t="s">
        <v>1603</v>
      </c>
      <c r="C700" s="143">
        <v>4052545</v>
      </c>
      <c r="D700" s="136" t="s">
        <v>1586</v>
      </c>
      <c r="E700" s="144">
        <v>91200</v>
      </c>
      <c r="F700" s="143">
        <v>91200</v>
      </c>
      <c r="G700" s="143">
        <v>0</v>
      </c>
      <c r="H700" s="143">
        <v>0</v>
      </c>
      <c r="I700" s="135"/>
      <c r="J700" s="138">
        <v>0</v>
      </c>
      <c r="K700" s="133" t="s">
        <v>1464</v>
      </c>
      <c r="L700" s="133">
        <v>721</v>
      </c>
      <c r="M700" s="139">
        <v>46073</v>
      </c>
      <c r="N700" s="145" t="s">
        <v>1604</v>
      </c>
      <c r="O700" s="146" t="s">
        <v>230</v>
      </c>
    </row>
    <row r="701" spans="1:15" x14ac:dyDescent="0.25">
      <c r="A701" s="133">
        <v>701</v>
      </c>
      <c r="B701" s="142" t="s">
        <v>1605</v>
      </c>
      <c r="C701" s="143">
        <v>14448412</v>
      </c>
      <c r="D701" s="136" t="s">
        <v>1586</v>
      </c>
      <c r="E701" s="144">
        <v>1009961</v>
      </c>
      <c r="F701" s="144">
        <v>1009961</v>
      </c>
      <c r="G701" s="143">
        <v>0</v>
      </c>
      <c r="H701" s="143">
        <v>0</v>
      </c>
      <c r="I701" s="135"/>
      <c r="J701" s="138">
        <v>0</v>
      </c>
      <c r="K701" s="133" t="s">
        <v>1464</v>
      </c>
      <c r="L701" s="133">
        <v>721</v>
      </c>
      <c r="M701" s="139">
        <v>46073</v>
      </c>
      <c r="N701" s="149" t="s">
        <v>1606</v>
      </c>
      <c r="O701" s="146" t="s">
        <v>208</v>
      </c>
    </row>
    <row r="702" spans="1:15" x14ac:dyDescent="0.25">
      <c r="A702" s="133">
        <v>702</v>
      </c>
      <c r="B702" s="142" t="s">
        <v>1605</v>
      </c>
      <c r="C702" s="143">
        <v>14448412</v>
      </c>
      <c r="D702" s="136" t="s">
        <v>1586</v>
      </c>
      <c r="E702" s="144">
        <v>76929</v>
      </c>
      <c r="F702" s="144">
        <v>76929</v>
      </c>
      <c r="G702" s="143">
        <v>0</v>
      </c>
      <c r="H702" s="143">
        <v>0</v>
      </c>
      <c r="I702" s="135"/>
      <c r="J702" s="138">
        <v>0</v>
      </c>
      <c r="K702" s="133" t="s">
        <v>1464</v>
      </c>
      <c r="L702" s="133">
        <v>721</v>
      </c>
      <c r="M702" s="139">
        <v>46073</v>
      </c>
      <c r="N702" s="150" t="s">
        <v>1607</v>
      </c>
      <c r="O702" s="146" t="s">
        <v>212</v>
      </c>
    </row>
    <row r="703" spans="1:15" x14ac:dyDescent="0.25">
      <c r="A703" s="133">
        <v>703</v>
      </c>
      <c r="B703" s="142" t="s">
        <v>1605</v>
      </c>
      <c r="C703" s="143">
        <v>14448412</v>
      </c>
      <c r="D703" s="136" t="s">
        <v>1586</v>
      </c>
      <c r="E703" s="144">
        <v>5500</v>
      </c>
      <c r="F703" s="143">
        <v>0</v>
      </c>
      <c r="G703" s="144">
        <v>5500</v>
      </c>
      <c r="H703" s="143">
        <v>0</v>
      </c>
      <c r="I703" s="135"/>
      <c r="J703" s="138">
        <v>0</v>
      </c>
      <c r="K703" s="133" t="s">
        <v>1464</v>
      </c>
      <c r="L703" s="133">
        <v>721</v>
      </c>
      <c r="M703" s="139">
        <v>46073</v>
      </c>
      <c r="N703" s="145" t="s">
        <v>950</v>
      </c>
      <c r="O703" s="146" t="s">
        <v>224</v>
      </c>
    </row>
    <row r="704" spans="1:15" x14ac:dyDescent="0.25">
      <c r="A704" s="133">
        <v>704</v>
      </c>
      <c r="B704" s="142" t="s">
        <v>1605</v>
      </c>
      <c r="C704" s="143">
        <v>14448412</v>
      </c>
      <c r="D704" s="136" t="s">
        <v>1586</v>
      </c>
      <c r="E704" s="144">
        <v>700</v>
      </c>
      <c r="F704" s="143">
        <v>0</v>
      </c>
      <c r="G704" s="144">
        <v>700</v>
      </c>
      <c r="H704" s="143">
        <v>0</v>
      </c>
      <c r="I704" s="135"/>
      <c r="J704" s="138">
        <v>0</v>
      </c>
      <c r="K704" s="133" t="s">
        <v>1464</v>
      </c>
      <c r="L704" s="133">
        <v>721</v>
      </c>
      <c r="M704" s="139">
        <v>46073</v>
      </c>
      <c r="N704" s="145" t="s">
        <v>950</v>
      </c>
      <c r="O704" s="146" t="s">
        <v>227</v>
      </c>
    </row>
    <row r="705" spans="1:15" x14ac:dyDescent="0.25">
      <c r="A705" s="133">
        <v>705</v>
      </c>
      <c r="B705" s="142" t="s">
        <v>1608</v>
      </c>
      <c r="C705" s="143">
        <v>23551921</v>
      </c>
      <c r="D705" s="136" t="s">
        <v>1586</v>
      </c>
      <c r="E705" s="144">
        <v>9703</v>
      </c>
      <c r="F705" s="143">
        <v>67</v>
      </c>
      <c r="G705" s="143">
        <f>E705-F705</f>
        <v>9636</v>
      </c>
      <c r="H705" s="143">
        <v>0</v>
      </c>
      <c r="I705" s="135"/>
      <c r="J705" s="138">
        <v>0</v>
      </c>
      <c r="K705" s="133" t="s">
        <v>1464</v>
      </c>
      <c r="L705" s="133">
        <v>721</v>
      </c>
      <c r="M705" s="139">
        <v>46073</v>
      </c>
      <c r="N705" s="150" t="s">
        <v>1609</v>
      </c>
      <c r="O705" s="146" t="s">
        <v>212</v>
      </c>
    </row>
    <row r="706" spans="1:15" x14ac:dyDescent="0.25">
      <c r="A706" s="133">
        <v>706</v>
      </c>
      <c r="B706" s="142" t="s">
        <v>1608</v>
      </c>
      <c r="C706" s="143">
        <v>23551921</v>
      </c>
      <c r="D706" s="136" t="s">
        <v>1586</v>
      </c>
      <c r="E706" s="144">
        <v>19900</v>
      </c>
      <c r="F706" s="143">
        <v>0</v>
      </c>
      <c r="G706" s="144">
        <v>19900</v>
      </c>
      <c r="H706" s="143">
        <v>0</v>
      </c>
      <c r="I706" s="135"/>
      <c r="J706" s="138">
        <v>0</v>
      </c>
      <c r="K706" s="133" t="s">
        <v>1464</v>
      </c>
      <c r="L706" s="133">
        <v>721</v>
      </c>
      <c r="M706" s="139">
        <v>46073</v>
      </c>
      <c r="N706" s="145" t="s">
        <v>950</v>
      </c>
      <c r="O706" s="146" t="s">
        <v>227</v>
      </c>
    </row>
    <row r="707" spans="1:15" x14ac:dyDescent="0.25">
      <c r="A707" s="133">
        <v>707</v>
      </c>
      <c r="B707" s="142" t="s">
        <v>1608</v>
      </c>
      <c r="C707" s="143">
        <v>23551921</v>
      </c>
      <c r="D707" s="136" t="s">
        <v>1586</v>
      </c>
      <c r="E707" s="144">
        <v>134137</v>
      </c>
      <c r="F707" s="143">
        <v>95500</v>
      </c>
      <c r="G707" s="143">
        <v>38637</v>
      </c>
      <c r="H707" s="143">
        <v>0</v>
      </c>
      <c r="I707" s="135"/>
      <c r="J707" s="138">
        <v>0</v>
      </c>
      <c r="K707" s="133" t="s">
        <v>1464</v>
      </c>
      <c r="L707" s="133">
        <v>721</v>
      </c>
      <c r="M707" s="139">
        <v>46073</v>
      </c>
      <c r="N707" s="150" t="s">
        <v>1610</v>
      </c>
      <c r="O707" s="146" t="s">
        <v>1016</v>
      </c>
    </row>
    <row r="708" spans="1:15" x14ac:dyDescent="0.25">
      <c r="A708" s="133">
        <v>708</v>
      </c>
      <c r="B708" s="142" t="s">
        <v>1608</v>
      </c>
      <c r="C708" s="143">
        <v>23551921</v>
      </c>
      <c r="D708" s="136" t="s">
        <v>1586</v>
      </c>
      <c r="E708" s="144">
        <v>3192744</v>
      </c>
      <c r="F708" s="143">
        <v>0</v>
      </c>
      <c r="G708" s="144">
        <v>3192744</v>
      </c>
      <c r="H708" s="143">
        <v>0</v>
      </c>
      <c r="I708" s="135"/>
      <c r="J708" s="138">
        <v>0</v>
      </c>
      <c r="K708" s="133" t="s">
        <v>1464</v>
      </c>
      <c r="L708" s="133">
        <v>721</v>
      </c>
      <c r="M708" s="139">
        <v>46073</v>
      </c>
      <c r="N708" s="145" t="s">
        <v>1582</v>
      </c>
      <c r="O708" s="146" t="s">
        <v>1611</v>
      </c>
    </row>
    <row r="709" spans="1:15" x14ac:dyDescent="0.25">
      <c r="A709" s="133">
        <v>709</v>
      </c>
      <c r="B709" s="142" t="s">
        <v>1612</v>
      </c>
      <c r="C709" s="143">
        <v>11324671</v>
      </c>
      <c r="D709" s="136" t="s">
        <v>1586</v>
      </c>
      <c r="E709" s="151">
        <v>76929</v>
      </c>
      <c r="F709" s="144">
        <v>76929</v>
      </c>
      <c r="G709" s="143">
        <v>0</v>
      </c>
      <c r="H709" s="143">
        <v>0</v>
      </c>
      <c r="I709" s="135"/>
      <c r="J709" s="138">
        <v>0</v>
      </c>
      <c r="K709" s="133" t="s">
        <v>1464</v>
      </c>
      <c r="L709" s="133">
        <v>721</v>
      </c>
      <c r="M709" s="139">
        <v>46073</v>
      </c>
      <c r="N709" s="142" t="s">
        <v>1607</v>
      </c>
      <c r="O709" s="146" t="s">
        <v>212</v>
      </c>
    </row>
    <row r="710" spans="1:15" x14ac:dyDescent="0.25">
      <c r="A710" s="133">
        <v>710</v>
      </c>
      <c r="B710" s="142" t="s">
        <v>1612</v>
      </c>
      <c r="C710" s="143">
        <v>11324671</v>
      </c>
      <c r="D710" s="136" t="s">
        <v>1586</v>
      </c>
      <c r="E710" s="151">
        <v>2200</v>
      </c>
      <c r="F710" s="143">
        <v>0</v>
      </c>
      <c r="G710" s="151">
        <v>2200</v>
      </c>
      <c r="H710" s="143">
        <v>0</v>
      </c>
      <c r="I710" s="135"/>
      <c r="J710" s="138">
        <v>0</v>
      </c>
      <c r="K710" s="133" t="s">
        <v>1464</v>
      </c>
      <c r="L710" s="133">
        <v>721</v>
      </c>
      <c r="M710" s="139">
        <v>46073</v>
      </c>
      <c r="N710" s="145" t="s">
        <v>950</v>
      </c>
      <c r="O710" s="146" t="s">
        <v>227</v>
      </c>
    </row>
    <row r="711" spans="1:15" x14ac:dyDescent="0.25">
      <c r="A711" s="133">
        <v>711</v>
      </c>
      <c r="B711" s="142" t="s">
        <v>1612</v>
      </c>
      <c r="C711" s="143">
        <v>11324671</v>
      </c>
      <c r="D711" s="136" t="s">
        <v>1586</v>
      </c>
      <c r="E711" s="151">
        <v>201215</v>
      </c>
      <c r="F711" s="143">
        <v>0</v>
      </c>
      <c r="G711" s="151">
        <v>201215</v>
      </c>
      <c r="H711" s="143">
        <v>0</v>
      </c>
      <c r="I711" s="135"/>
      <c r="J711" s="138">
        <v>0</v>
      </c>
      <c r="K711" s="133" t="s">
        <v>1464</v>
      </c>
      <c r="L711" s="133">
        <v>721</v>
      </c>
      <c r="M711" s="139">
        <v>46073</v>
      </c>
      <c r="N711" s="145" t="s">
        <v>950</v>
      </c>
      <c r="O711" s="152" t="s">
        <v>194</v>
      </c>
    </row>
    <row r="712" spans="1:15" x14ac:dyDescent="0.25">
      <c r="A712" s="133">
        <v>712</v>
      </c>
      <c r="B712" s="142" t="s">
        <v>1613</v>
      </c>
      <c r="C712" s="143">
        <v>4813689</v>
      </c>
      <c r="D712" s="136" t="s">
        <v>1586</v>
      </c>
      <c r="E712" s="143">
        <v>245877</v>
      </c>
      <c r="F712" s="143">
        <v>0</v>
      </c>
      <c r="G712" s="144">
        <v>245877</v>
      </c>
      <c r="H712" s="143">
        <v>0</v>
      </c>
      <c r="I712" s="135"/>
      <c r="J712" s="138">
        <v>0</v>
      </c>
      <c r="K712" s="133" t="s">
        <v>1464</v>
      </c>
      <c r="L712" s="133">
        <v>721</v>
      </c>
      <c r="M712" s="139">
        <v>46073</v>
      </c>
      <c r="N712" s="145" t="s">
        <v>1614</v>
      </c>
      <c r="O712" s="146" t="s">
        <v>237</v>
      </c>
    </row>
    <row r="713" spans="1:15" x14ac:dyDescent="0.25">
      <c r="A713" s="133">
        <v>713</v>
      </c>
      <c r="B713" s="142" t="s">
        <v>1615</v>
      </c>
      <c r="C713" s="143">
        <v>4168636</v>
      </c>
      <c r="D713" s="136" t="s">
        <v>1586</v>
      </c>
      <c r="E713" s="144">
        <v>56430</v>
      </c>
      <c r="F713" s="143">
        <v>0</v>
      </c>
      <c r="G713" s="144">
        <v>56430</v>
      </c>
      <c r="H713" s="143">
        <v>0</v>
      </c>
      <c r="I713" s="135"/>
      <c r="J713" s="138">
        <v>0</v>
      </c>
      <c r="K713" s="133" t="s">
        <v>1464</v>
      </c>
      <c r="L713" s="133">
        <v>721</v>
      </c>
      <c r="M713" s="139">
        <v>46073</v>
      </c>
      <c r="N713" s="145" t="s">
        <v>1594</v>
      </c>
      <c r="O713" s="146" t="s">
        <v>237</v>
      </c>
    </row>
    <row r="714" spans="1:15" x14ac:dyDescent="0.25">
      <c r="A714" s="133">
        <v>714</v>
      </c>
      <c r="B714" s="142" t="s">
        <v>1616</v>
      </c>
      <c r="C714" s="143">
        <v>2258300</v>
      </c>
      <c r="D714" s="136" t="s">
        <v>1617</v>
      </c>
      <c r="E714" s="143">
        <v>2258300</v>
      </c>
      <c r="F714" s="137">
        <v>0</v>
      </c>
      <c r="G714" s="143">
        <v>2258300</v>
      </c>
      <c r="H714" s="137">
        <v>0</v>
      </c>
      <c r="I714" s="135"/>
      <c r="J714" s="138">
        <v>0</v>
      </c>
      <c r="K714" s="133" t="s">
        <v>1464</v>
      </c>
      <c r="L714" s="133">
        <v>724</v>
      </c>
      <c r="M714" s="139">
        <v>46069</v>
      </c>
      <c r="N714" s="153" t="s">
        <v>950</v>
      </c>
      <c r="O714" s="134">
        <v>401</v>
      </c>
    </row>
    <row r="715" spans="1:15" x14ac:dyDescent="0.25">
      <c r="A715" s="133">
        <v>715</v>
      </c>
      <c r="B715" s="134" t="s">
        <v>1618</v>
      </c>
      <c r="C715" s="135">
        <v>367900</v>
      </c>
      <c r="D715" s="136" t="s">
        <v>1619</v>
      </c>
      <c r="E715" s="137">
        <v>200</v>
      </c>
      <c r="F715" s="137">
        <v>200</v>
      </c>
      <c r="G715" s="137">
        <v>0</v>
      </c>
      <c r="H715" s="137">
        <v>0</v>
      </c>
      <c r="I715" s="135"/>
      <c r="J715" s="138">
        <v>0</v>
      </c>
      <c r="K715" s="133" t="s">
        <v>1464</v>
      </c>
      <c r="L715" s="133">
        <v>723</v>
      </c>
      <c r="M715" s="139">
        <v>46078</v>
      </c>
      <c r="N715" s="140" t="s">
        <v>1620</v>
      </c>
      <c r="O715" s="134" t="s">
        <v>212</v>
      </c>
    </row>
    <row r="716" spans="1:15" x14ac:dyDescent="0.25">
      <c r="A716" s="133">
        <v>716</v>
      </c>
      <c r="B716" s="134" t="s">
        <v>1618</v>
      </c>
      <c r="C716" s="135">
        <v>367900</v>
      </c>
      <c r="D716" s="136" t="s">
        <v>1619</v>
      </c>
      <c r="E716" s="137">
        <v>38900</v>
      </c>
      <c r="F716" s="137">
        <v>0</v>
      </c>
      <c r="G716" s="137">
        <v>38900</v>
      </c>
      <c r="H716" s="137">
        <v>0</v>
      </c>
      <c r="I716" s="135"/>
      <c r="J716" s="138">
        <v>0</v>
      </c>
      <c r="K716" s="133" t="s">
        <v>1464</v>
      </c>
      <c r="L716" s="133">
        <v>723</v>
      </c>
      <c r="M716" s="139">
        <v>46078</v>
      </c>
      <c r="N716" s="140" t="s">
        <v>1501</v>
      </c>
      <c r="O716" s="134" t="s">
        <v>241</v>
      </c>
    </row>
    <row r="717" spans="1:15" x14ac:dyDescent="0.25">
      <c r="A717" s="133">
        <v>717</v>
      </c>
      <c r="B717" s="134" t="s">
        <v>1618</v>
      </c>
      <c r="C717" s="135">
        <v>367900</v>
      </c>
      <c r="D717" s="136" t="s">
        <v>1619</v>
      </c>
      <c r="E717" s="137">
        <v>300</v>
      </c>
      <c r="F717" s="137">
        <v>300</v>
      </c>
      <c r="G717" s="137">
        <v>0</v>
      </c>
      <c r="H717" s="137">
        <v>0</v>
      </c>
      <c r="I717" s="135"/>
      <c r="J717" s="138">
        <v>0</v>
      </c>
      <c r="K717" s="133" t="s">
        <v>1464</v>
      </c>
      <c r="L717" s="133">
        <v>723</v>
      </c>
      <c r="M717" s="139">
        <v>46078</v>
      </c>
      <c r="N717" s="140" t="s">
        <v>1621</v>
      </c>
      <c r="O717" s="134" t="s">
        <v>212</v>
      </c>
    </row>
    <row r="718" spans="1:15" x14ac:dyDescent="0.25">
      <c r="A718" s="133">
        <v>718</v>
      </c>
      <c r="B718" s="134" t="s">
        <v>1618</v>
      </c>
      <c r="C718" s="135">
        <v>367900</v>
      </c>
      <c r="D718" s="136" t="s">
        <v>1619</v>
      </c>
      <c r="E718" s="137">
        <v>7600</v>
      </c>
      <c r="F718" s="137">
        <v>7600</v>
      </c>
      <c r="G718" s="137">
        <v>0</v>
      </c>
      <c r="H718" s="137">
        <v>0</v>
      </c>
      <c r="I718" s="135"/>
      <c r="J718" s="138">
        <v>0</v>
      </c>
      <c r="K718" s="133" t="s">
        <v>1464</v>
      </c>
      <c r="L718" s="133">
        <v>723</v>
      </c>
      <c r="M718" s="139">
        <v>46078</v>
      </c>
      <c r="N718" s="140" t="s">
        <v>1622</v>
      </c>
      <c r="O718" s="134" t="s">
        <v>185</v>
      </c>
    </row>
    <row r="719" spans="1:15" x14ac:dyDescent="0.25">
      <c r="A719" s="133">
        <v>719</v>
      </c>
      <c r="B719" s="134" t="s">
        <v>1623</v>
      </c>
      <c r="C719" s="135">
        <v>12384213</v>
      </c>
      <c r="D719" s="136" t="s">
        <v>1624</v>
      </c>
      <c r="E719" s="137">
        <v>443226</v>
      </c>
      <c r="F719" s="137">
        <v>171826</v>
      </c>
      <c r="G719" s="137">
        <v>271400</v>
      </c>
      <c r="H719" s="137">
        <v>0</v>
      </c>
      <c r="I719" s="135"/>
      <c r="J719" s="138">
        <v>0</v>
      </c>
      <c r="K719" s="133" t="s">
        <v>1464</v>
      </c>
      <c r="L719" s="133">
        <v>722</v>
      </c>
      <c r="M719" s="139">
        <v>46073</v>
      </c>
      <c r="N719" s="140" t="s">
        <v>1625</v>
      </c>
      <c r="O719" s="134">
        <v>206</v>
      </c>
    </row>
    <row r="720" spans="1:15" x14ac:dyDescent="0.25">
      <c r="A720" s="133">
        <v>720</v>
      </c>
      <c r="B720" s="134" t="s">
        <v>1623</v>
      </c>
      <c r="C720" s="135">
        <v>12384213</v>
      </c>
      <c r="D720" s="136" t="s">
        <v>1624</v>
      </c>
      <c r="E720" s="137">
        <v>8000</v>
      </c>
      <c r="F720" s="137">
        <v>8000</v>
      </c>
      <c r="G720" s="137">
        <v>0</v>
      </c>
      <c r="H720" s="137">
        <v>0</v>
      </c>
      <c r="I720" s="135"/>
      <c r="J720" s="138">
        <v>0</v>
      </c>
      <c r="K720" s="133" t="s">
        <v>1464</v>
      </c>
      <c r="L720" s="133">
        <v>722</v>
      </c>
      <c r="M720" s="139">
        <v>46073</v>
      </c>
      <c r="N720" s="140" t="s">
        <v>1626</v>
      </c>
      <c r="O720" s="134">
        <v>208</v>
      </c>
    </row>
    <row r="721" spans="1:15" x14ac:dyDescent="0.25">
      <c r="A721" s="133">
        <v>721</v>
      </c>
      <c r="B721" s="134" t="s">
        <v>1623</v>
      </c>
      <c r="C721" s="135">
        <v>12384213</v>
      </c>
      <c r="D721" s="136" t="s">
        <v>1624</v>
      </c>
      <c r="E721" s="137">
        <v>815500</v>
      </c>
      <c r="F721" s="137">
        <v>108100</v>
      </c>
      <c r="G721" s="137">
        <v>707400</v>
      </c>
      <c r="H721" s="137">
        <v>0</v>
      </c>
      <c r="I721" s="135"/>
      <c r="J721" s="138">
        <v>0</v>
      </c>
      <c r="K721" s="133" t="s">
        <v>1464</v>
      </c>
      <c r="L721" s="133">
        <v>722</v>
      </c>
      <c r="M721" s="139">
        <v>46073</v>
      </c>
      <c r="N721" s="140" t="s">
        <v>1627</v>
      </c>
      <c r="O721" s="134">
        <v>608</v>
      </c>
    </row>
    <row r="722" spans="1:15" x14ac:dyDescent="0.25">
      <c r="A722" s="133">
        <v>722</v>
      </c>
      <c r="B722" s="134" t="s">
        <v>1623</v>
      </c>
      <c r="C722" s="135">
        <v>12384213</v>
      </c>
      <c r="D722" s="136" t="s">
        <v>1624</v>
      </c>
      <c r="E722" s="137">
        <v>1032000</v>
      </c>
      <c r="F722" s="137">
        <v>0</v>
      </c>
      <c r="G722" s="137">
        <v>1032000</v>
      </c>
      <c r="H722" s="137">
        <v>0</v>
      </c>
      <c r="I722" s="135"/>
      <c r="J722" s="138">
        <v>0</v>
      </c>
      <c r="K722" s="133" t="s">
        <v>1464</v>
      </c>
      <c r="L722" s="133">
        <v>722</v>
      </c>
      <c r="M722" s="139">
        <v>46073</v>
      </c>
      <c r="N722" s="140" t="s">
        <v>1628</v>
      </c>
      <c r="O722" s="134">
        <v>623</v>
      </c>
    </row>
    <row r="723" spans="1:15" x14ac:dyDescent="0.25">
      <c r="A723" s="133">
        <v>723</v>
      </c>
      <c r="B723" s="134" t="s">
        <v>1629</v>
      </c>
      <c r="C723" s="135">
        <v>11558322</v>
      </c>
      <c r="D723" s="136" t="s">
        <v>1624</v>
      </c>
      <c r="E723" s="137">
        <v>1745500</v>
      </c>
      <c r="F723" s="137">
        <v>1745500</v>
      </c>
      <c r="G723" s="137">
        <v>0</v>
      </c>
      <c r="H723" s="137">
        <v>0</v>
      </c>
      <c r="I723" s="135"/>
      <c r="J723" s="138">
        <v>0</v>
      </c>
      <c r="K723" s="133" t="s">
        <v>1464</v>
      </c>
      <c r="L723" s="133">
        <v>722</v>
      </c>
      <c r="M723" s="139">
        <v>46073</v>
      </c>
      <c r="N723" s="140" t="s">
        <v>1630</v>
      </c>
      <c r="O723" s="134">
        <v>208</v>
      </c>
    </row>
    <row r="724" spans="1:15" x14ac:dyDescent="0.25">
      <c r="A724" s="133">
        <v>724</v>
      </c>
      <c r="B724" s="134" t="s">
        <v>1629</v>
      </c>
      <c r="C724" s="135">
        <v>11558322</v>
      </c>
      <c r="D724" s="136" t="s">
        <v>1624</v>
      </c>
      <c r="E724" s="137">
        <v>1002500</v>
      </c>
      <c r="F724" s="137">
        <v>1002500</v>
      </c>
      <c r="G724" s="137">
        <v>0</v>
      </c>
      <c r="H724" s="137">
        <v>0</v>
      </c>
      <c r="I724" s="135"/>
      <c r="J724" s="138">
        <v>0</v>
      </c>
      <c r="K724" s="133" t="s">
        <v>1464</v>
      </c>
      <c r="L724" s="133">
        <v>722</v>
      </c>
      <c r="M724" s="139">
        <v>46073</v>
      </c>
      <c r="N724" s="140" t="s">
        <v>1631</v>
      </c>
      <c r="O724" s="134">
        <v>608</v>
      </c>
    </row>
    <row r="725" spans="1:15" x14ac:dyDescent="0.25">
      <c r="A725" s="133">
        <v>725</v>
      </c>
      <c r="B725" s="134" t="s">
        <v>1632</v>
      </c>
      <c r="C725" s="135">
        <v>11535278</v>
      </c>
      <c r="D725" s="136" t="s">
        <v>1624</v>
      </c>
      <c r="E725" s="137">
        <v>2704493</v>
      </c>
      <c r="F725" s="137">
        <v>0</v>
      </c>
      <c r="G725" s="137">
        <v>2704493</v>
      </c>
      <c r="H725" s="137">
        <v>0</v>
      </c>
      <c r="I725" s="135"/>
      <c r="J725" s="138">
        <v>0</v>
      </c>
      <c r="K725" s="133" t="s">
        <v>1464</v>
      </c>
      <c r="L725" s="133">
        <v>722</v>
      </c>
      <c r="M725" s="139">
        <v>46073</v>
      </c>
      <c r="N725" s="140" t="s">
        <v>1628</v>
      </c>
      <c r="O725" s="134">
        <v>606</v>
      </c>
    </row>
    <row r="726" spans="1:15" x14ac:dyDescent="0.25">
      <c r="A726" s="133">
        <v>726</v>
      </c>
      <c r="B726" s="134" t="s">
        <v>1632</v>
      </c>
      <c r="C726" s="135">
        <v>11535278</v>
      </c>
      <c r="D726" s="136" t="s">
        <v>1624</v>
      </c>
      <c r="E726" s="137">
        <v>1387126</v>
      </c>
      <c r="F726" s="137">
        <v>0</v>
      </c>
      <c r="G726" s="137">
        <v>1387126</v>
      </c>
      <c r="H726" s="137">
        <v>0</v>
      </c>
      <c r="I726" s="135"/>
      <c r="J726" s="138">
        <v>0</v>
      </c>
      <c r="K726" s="133" t="s">
        <v>1464</v>
      </c>
      <c r="L726" s="133">
        <v>722</v>
      </c>
      <c r="M726" s="139">
        <v>46073</v>
      </c>
      <c r="N726" s="140" t="s">
        <v>1628</v>
      </c>
      <c r="O726" s="134">
        <v>607</v>
      </c>
    </row>
    <row r="727" spans="1:15" x14ac:dyDescent="0.25">
      <c r="A727" s="133">
        <v>727</v>
      </c>
      <c r="B727" s="134" t="s">
        <v>1632</v>
      </c>
      <c r="C727" s="135">
        <v>11535278</v>
      </c>
      <c r="D727" s="136" t="s">
        <v>1624</v>
      </c>
      <c r="E727" s="137">
        <v>465100</v>
      </c>
      <c r="F727" s="137">
        <v>110500</v>
      </c>
      <c r="G727" s="137">
        <v>354600</v>
      </c>
      <c r="H727" s="137">
        <v>0</v>
      </c>
      <c r="I727" s="135"/>
      <c r="J727" s="138">
        <v>0</v>
      </c>
      <c r="K727" s="133" t="s">
        <v>1464</v>
      </c>
      <c r="L727" s="133">
        <v>722</v>
      </c>
      <c r="M727" s="139">
        <v>46073</v>
      </c>
      <c r="N727" s="140" t="s">
        <v>1633</v>
      </c>
      <c r="O727" s="134">
        <v>608</v>
      </c>
    </row>
    <row r="728" spans="1:15" x14ac:dyDescent="0.25">
      <c r="A728" s="133">
        <v>728</v>
      </c>
      <c r="B728" s="134" t="s">
        <v>1634</v>
      </c>
      <c r="C728" s="135">
        <v>10576960</v>
      </c>
      <c r="D728" s="136" t="s">
        <v>1624</v>
      </c>
      <c r="E728" s="137">
        <v>28200</v>
      </c>
      <c r="F728" s="137">
        <v>9200</v>
      </c>
      <c r="G728" s="137">
        <v>19000</v>
      </c>
      <c r="H728" s="137">
        <v>0</v>
      </c>
      <c r="I728" s="135"/>
      <c r="J728" s="138">
        <v>0</v>
      </c>
      <c r="K728" s="133" t="s">
        <v>1464</v>
      </c>
      <c r="L728" s="133">
        <v>722</v>
      </c>
      <c r="M728" s="139">
        <v>46073</v>
      </c>
      <c r="N728" s="140" t="s">
        <v>1635</v>
      </c>
      <c r="O728" s="134">
        <v>306</v>
      </c>
    </row>
    <row r="729" spans="1:15" x14ac:dyDescent="0.25">
      <c r="A729" s="133">
        <v>729</v>
      </c>
      <c r="B729" s="134" t="s">
        <v>1634</v>
      </c>
      <c r="C729" s="135">
        <v>10576960</v>
      </c>
      <c r="D729" s="136" t="s">
        <v>1624</v>
      </c>
      <c r="E729" s="137">
        <v>260200</v>
      </c>
      <c r="F729" s="137">
        <v>0</v>
      </c>
      <c r="G729" s="137">
        <v>260200</v>
      </c>
      <c r="H729" s="137">
        <v>0</v>
      </c>
      <c r="I729" s="135"/>
      <c r="J729" s="138">
        <v>0</v>
      </c>
      <c r="K729" s="133" t="s">
        <v>1464</v>
      </c>
      <c r="L729" s="133">
        <v>722</v>
      </c>
      <c r="M729" s="139">
        <v>46073</v>
      </c>
      <c r="N729" s="140" t="s">
        <v>1628</v>
      </c>
      <c r="O729" s="134">
        <v>506</v>
      </c>
    </row>
    <row r="730" spans="1:15" x14ac:dyDescent="0.25">
      <c r="A730" s="133">
        <v>730</v>
      </c>
      <c r="B730" s="134" t="s">
        <v>1634</v>
      </c>
      <c r="C730" s="135">
        <v>10576960</v>
      </c>
      <c r="D730" s="136" t="s">
        <v>1624</v>
      </c>
      <c r="E730" s="137">
        <v>72500</v>
      </c>
      <c r="F730" s="137">
        <v>0</v>
      </c>
      <c r="G730" s="137">
        <v>72500</v>
      </c>
      <c r="H730" s="137">
        <v>0</v>
      </c>
      <c r="I730" s="135"/>
      <c r="J730" s="138">
        <v>0</v>
      </c>
      <c r="K730" s="133" t="s">
        <v>1464</v>
      </c>
      <c r="L730" s="133">
        <v>722</v>
      </c>
      <c r="M730" s="139">
        <v>46073</v>
      </c>
      <c r="N730" s="140" t="s">
        <v>1628</v>
      </c>
      <c r="O730" s="134">
        <v>523</v>
      </c>
    </row>
    <row r="731" spans="1:15" x14ac:dyDescent="0.25">
      <c r="A731" s="133">
        <v>731</v>
      </c>
      <c r="B731" s="134" t="s">
        <v>1634</v>
      </c>
      <c r="C731" s="135">
        <v>10576960</v>
      </c>
      <c r="D731" s="136" t="s">
        <v>1624</v>
      </c>
      <c r="E731" s="137">
        <v>1022400</v>
      </c>
      <c r="F731" s="137">
        <v>681600</v>
      </c>
      <c r="G731" s="137">
        <v>340800</v>
      </c>
      <c r="H731" s="137">
        <v>0</v>
      </c>
      <c r="I731" s="135"/>
      <c r="J731" s="138">
        <v>0</v>
      </c>
      <c r="K731" s="133" t="s">
        <v>1464</v>
      </c>
      <c r="L731" s="133">
        <v>722</v>
      </c>
      <c r="M731" s="139">
        <v>46073</v>
      </c>
      <c r="N731" s="140" t="s">
        <v>1636</v>
      </c>
      <c r="O731" s="134">
        <v>601</v>
      </c>
    </row>
    <row r="732" spans="1:15" x14ac:dyDescent="0.25">
      <c r="A732" s="133">
        <v>732</v>
      </c>
      <c r="B732" s="134" t="s">
        <v>1634</v>
      </c>
      <c r="C732" s="135">
        <v>10576960</v>
      </c>
      <c r="D732" s="136" t="s">
        <v>1624</v>
      </c>
      <c r="E732" s="137">
        <v>337400</v>
      </c>
      <c r="F732" s="137">
        <v>34700</v>
      </c>
      <c r="G732" s="137">
        <v>302700</v>
      </c>
      <c r="H732" s="137">
        <v>0</v>
      </c>
      <c r="I732" s="135"/>
      <c r="J732" s="138">
        <v>0</v>
      </c>
      <c r="K732" s="133" t="s">
        <v>1464</v>
      </c>
      <c r="L732" s="133">
        <v>722</v>
      </c>
      <c r="M732" s="139">
        <v>46073</v>
      </c>
      <c r="N732" s="140" t="s">
        <v>1637</v>
      </c>
      <c r="O732" s="134">
        <v>608</v>
      </c>
    </row>
    <row r="733" spans="1:15" x14ac:dyDescent="0.25">
      <c r="A733" s="133">
        <v>733</v>
      </c>
      <c r="B733" s="134" t="s">
        <v>1634</v>
      </c>
      <c r="C733" s="135">
        <v>10576960</v>
      </c>
      <c r="D733" s="136" t="s">
        <v>1624</v>
      </c>
      <c r="E733" s="137">
        <v>1794600</v>
      </c>
      <c r="F733" s="137">
        <v>0</v>
      </c>
      <c r="G733" s="137">
        <v>1794600</v>
      </c>
      <c r="H733" s="137">
        <v>0</v>
      </c>
      <c r="I733" s="135"/>
      <c r="J733" s="138">
        <v>0</v>
      </c>
      <c r="K733" s="133" t="s">
        <v>1464</v>
      </c>
      <c r="L733" s="133">
        <v>722</v>
      </c>
      <c r="M733" s="139">
        <v>46073</v>
      </c>
      <c r="N733" s="140" t="s">
        <v>1628</v>
      </c>
      <c r="O733" s="134">
        <v>623</v>
      </c>
    </row>
    <row r="734" spans="1:15" x14ac:dyDescent="0.25">
      <c r="A734" s="133">
        <v>734</v>
      </c>
      <c r="B734" s="134" t="s">
        <v>1638</v>
      </c>
      <c r="C734" s="135">
        <v>3417400</v>
      </c>
      <c r="D734" s="136" t="s">
        <v>1624</v>
      </c>
      <c r="E734" s="137">
        <v>81400</v>
      </c>
      <c r="F734" s="137">
        <v>19300</v>
      </c>
      <c r="G734" s="137">
        <v>62100</v>
      </c>
      <c r="H734" s="137">
        <v>0</v>
      </c>
      <c r="I734" s="135"/>
      <c r="J734" s="138">
        <v>0</v>
      </c>
      <c r="K734" s="133" t="s">
        <v>1464</v>
      </c>
      <c r="L734" s="133">
        <v>722</v>
      </c>
      <c r="M734" s="139">
        <v>46073</v>
      </c>
      <c r="N734" s="140" t="s">
        <v>1639</v>
      </c>
      <c r="O734" s="134">
        <v>602</v>
      </c>
    </row>
    <row r="735" spans="1:15" x14ac:dyDescent="0.25">
      <c r="A735" s="133">
        <v>735</v>
      </c>
      <c r="B735" s="134" t="s">
        <v>1638</v>
      </c>
      <c r="C735" s="135">
        <v>3417400</v>
      </c>
      <c r="D735" s="136" t="s">
        <v>1624</v>
      </c>
      <c r="E735" s="137">
        <v>1760700</v>
      </c>
      <c r="F735" s="137">
        <v>1002500</v>
      </c>
      <c r="G735" s="137">
        <v>758200</v>
      </c>
      <c r="H735" s="137">
        <v>0</v>
      </c>
      <c r="I735" s="135"/>
      <c r="J735" s="138">
        <v>0</v>
      </c>
      <c r="K735" s="133" t="s">
        <v>1464</v>
      </c>
      <c r="L735" s="133">
        <v>722</v>
      </c>
      <c r="M735" s="139">
        <v>46073</v>
      </c>
      <c r="N735" s="140" t="s">
        <v>1640</v>
      </c>
      <c r="O735" s="134">
        <v>608</v>
      </c>
    </row>
    <row r="736" spans="1:15" x14ac:dyDescent="0.25">
      <c r="A736" s="133">
        <v>736</v>
      </c>
      <c r="B736" s="134" t="s">
        <v>1638</v>
      </c>
      <c r="C736" s="135">
        <v>3417400</v>
      </c>
      <c r="D736" s="136" t="s">
        <v>1624</v>
      </c>
      <c r="E736" s="137">
        <v>235700</v>
      </c>
      <c r="F736" s="137">
        <v>87000</v>
      </c>
      <c r="G736" s="137">
        <v>148700</v>
      </c>
      <c r="H736" s="137">
        <v>0</v>
      </c>
      <c r="I736" s="135"/>
      <c r="J736" s="138">
        <v>0</v>
      </c>
      <c r="K736" s="133" t="s">
        <v>1464</v>
      </c>
      <c r="L736" s="133">
        <v>722</v>
      </c>
      <c r="M736" s="139">
        <v>46073</v>
      </c>
      <c r="N736" s="140" t="s">
        <v>1641</v>
      </c>
      <c r="O736" s="134">
        <v>623</v>
      </c>
    </row>
    <row r="737" spans="1:15" x14ac:dyDescent="0.25">
      <c r="A737" s="133">
        <v>737</v>
      </c>
      <c r="B737" s="134" t="s">
        <v>1642</v>
      </c>
      <c r="C737" s="135">
        <v>5181900</v>
      </c>
      <c r="D737" s="136" t="s">
        <v>1624</v>
      </c>
      <c r="E737" s="137">
        <v>81400</v>
      </c>
      <c r="F737" s="137">
        <v>19300</v>
      </c>
      <c r="G737" s="137">
        <v>62100</v>
      </c>
      <c r="H737" s="137">
        <v>0</v>
      </c>
      <c r="I737" s="135"/>
      <c r="J737" s="138">
        <v>0</v>
      </c>
      <c r="K737" s="133" t="s">
        <v>1464</v>
      </c>
      <c r="L737" s="133">
        <v>722</v>
      </c>
      <c r="M737" s="139">
        <v>46073</v>
      </c>
      <c r="N737" s="140" t="s">
        <v>1643</v>
      </c>
      <c r="O737" s="134">
        <v>602</v>
      </c>
    </row>
    <row r="738" spans="1:15" x14ac:dyDescent="0.25">
      <c r="A738" s="133">
        <v>738</v>
      </c>
      <c r="B738" s="134" t="s">
        <v>1642</v>
      </c>
      <c r="C738" s="135">
        <v>5181900</v>
      </c>
      <c r="D738" s="136" t="s">
        <v>1624</v>
      </c>
      <c r="E738" s="137">
        <v>1171600</v>
      </c>
      <c r="F738" s="137">
        <v>0</v>
      </c>
      <c r="G738" s="137">
        <v>0</v>
      </c>
      <c r="H738" s="137">
        <v>1171600</v>
      </c>
      <c r="I738" s="135"/>
      <c r="J738" s="138">
        <v>0</v>
      </c>
      <c r="K738" s="133" t="s">
        <v>1464</v>
      </c>
      <c r="L738" s="133">
        <v>722</v>
      </c>
      <c r="M738" s="139">
        <v>46073</v>
      </c>
      <c r="N738" s="140" t="s">
        <v>1644</v>
      </c>
      <c r="O738" s="134">
        <v>623</v>
      </c>
    </row>
    <row r="739" spans="1:15" x14ac:dyDescent="0.25">
      <c r="A739" s="133">
        <v>739</v>
      </c>
      <c r="B739" s="134" t="s">
        <v>1642</v>
      </c>
      <c r="C739" s="135">
        <v>5181900</v>
      </c>
      <c r="D739" s="136" t="s">
        <v>1624</v>
      </c>
      <c r="E739" s="137">
        <v>235300</v>
      </c>
      <c r="F739" s="137">
        <v>0</v>
      </c>
      <c r="G739" s="137">
        <v>0</v>
      </c>
      <c r="H739" s="137">
        <v>235300</v>
      </c>
      <c r="I739" s="135"/>
      <c r="J739" s="138">
        <v>0</v>
      </c>
      <c r="K739" s="133" t="s">
        <v>1464</v>
      </c>
      <c r="L739" s="133">
        <v>722</v>
      </c>
      <c r="M739" s="139">
        <v>46073</v>
      </c>
      <c r="N739" s="140" t="s">
        <v>1645</v>
      </c>
      <c r="O739" s="134">
        <v>601</v>
      </c>
    </row>
    <row r="740" spans="1:15" x14ac:dyDescent="0.25">
      <c r="A740" s="133">
        <v>740</v>
      </c>
      <c r="B740" s="134" t="s">
        <v>1642</v>
      </c>
      <c r="C740" s="135">
        <v>5181900</v>
      </c>
      <c r="D740" s="136" t="s">
        <v>1624</v>
      </c>
      <c r="E740" s="137">
        <v>20800</v>
      </c>
      <c r="F740" s="137">
        <v>20800</v>
      </c>
      <c r="G740" s="137">
        <v>0</v>
      </c>
      <c r="H740" s="137">
        <v>0</v>
      </c>
      <c r="I740" s="135"/>
      <c r="J740" s="138">
        <v>0</v>
      </c>
      <c r="K740" s="133" t="s">
        <v>1464</v>
      </c>
      <c r="L740" s="133">
        <v>722</v>
      </c>
      <c r="M740" s="139">
        <v>46073</v>
      </c>
      <c r="N740" s="140" t="s">
        <v>1646</v>
      </c>
      <c r="O740" s="134">
        <v>608</v>
      </c>
    </row>
    <row r="741" spans="1:15" x14ac:dyDescent="0.25">
      <c r="A741" s="133">
        <v>741</v>
      </c>
      <c r="B741" s="134" t="s">
        <v>1642</v>
      </c>
      <c r="C741" s="135">
        <v>5181900</v>
      </c>
      <c r="D741" s="136" t="s">
        <v>1624</v>
      </c>
      <c r="E741" s="137">
        <v>56400</v>
      </c>
      <c r="F741" s="137">
        <v>18400</v>
      </c>
      <c r="G741" s="137">
        <v>38000</v>
      </c>
      <c r="H741" s="137">
        <v>0</v>
      </c>
      <c r="I741" s="135"/>
      <c r="J741" s="138">
        <v>0</v>
      </c>
      <c r="K741" s="133" t="s">
        <v>1464</v>
      </c>
      <c r="L741" s="133">
        <v>722</v>
      </c>
      <c r="M741" s="139">
        <v>46073</v>
      </c>
      <c r="N741" s="140" t="s">
        <v>1647</v>
      </c>
      <c r="O741" s="134">
        <v>306</v>
      </c>
    </row>
    <row r="742" spans="1:15" x14ac:dyDescent="0.25">
      <c r="A742" s="133">
        <v>742</v>
      </c>
      <c r="B742" s="134" t="s">
        <v>1648</v>
      </c>
      <c r="C742" s="135">
        <v>11436572</v>
      </c>
      <c r="D742" s="136" t="s">
        <v>1624</v>
      </c>
      <c r="E742" s="137">
        <v>1363200</v>
      </c>
      <c r="F742" s="137">
        <v>1363200</v>
      </c>
      <c r="G742" s="137">
        <v>0</v>
      </c>
      <c r="H742" s="137">
        <v>0</v>
      </c>
      <c r="I742" s="135"/>
      <c r="J742" s="138">
        <v>0</v>
      </c>
      <c r="K742" s="133" t="s">
        <v>1464</v>
      </c>
      <c r="L742" s="133">
        <v>722</v>
      </c>
      <c r="M742" s="139">
        <v>46073</v>
      </c>
      <c r="N742" s="140" t="s">
        <v>1649</v>
      </c>
      <c r="O742" s="134">
        <v>601</v>
      </c>
    </row>
    <row r="743" spans="1:15" x14ac:dyDescent="0.25">
      <c r="A743" s="133">
        <v>743</v>
      </c>
      <c r="B743" s="134" t="s">
        <v>1650</v>
      </c>
      <c r="C743" s="135">
        <v>8708831</v>
      </c>
      <c r="D743" s="136" t="s">
        <v>1624</v>
      </c>
      <c r="E743" s="137">
        <v>20800</v>
      </c>
      <c r="F743" s="137">
        <v>20800</v>
      </c>
      <c r="G743" s="137">
        <v>0</v>
      </c>
      <c r="H743" s="137">
        <v>0</v>
      </c>
      <c r="I743" s="135"/>
      <c r="J743" s="138">
        <v>0</v>
      </c>
      <c r="K743" s="133" t="s">
        <v>1464</v>
      </c>
      <c r="L743" s="133">
        <v>722</v>
      </c>
      <c r="M743" s="139">
        <v>46073</v>
      </c>
      <c r="N743" s="140" t="s">
        <v>1651</v>
      </c>
      <c r="O743" s="134">
        <v>608</v>
      </c>
    </row>
    <row r="744" spans="1:15" x14ac:dyDescent="0.25">
      <c r="A744" s="133">
        <v>744</v>
      </c>
      <c r="B744" s="134" t="s">
        <v>1650</v>
      </c>
      <c r="C744" s="135">
        <v>8708831</v>
      </c>
      <c r="D744" s="136" t="s">
        <v>1624</v>
      </c>
      <c r="E744" s="137">
        <v>1585826</v>
      </c>
      <c r="F744" s="137">
        <v>435790</v>
      </c>
      <c r="G744" s="137">
        <v>1150036</v>
      </c>
      <c r="H744" s="137">
        <v>0</v>
      </c>
      <c r="I744" s="135"/>
      <c r="J744" s="138">
        <v>0</v>
      </c>
      <c r="K744" s="133" t="s">
        <v>1464</v>
      </c>
      <c r="L744" s="133">
        <v>722</v>
      </c>
      <c r="M744" s="139">
        <v>46073</v>
      </c>
      <c r="N744" s="140" t="s">
        <v>1652</v>
      </c>
      <c r="O744" s="134">
        <v>206</v>
      </c>
    </row>
    <row r="745" spans="1:15" x14ac:dyDescent="0.25">
      <c r="A745" s="133">
        <v>745</v>
      </c>
      <c r="B745" s="134" t="s">
        <v>1650</v>
      </c>
      <c r="C745" s="135">
        <v>8708831</v>
      </c>
      <c r="D745" s="136" t="s">
        <v>1624</v>
      </c>
      <c r="E745" s="137">
        <v>24880</v>
      </c>
      <c r="F745" s="137">
        <v>5400</v>
      </c>
      <c r="G745" s="137">
        <v>19480</v>
      </c>
      <c r="H745" s="137">
        <v>0</v>
      </c>
      <c r="I745" s="135"/>
      <c r="J745" s="138">
        <v>0</v>
      </c>
      <c r="K745" s="133" t="s">
        <v>1464</v>
      </c>
      <c r="L745" s="133">
        <v>722</v>
      </c>
      <c r="M745" s="139">
        <v>46073</v>
      </c>
      <c r="N745" s="140" t="s">
        <v>1653</v>
      </c>
      <c r="O745" s="134">
        <v>106</v>
      </c>
    </row>
    <row r="746" spans="1:15" x14ac:dyDescent="0.25">
      <c r="A746" s="133">
        <v>746</v>
      </c>
      <c r="B746" s="134" t="s">
        <v>1650</v>
      </c>
      <c r="C746" s="135">
        <v>8708831</v>
      </c>
      <c r="D746" s="136" t="s">
        <v>1624</v>
      </c>
      <c r="E746" s="137">
        <v>1238900</v>
      </c>
      <c r="F746" s="137">
        <v>0</v>
      </c>
      <c r="G746" s="137">
        <v>1238900</v>
      </c>
      <c r="H746" s="137">
        <v>0</v>
      </c>
      <c r="I746" s="135"/>
      <c r="J746" s="138">
        <v>0</v>
      </c>
      <c r="K746" s="133" t="s">
        <v>1464</v>
      </c>
      <c r="L746" s="133">
        <v>722</v>
      </c>
      <c r="M746" s="139">
        <v>46073</v>
      </c>
      <c r="N746" s="140" t="s">
        <v>1628</v>
      </c>
      <c r="O746" s="134">
        <v>623</v>
      </c>
    </row>
    <row r="747" spans="1:15" x14ac:dyDescent="0.25">
      <c r="A747" s="133">
        <v>747</v>
      </c>
      <c r="B747" s="134" t="s">
        <v>1654</v>
      </c>
      <c r="C747" s="135">
        <v>3297600</v>
      </c>
      <c r="D747" s="136" t="s">
        <v>1624</v>
      </c>
      <c r="E747" s="137">
        <v>1760700</v>
      </c>
      <c r="F747" s="137">
        <v>1670300</v>
      </c>
      <c r="G747" s="137">
        <v>90400</v>
      </c>
      <c r="H747" s="137">
        <v>0</v>
      </c>
      <c r="I747" s="135"/>
      <c r="J747" s="138">
        <v>0</v>
      </c>
      <c r="K747" s="133" t="s">
        <v>1464</v>
      </c>
      <c r="L747" s="133">
        <v>722</v>
      </c>
      <c r="M747" s="139">
        <v>46073</v>
      </c>
      <c r="N747" s="140" t="s">
        <v>1655</v>
      </c>
      <c r="O747" s="134">
        <v>608</v>
      </c>
    </row>
    <row r="748" spans="1:15" x14ac:dyDescent="0.25">
      <c r="A748" s="133">
        <v>748</v>
      </c>
      <c r="B748" s="134" t="s">
        <v>1656</v>
      </c>
      <c r="C748" s="135">
        <v>10792771</v>
      </c>
      <c r="D748" s="136" t="s">
        <v>1624</v>
      </c>
      <c r="E748" s="137">
        <v>1106300</v>
      </c>
      <c r="F748" s="137">
        <v>619900</v>
      </c>
      <c r="G748" s="137">
        <v>486400</v>
      </c>
      <c r="H748" s="137">
        <v>0</v>
      </c>
      <c r="I748" s="135"/>
      <c r="J748" s="138">
        <v>0</v>
      </c>
      <c r="K748" s="133" t="s">
        <v>1464</v>
      </c>
      <c r="L748" s="133">
        <v>722</v>
      </c>
      <c r="M748" s="139">
        <v>46073</v>
      </c>
      <c r="N748" s="140" t="s">
        <v>1657</v>
      </c>
      <c r="O748" s="134">
        <v>127</v>
      </c>
    </row>
    <row r="749" spans="1:15" x14ac:dyDescent="0.25">
      <c r="A749" s="133">
        <v>749</v>
      </c>
      <c r="B749" s="134" t="s">
        <v>1656</v>
      </c>
      <c r="C749" s="135">
        <v>10792771</v>
      </c>
      <c r="D749" s="136" t="s">
        <v>1624</v>
      </c>
      <c r="E749" s="137">
        <v>235500</v>
      </c>
      <c r="F749" s="137">
        <v>0</v>
      </c>
      <c r="G749" s="137">
        <v>235500</v>
      </c>
      <c r="H749" s="137">
        <v>0</v>
      </c>
      <c r="I749" s="135"/>
      <c r="J749" s="138">
        <v>0</v>
      </c>
      <c r="K749" s="133" t="s">
        <v>1464</v>
      </c>
      <c r="L749" s="133">
        <v>722</v>
      </c>
      <c r="M749" s="139">
        <v>46073</v>
      </c>
      <c r="N749" s="140" t="s">
        <v>1628</v>
      </c>
      <c r="O749" s="134">
        <v>223</v>
      </c>
    </row>
    <row r="750" spans="1:15" x14ac:dyDescent="0.25">
      <c r="A750" s="133">
        <v>750</v>
      </c>
      <c r="B750" s="134" t="s">
        <v>1656</v>
      </c>
      <c r="C750" s="135">
        <v>10792771</v>
      </c>
      <c r="D750" s="136" t="s">
        <v>1624</v>
      </c>
      <c r="E750" s="137">
        <v>38431</v>
      </c>
      <c r="F750" s="137">
        <v>38431</v>
      </c>
      <c r="G750" s="137">
        <v>0</v>
      </c>
      <c r="H750" s="137">
        <v>0</v>
      </c>
      <c r="I750" s="135"/>
      <c r="J750" s="138">
        <v>0</v>
      </c>
      <c r="K750" s="133" t="s">
        <v>1464</v>
      </c>
      <c r="L750" s="133">
        <v>722</v>
      </c>
      <c r="M750" s="139">
        <v>46073</v>
      </c>
      <c r="N750" s="140" t="s">
        <v>1658</v>
      </c>
      <c r="O750" s="134">
        <v>602</v>
      </c>
    </row>
    <row r="751" spans="1:15" x14ac:dyDescent="0.25">
      <c r="A751" s="133">
        <v>751</v>
      </c>
      <c r="B751" s="134" t="s">
        <v>1656</v>
      </c>
      <c r="C751" s="135">
        <v>10792771</v>
      </c>
      <c r="D751" s="136" t="s">
        <v>1624</v>
      </c>
      <c r="E751" s="137">
        <v>3203600</v>
      </c>
      <c r="F751" s="137">
        <v>1309100</v>
      </c>
      <c r="G751" s="137">
        <v>1894500</v>
      </c>
      <c r="H751" s="137">
        <v>0</v>
      </c>
      <c r="I751" s="135"/>
      <c r="J751" s="138">
        <v>0</v>
      </c>
      <c r="K751" s="133" t="s">
        <v>1464</v>
      </c>
      <c r="L751" s="133">
        <v>722</v>
      </c>
      <c r="M751" s="139">
        <v>46073</v>
      </c>
      <c r="N751" s="140" t="s">
        <v>1659</v>
      </c>
      <c r="O751" s="134">
        <v>608</v>
      </c>
    </row>
    <row r="752" spans="1:15" x14ac:dyDescent="0.25">
      <c r="A752" s="133">
        <v>752</v>
      </c>
      <c r="B752" s="134" t="s">
        <v>1660</v>
      </c>
      <c r="C752" s="135">
        <v>1420000</v>
      </c>
      <c r="D752" s="136" t="s">
        <v>1624</v>
      </c>
      <c r="E752" s="137">
        <v>1420000</v>
      </c>
      <c r="F752" s="137">
        <v>1382850</v>
      </c>
      <c r="G752" s="137">
        <v>37150</v>
      </c>
      <c r="H752" s="137">
        <v>0</v>
      </c>
      <c r="I752" s="135"/>
      <c r="J752" s="138">
        <v>1382850</v>
      </c>
      <c r="K752" s="133" t="s">
        <v>1466</v>
      </c>
      <c r="L752" s="133">
        <v>722</v>
      </c>
      <c r="M752" s="139">
        <v>46073</v>
      </c>
      <c r="N752" s="140" t="s">
        <v>1661</v>
      </c>
      <c r="O752" s="134">
        <v>608</v>
      </c>
    </row>
    <row r="753" spans="1:15" x14ac:dyDescent="0.25">
      <c r="A753" s="133">
        <v>753</v>
      </c>
      <c r="B753" s="134" t="s">
        <v>1662</v>
      </c>
      <c r="C753" s="135">
        <v>2359300</v>
      </c>
      <c r="D753" s="136" t="s">
        <v>1624</v>
      </c>
      <c r="E753" s="137">
        <v>1002500</v>
      </c>
      <c r="F753" s="137">
        <v>0</v>
      </c>
      <c r="G753" s="137">
        <v>1002500</v>
      </c>
      <c r="H753" s="137">
        <v>0</v>
      </c>
      <c r="I753" s="135"/>
      <c r="J753" s="138">
        <v>0</v>
      </c>
      <c r="K753" s="133" t="s">
        <v>1464</v>
      </c>
      <c r="L753" s="133">
        <v>722</v>
      </c>
      <c r="M753" s="139">
        <v>46073</v>
      </c>
      <c r="N753" s="140" t="s">
        <v>1628</v>
      </c>
      <c r="O753" s="134">
        <v>608</v>
      </c>
    </row>
    <row r="754" spans="1:15" x14ac:dyDescent="0.25">
      <c r="A754" s="133">
        <v>754</v>
      </c>
      <c r="B754" s="134" t="s">
        <v>1663</v>
      </c>
      <c r="C754" s="135">
        <v>4955200</v>
      </c>
      <c r="D754" s="136" t="s">
        <v>1624</v>
      </c>
      <c r="E754" s="137">
        <v>3147300</v>
      </c>
      <c r="F754" s="137">
        <v>2647500</v>
      </c>
      <c r="G754" s="137">
        <v>499800</v>
      </c>
      <c r="H754" s="137">
        <v>0</v>
      </c>
      <c r="I754" s="135"/>
      <c r="J754" s="138">
        <v>0</v>
      </c>
      <c r="K754" s="133" t="s">
        <v>1464</v>
      </c>
      <c r="L754" s="133">
        <v>722</v>
      </c>
      <c r="M754" s="139">
        <v>46073</v>
      </c>
      <c r="N754" s="140" t="s">
        <v>1664</v>
      </c>
      <c r="O754" s="134">
        <v>608</v>
      </c>
    </row>
    <row r="755" spans="1:15" x14ac:dyDescent="0.25">
      <c r="A755" s="133">
        <v>755</v>
      </c>
      <c r="B755" s="134" t="s">
        <v>1663</v>
      </c>
      <c r="C755" s="135">
        <v>4955200</v>
      </c>
      <c r="D755" s="136" t="s">
        <v>1624</v>
      </c>
      <c r="E755" s="137">
        <v>277500</v>
      </c>
      <c r="F755" s="137">
        <v>205500</v>
      </c>
      <c r="G755" s="137">
        <v>72000</v>
      </c>
      <c r="H755" s="137">
        <v>0</v>
      </c>
      <c r="I755" s="135"/>
      <c r="J755" s="138">
        <v>0</v>
      </c>
      <c r="K755" s="133" t="s">
        <v>1464</v>
      </c>
      <c r="L755" s="133">
        <v>722</v>
      </c>
      <c r="M755" s="139">
        <v>46073</v>
      </c>
      <c r="N755" s="140" t="s">
        <v>1665</v>
      </c>
      <c r="O755" s="134">
        <v>606</v>
      </c>
    </row>
    <row r="756" spans="1:15" x14ac:dyDescent="0.25">
      <c r="A756" s="133">
        <v>756</v>
      </c>
      <c r="B756" s="134" t="s">
        <v>1663</v>
      </c>
      <c r="C756" s="135">
        <v>4955200</v>
      </c>
      <c r="D756" s="136" t="s">
        <v>1624</v>
      </c>
      <c r="E756" s="137">
        <v>211500</v>
      </c>
      <c r="F756" s="137">
        <v>206000</v>
      </c>
      <c r="G756" s="137">
        <v>5500</v>
      </c>
      <c r="H756" s="137">
        <v>0</v>
      </c>
      <c r="I756" s="135"/>
      <c r="J756" s="138">
        <v>0</v>
      </c>
      <c r="K756" s="133" t="s">
        <v>1464</v>
      </c>
      <c r="L756" s="133">
        <v>722</v>
      </c>
      <c r="M756" s="139">
        <v>46073</v>
      </c>
      <c r="N756" s="140" t="s">
        <v>1666</v>
      </c>
      <c r="O756" s="134">
        <v>607</v>
      </c>
    </row>
    <row r="757" spans="1:15" x14ac:dyDescent="0.25">
      <c r="A757" s="133">
        <v>757</v>
      </c>
      <c r="B757" s="134" t="s">
        <v>1667</v>
      </c>
      <c r="C757" s="135">
        <v>6357024</v>
      </c>
      <c r="D757" s="136" t="s">
        <v>1624</v>
      </c>
      <c r="E757" s="137">
        <v>1153900</v>
      </c>
      <c r="F757" s="137">
        <v>107600</v>
      </c>
      <c r="G757" s="137">
        <v>1046300</v>
      </c>
      <c r="H757" s="137">
        <v>0</v>
      </c>
      <c r="I757" s="135"/>
      <c r="J757" s="138">
        <v>0</v>
      </c>
      <c r="K757" s="133" t="s">
        <v>1464</v>
      </c>
      <c r="L757" s="133">
        <v>722</v>
      </c>
      <c r="M757" s="139">
        <v>46073</v>
      </c>
      <c r="N757" s="140" t="s">
        <v>1668</v>
      </c>
      <c r="O757" s="134">
        <v>608</v>
      </c>
    </row>
    <row r="758" spans="1:15" x14ac:dyDescent="0.25">
      <c r="A758" s="133">
        <v>758</v>
      </c>
      <c r="B758" s="134" t="s">
        <v>1669</v>
      </c>
      <c r="C758" s="135">
        <v>11370476</v>
      </c>
      <c r="D758" s="136" t="s">
        <v>1624</v>
      </c>
      <c r="E758" s="137">
        <v>81400</v>
      </c>
      <c r="F758" s="137">
        <v>0</v>
      </c>
      <c r="G758" s="137">
        <v>81400</v>
      </c>
      <c r="H758" s="137">
        <v>0</v>
      </c>
      <c r="I758" s="135"/>
      <c r="J758" s="138">
        <v>0</v>
      </c>
      <c r="K758" s="133" t="s">
        <v>1464</v>
      </c>
      <c r="L758" s="133">
        <v>722</v>
      </c>
      <c r="M758" s="139">
        <v>46073</v>
      </c>
      <c r="N758" s="140" t="s">
        <v>1628</v>
      </c>
      <c r="O758" s="134">
        <v>102</v>
      </c>
    </row>
    <row r="759" spans="1:15" x14ac:dyDescent="0.25">
      <c r="A759" s="133">
        <v>759</v>
      </c>
      <c r="B759" s="134" t="s">
        <v>1669</v>
      </c>
      <c r="C759" s="135">
        <v>11370476</v>
      </c>
      <c r="D759" s="136" t="s">
        <v>1624</v>
      </c>
      <c r="E759" s="137">
        <v>141000</v>
      </c>
      <c r="F759" s="137">
        <v>141000</v>
      </c>
      <c r="G759" s="137">
        <v>0</v>
      </c>
      <c r="H759" s="137">
        <v>0</v>
      </c>
      <c r="I759" s="135"/>
      <c r="J759" s="138">
        <v>0</v>
      </c>
      <c r="K759" s="133" t="s">
        <v>1464</v>
      </c>
      <c r="L759" s="133">
        <v>722</v>
      </c>
      <c r="M759" s="139">
        <v>46073</v>
      </c>
      <c r="N759" s="140" t="s">
        <v>1670</v>
      </c>
      <c r="O759" s="134">
        <v>106</v>
      </c>
    </row>
    <row r="760" spans="1:15" x14ac:dyDescent="0.25">
      <c r="A760" s="133">
        <v>760</v>
      </c>
      <c r="B760" s="134" t="s">
        <v>1669</v>
      </c>
      <c r="C760" s="135">
        <v>11370476</v>
      </c>
      <c r="D760" s="136" t="s">
        <v>1624</v>
      </c>
      <c r="E760" s="137">
        <v>4738900</v>
      </c>
      <c r="F760" s="137">
        <v>4270600</v>
      </c>
      <c r="G760" s="137">
        <v>468300</v>
      </c>
      <c r="H760" s="137">
        <v>0</v>
      </c>
      <c r="I760" s="135"/>
      <c r="J760" s="138">
        <v>0</v>
      </c>
      <c r="K760" s="133" t="s">
        <v>1464</v>
      </c>
      <c r="L760" s="133">
        <v>722</v>
      </c>
      <c r="M760" s="139">
        <v>46073</v>
      </c>
      <c r="N760" s="140" t="s">
        <v>1671</v>
      </c>
      <c r="O760" s="134">
        <v>608</v>
      </c>
    </row>
    <row r="761" spans="1:15" x14ac:dyDescent="0.25">
      <c r="A761" s="133">
        <v>761</v>
      </c>
      <c r="B761" s="134" t="s">
        <v>1672</v>
      </c>
      <c r="C761" s="135">
        <v>12177145</v>
      </c>
      <c r="D761" s="136" t="s">
        <v>1624</v>
      </c>
      <c r="E761" s="137">
        <v>772800</v>
      </c>
      <c r="F761" s="137">
        <v>772800</v>
      </c>
      <c r="G761" s="137">
        <v>0</v>
      </c>
      <c r="H761" s="137">
        <v>0</v>
      </c>
      <c r="I761" s="135"/>
      <c r="J761" s="138">
        <v>0</v>
      </c>
      <c r="K761" s="133" t="s">
        <v>1464</v>
      </c>
      <c r="L761" s="133">
        <v>722</v>
      </c>
      <c r="M761" s="139">
        <v>46073</v>
      </c>
      <c r="N761" s="140" t="s">
        <v>1673</v>
      </c>
      <c r="O761" s="134">
        <v>111</v>
      </c>
    </row>
    <row r="762" spans="1:15" x14ac:dyDescent="0.25">
      <c r="A762" s="133">
        <v>762</v>
      </c>
      <c r="B762" s="134" t="s">
        <v>1672</v>
      </c>
      <c r="C762" s="135">
        <v>12177145</v>
      </c>
      <c r="D762" s="136" t="s">
        <v>1624</v>
      </c>
      <c r="E762" s="137">
        <v>39900</v>
      </c>
      <c r="F762" s="137">
        <v>23400</v>
      </c>
      <c r="G762" s="137">
        <v>16500</v>
      </c>
      <c r="H762" s="137">
        <v>0</v>
      </c>
      <c r="I762" s="135"/>
      <c r="J762" s="138">
        <v>0</v>
      </c>
      <c r="K762" s="133" t="s">
        <v>1464</v>
      </c>
      <c r="L762" s="133">
        <v>722</v>
      </c>
      <c r="M762" s="139">
        <v>46073</v>
      </c>
      <c r="N762" s="140" t="s">
        <v>1674</v>
      </c>
      <c r="O762" s="134">
        <v>607</v>
      </c>
    </row>
    <row r="763" spans="1:15" x14ac:dyDescent="0.25">
      <c r="A763" s="133">
        <v>763</v>
      </c>
      <c r="B763" s="134" t="s">
        <v>1672</v>
      </c>
      <c r="C763" s="135">
        <v>12177145</v>
      </c>
      <c r="D763" s="136" t="s">
        <v>1624</v>
      </c>
      <c r="E763" s="137">
        <v>2611610</v>
      </c>
      <c r="F763" s="137">
        <v>2216810</v>
      </c>
      <c r="G763" s="137">
        <v>394800</v>
      </c>
      <c r="H763" s="137">
        <v>0</v>
      </c>
      <c r="I763" s="135"/>
      <c r="J763" s="138">
        <v>0</v>
      </c>
      <c r="K763" s="133" t="s">
        <v>1464</v>
      </c>
      <c r="L763" s="133">
        <v>722</v>
      </c>
      <c r="M763" s="139">
        <v>46073</v>
      </c>
      <c r="N763" s="140" t="s">
        <v>1675</v>
      </c>
      <c r="O763" s="134">
        <v>608</v>
      </c>
    </row>
    <row r="764" spans="1:15" x14ac:dyDescent="0.25">
      <c r="A764" s="133">
        <v>764</v>
      </c>
      <c r="B764" s="134" t="s">
        <v>1676</v>
      </c>
      <c r="C764" s="135">
        <v>6163960</v>
      </c>
      <c r="D764" s="136" t="s">
        <v>1624</v>
      </c>
      <c r="E764" s="137">
        <v>51900</v>
      </c>
      <c r="F764" s="137">
        <v>7800</v>
      </c>
      <c r="G764" s="137">
        <v>44100</v>
      </c>
      <c r="H764" s="137">
        <v>0</v>
      </c>
      <c r="I764" s="135"/>
      <c r="J764" s="138">
        <v>0</v>
      </c>
      <c r="K764" s="133" t="s">
        <v>1464</v>
      </c>
      <c r="L764" s="133">
        <v>722</v>
      </c>
      <c r="M764" s="139">
        <v>46073</v>
      </c>
      <c r="N764" s="140" t="s">
        <v>1677</v>
      </c>
      <c r="O764" s="134">
        <v>106</v>
      </c>
    </row>
    <row r="765" spans="1:15" x14ac:dyDescent="0.25">
      <c r="A765" s="133">
        <v>765</v>
      </c>
      <c r="B765" s="134" t="s">
        <v>1676</v>
      </c>
      <c r="C765" s="135">
        <v>6163960</v>
      </c>
      <c r="D765" s="136" t="s">
        <v>1624</v>
      </c>
      <c r="E765" s="137">
        <v>3883560</v>
      </c>
      <c r="F765" s="137">
        <v>3316860</v>
      </c>
      <c r="G765" s="137">
        <v>566700</v>
      </c>
      <c r="H765" s="137">
        <v>0</v>
      </c>
      <c r="I765" s="135"/>
      <c r="J765" s="138">
        <v>0</v>
      </c>
      <c r="K765" s="133" t="s">
        <v>1464</v>
      </c>
      <c r="L765" s="133">
        <v>722</v>
      </c>
      <c r="M765" s="139">
        <v>46073</v>
      </c>
      <c r="N765" s="140" t="s">
        <v>1678</v>
      </c>
      <c r="O765" s="134">
        <v>608</v>
      </c>
    </row>
    <row r="766" spans="1:15" x14ac:dyDescent="0.25">
      <c r="A766" s="133">
        <v>766</v>
      </c>
      <c r="B766" s="134" t="s">
        <v>1679</v>
      </c>
      <c r="C766" s="135">
        <v>1420000</v>
      </c>
      <c r="D766" s="136" t="s">
        <v>1624</v>
      </c>
      <c r="E766" s="137">
        <v>1420000</v>
      </c>
      <c r="F766" s="137">
        <v>1361987</v>
      </c>
      <c r="G766" s="137">
        <v>58013</v>
      </c>
      <c r="H766" s="137">
        <v>0</v>
      </c>
      <c r="I766" s="135"/>
      <c r="J766" s="138">
        <v>1361987</v>
      </c>
      <c r="K766" s="133" t="s">
        <v>1466</v>
      </c>
      <c r="L766" s="133">
        <v>722</v>
      </c>
      <c r="M766" s="139">
        <v>46073</v>
      </c>
      <c r="N766" s="140" t="s">
        <v>1680</v>
      </c>
      <c r="O766" s="134">
        <v>108</v>
      </c>
    </row>
    <row r="767" spans="1:15" x14ac:dyDescent="0.25">
      <c r="A767" s="133">
        <v>767</v>
      </c>
      <c r="B767" s="134" t="s">
        <v>1681</v>
      </c>
      <c r="C767" s="135">
        <v>11958686</v>
      </c>
      <c r="D767" s="136" t="s">
        <v>1624</v>
      </c>
      <c r="E767" s="137">
        <v>594000</v>
      </c>
      <c r="F767" s="137">
        <v>594000</v>
      </c>
      <c r="G767" s="137">
        <v>0</v>
      </c>
      <c r="H767" s="137">
        <v>0</v>
      </c>
      <c r="I767" s="135"/>
      <c r="J767" s="138">
        <v>594000</v>
      </c>
      <c r="K767" s="133" t="s">
        <v>1466</v>
      </c>
      <c r="L767" s="133">
        <v>722</v>
      </c>
      <c r="M767" s="139">
        <v>46073</v>
      </c>
      <c r="N767" s="140" t="s">
        <v>1682</v>
      </c>
      <c r="O767" s="134">
        <v>207</v>
      </c>
    </row>
    <row r="768" spans="1:15" x14ac:dyDescent="0.25">
      <c r="A768" s="133">
        <v>768</v>
      </c>
      <c r="B768" s="134" t="s">
        <v>1681</v>
      </c>
      <c r="C768" s="135">
        <v>11958686</v>
      </c>
      <c r="D768" s="136" t="s">
        <v>1624</v>
      </c>
      <c r="E768" s="137">
        <v>110500</v>
      </c>
      <c r="F768" s="137">
        <v>110500</v>
      </c>
      <c r="G768" s="137">
        <v>0</v>
      </c>
      <c r="H768" s="137">
        <v>0</v>
      </c>
      <c r="I768" s="135"/>
      <c r="J768" s="138">
        <v>110500</v>
      </c>
      <c r="K768" s="133" t="s">
        <v>1466</v>
      </c>
      <c r="L768" s="133">
        <v>722</v>
      </c>
      <c r="M768" s="139">
        <v>46073</v>
      </c>
      <c r="N768" s="140" t="s">
        <v>1683</v>
      </c>
      <c r="O768" s="134">
        <v>108</v>
      </c>
    </row>
    <row r="769" spans="1:15" x14ac:dyDescent="0.25">
      <c r="A769" s="133">
        <v>769</v>
      </c>
      <c r="B769" s="134" t="s">
        <v>1681</v>
      </c>
      <c r="C769" s="135">
        <v>11958686</v>
      </c>
      <c r="D769" s="136" t="s">
        <v>1624</v>
      </c>
      <c r="E769" s="137">
        <v>753300</v>
      </c>
      <c r="F769" s="137">
        <v>753300</v>
      </c>
      <c r="G769" s="137">
        <v>0</v>
      </c>
      <c r="H769" s="137">
        <v>0</v>
      </c>
      <c r="I769" s="135"/>
      <c r="J769" s="138">
        <v>753300</v>
      </c>
      <c r="K769" s="133" t="s">
        <v>1466</v>
      </c>
      <c r="L769" s="133">
        <v>722</v>
      </c>
      <c r="M769" s="139">
        <v>46073</v>
      </c>
      <c r="N769" s="140" t="s">
        <v>1684</v>
      </c>
      <c r="O769" s="134">
        <v>123</v>
      </c>
    </row>
    <row r="770" spans="1:15" x14ac:dyDescent="0.25">
      <c r="A770" s="133">
        <v>770</v>
      </c>
      <c r="B770" s="134" t="s">
        <v>1681</v>
      </c>
      <c r="C770" s="135">
        <v>11958686</v>
      </c>
      <c r="D770" s="136" t="s">
        <v>1624</v>
      </c>
      <c r="E770" s="137">
        <v>43900</v>
      </c>
      <c r="F770" s="137">
        <v>43900</v>
      </c>
      <c r="G770" s="137">
        <v>0</v>
      </c>
      <c r="H770" s="137">
        <v>0</v>
      </c>
      <c r="I770" s="135"/>
      <c r="J770" s="138">
        <v>43900</v>
      </c>
      <c r="K770" s="133" t="s">
        <v>1466</v>
      </c>
      <c r="L770" s="133">
        <v>722</v>
      </c>
      <c r="M770" s="139">
        <v>46073</v>
      </c>
      <c r="N770" s="140" t="s">
        <v>1685</v>
      </c>
      <c r="O770" s="134">
        <v>206</v>
      </c>
    </row>
    <row r="771" spans="1:15" x14ac:dyDescent="0.25">
      <c r="A771" s="133">
        <v>771</v>
      </c>
      <c r="B771" s="134" t="s">
        <v>1686</v>
      </c>
      <c r="C771" s="135">
        <v>17165318</v>
      </c>
      <c r="D771" s="136" t="s">
        <v>1624</v>
      </c>
      <c r="E771" s="137">
        <v>239600</v>
      </c>
      <c r="F771" s="137">
        <v>0</v>
      </c>
      <c r="G771" s="137">
        <v>239600</v>
      </c>
      <c r="H771" s="137">
        <v>0</v>
      </c>
      <c r="I771" s="135"/>
      <c r="J771" s="138">
        <v>0</v>
      </c>
      <c r="K771" s="133" t="s">
        <v>1464</v>
      </c>
      <c r="L771" s="133">
        <v>722</v>
      </c>
      <c r="M771" s="139">
        <v>46073</v>
      </c>
      <c r="N771" s="140" t="s">
        <v>1687</v>
      </c>
      <c r="O771" s="134">
        <v>102</v>
      </c>
    </row>
    <row r="772" spans="1:15" x14ac:dyDescent="0.25">
      <c r="A772" s="133">
        <v>772</v>
      </c>
      <c r="B772" s="134" t="s">
        <v>1686</v>
      </c>
      <c r="C772" s="135">
        <v>17165318</v>
      </c>
      <c r="D772" s="136" t="s">
        <v>1624</v>
      </c>
      <c r="E772" s="137">
        <v>1171600</v>
      </c>
      <c r="F772" s="137">
        <v>1171600</v>
      </c>
      <c r="G772" s="137">
        <v>0</v>
      </c>
      <c r="H772" s="137">
        <v>0</v>
      </c>
      <c r="I772" s="135"/>
      <c r="J772" s="138">
        <v>0</v>
      </c>
      <c r="K772" s="133" t="s">
        <v>1464</v>
      </c>
      <c r="L772" s="133">
        <v>722</v>
      </c>
      <c r="M772" s="139">
        <v>46073</v>
      </c>
      <c r="N772" s="140" t="s">
        <v>1688</v>
      </c>
      <c r="O772" s="134">
        <v>341</v>
      </c>
    </row>
    <row r="773" spans="1:15" x14ac:dyDescent="0.25">
      <c r="A773" s="133">
        <v>773</v>
      </c>
      <c r="B773" s="134" t="s">
        <v>1686</v>
      </c>
      <c r="C773" s="135">
        <v>17165318</v>
      </c>
      <c r="D773" s="136" t="s">
        <v>1624</v>
      </c>
      <c r="E773" s="137">
        <v>215889</v>
      </c>
      <c r="F773" s="137">
        <v>0</v>
      </c>
      <c r="G773" s="137">
        <v>215889</v>
      </c>
      <c r="H773" s="137">
        <v>0</v>
      </c>
      <c r="I773" s="135"/>
      <c r="J773" s="138">
        <v>0</v>
      </c>
      <c r="K773" s="133" t="s">
        <v>1464</v>
      </c>
      <c r="L773" s="133">
        <v>722</v>
      </c>
      <c r="M773" s="139">
        <v>46073</v>
      </c>
      <c r="N773" s="140" t="s">
        <v>1687</v>
      </c>
      <c r="O773" s="134">
        <v>607</v>
      </c>
    </row>
    <row r="774" spans="1:15" x14ac:dyDescent="0.25">
      <c r="A774" s="133">
        <v>774</v>
      </c>
      <c r="B774" s="134" t="s">
        <v>1686</v>
      </c>
      <c r="C774" s="135">
        <v>17165318</v>
      </c>
      <c r="D774" s="136" t="s">
        <v>1624</v>
      </c>
      <c r="E774" s="137">
        <v>1363200</v>
      </c>
      <c r="F774" s="137">
        <v>1363200</v>
      </c>
      <c r="G774" s="137">
        <v>0</v>
      </c>
      <c r="H774" s="137">
        <v>0</v>
      </c>
      <c r="I774" s="135"/>
      <c r="J774" s="138">
        <v>0</v>
      </c>
      <c r="K774" s="133" t="s">
        <v>1464</v>
      </c>
      <c r="L774" s="133">
        <v>722</v>
      </c>
      <c r="M774" s="139">
        <v>46073</v>
      </c>
      <c r="N774" s="140" t="s">
        <v>1689</v>
      </c>
      <c r="O774" s="134">
        <v>601</v>
      </c>
    </row>
    <row r="775" spans="1:15" x14ac:dyDescent="0.25">
      <c r="A775" s="133">
        <v>775</v>
      </c>
      <c r="B775" s="134" t="s">
        <v>1686</v>
      </c>
      <c r="C775" s="135">
        <v>17165318</v>
      </c>
      <c r="D775" s="136" t="s">
        <v>1624</v>
      </c>
      <c r="E775" s="137">
        <v>568995</v>
      </c>
      <c r="F775" s="137">
        <v>0</v>
      </c>
      <c r="G775" s="137">
        <v>568995</v>
      </c>
      <c r="H775" s="137">
        <v>0</v>
      </c>
      <c r="I775" s="135"/>
      <c r="J775" s="138">
        <v>0</v>
      </c>
      <c r="K775" s="133" t="s">
        <v>1464</v>
      </c>
      <c r="L775" s="133">
        <v>722</v>
      </c>
      <c r="M775" s="139">
        <v>46073</v>
      </c>
      <c r="N775" s="140" t="s">
        <v>1687</v>
      </c>
      <c r="O775" s="134">
        <v>606</v>
      </c>
    </row>
    <row r="776" spans="1:15" x14ac:dyDescent="0.25">
      <c r="A776" s="133">
        <v>776</v>
      </c>
      <c r="B776" s="134" t="s">
        <v>1686</v>
      </c>
      <c r="C776" s="135">
        <v>17165318</v>
      </c>
      <c r="D776" s="136" t="s">
        <v>1624</v>
      </c>
      <c r="E776" s="137">
        <v>41600</v>
      </c>
      <c r="F776" s="137">
        <v>41600</v>
      </c>
      <c r="G776" s="137">
        <v>0</v>
      </c>
      <c r="H776" s="137">
        <v>0</v>
      </c>
      <c r="I776" s="135"/>
      <c r="J776" s="138">
        <v>0</v>
      </c>
      <c r="K776" s="133" t="s">
        <v>1464</v>
      </c>
      <c r="L776" s="133">
        <v>722</v>
      </c>
      <c r="M776" s="139">
        <v>46073</v>
      </c>
      <c r="N776" s="140" t="s">
        <v>1690</v>
      </c>
      <c r="O776" s="134">
        <v>608</v>
      </c>
    </row>
    <row r="777" spans="1:15" x14ac:dyDescent="0.25">
      <c r="A777" s="133">
        <v>777</v>
      </c>
      <c r="B777" s="134" t="s">
        <v>1686</v>
      </c>
      <c r="C777" s="135">
        <v>17165318</v>
      </c>
      <c r="D777" s="136" t="s">
        <v>1624</v>
      </c>
      <c r="E777" s="137">
        <v>419800</v>
      </c>
      <c r="F777" s="137">
        <v>419800</v>
      </c>
      <c r="G777" s="137">
        <v>0</v>
      </c>
      <c r="H777" s="137">
        <v>0</v>
      </c>
      <c r="I777" s="135"/>
      <c r="J777" s="138">
        <v>0</v>
      </c>
      <c r="K777" s="133" t="s">
        <v>1464</v>
      </c>
      <c r="L777" s="133">
        <v>722</v>
      </c>
      <c r="M777" s="139">
        <v>46073</v>
      </c>
      <c r="N777" s="140" t="s">
        <v>1691</v>
      </c>
      <c r="O777" s="134">
        <v>308</v>
      </c>
    </row>
    <row r="778" spans="1:15" x14ac:dyDescent="0.25">
      <c r="A778" s="133">
        <v>778</v>
      </c>
      <c r="B778" s="134" t="s">
        <v>1692</v>
      </c>
      <c r="C778" s="135">
        <v>1924500</v>
      </c>
      <c r="D778" s="136" t="s">
        <v>1624</v>
      </c>
      <c r="E778" s="137">
        <v>192100</v>
      </c>
      <c r="F778" s="137">
        <v>43400</v>
      </c>
      <c r="G778" s="137">
        <v>148700</v>
      </c>
      <c r="H778" s="137">
        <v>0</v>
      </c>
      <c r="I778" s="135"/>
      <c r="J778" s="138">
        <v>0</v>
      </c>
      <c r="K778" s="133" t="s">
        <v>1464</v>
      </c>
      <c r="L778" s="133">
        <v>722</v>
      </c>
      <c r="M778" s="139">
        <v>46073</v>
      </c>
      <c r="N778" s="140" t="s">
        <v>1693</v>
      </c>
      <c r="O778" s="134">
        <v>601</v>
      </c>
    </row>
    <row r="779" spans="1:15" x14ac:dyDescent="0.25">
      <c r="A779" s="133">
        <v>779</v>
      </c>
      <c r="B779" s="134" t="s">
        <v>1692</v>
      </c>
      <c r="C779" s="135">
        <v>1924500</v>
      </c>
      <c r="D779" s="136" t="s">
        <v>1624</v>
      </c>
      <c r="E779" s="137">
        <v>1111200</v>
      </c>
      <c r="F779" s="137">
        <v>420300</v>
      </c>
      <c r="G779" s="137">
        <v>690900</v>
      </c>
      <c r="H779" s="137">
        <v>0</v>
      </c>
      <c r="I779" s="135"/>
      <c r="J779" s="138">
        <v>0</v>
      </c>
      <c r="K779" s="133" t="s">
        <v>1464</v>
      </c>
      <c r="L779" s="133">
        <v>722</v>
      </c>
      <c r="M779" s="139">
        <v>46073</v>
      </c>
      <c r="N779" s="140" t="s">
        <v>1694</v>
      </c>
      <c r="O779" s="134">
        <v>608</v>
      </c>
    </row>
    <row r="780" spans="1:15" x14ac:dyDescent="0.25">
      <c r="A780" s="133">
        <v>780</v>
      </c>
      <c r="B780" s="134" t="s">
        <v>1695</v>
      </c>
      <c r="C780" s="135">
        <v>6322584</v>
      </c>
      <c r="D780" s="136" t="s">
        <v>1624</v>
      </c>
      <c r="E780" s="137">
        <v>43800</v>
      </c>
      <c r="F780" s="137">
        <v>43800</v>
      </c>
      <c r="G780" s="137">
        <v>0</v>
      </c>
      <c r="H780" s="137">
        <v>0</v>
      </c>
      <c r="I780" s="135"/>
      <c r="J780" s="138">
        <v>0</v>
      </c>
      <c r="K780" s="133" t="s">
        <v>1464</v>
      </c>
      <c r="L780" s="133">
        <v>722</v>
      </c>
      <c r="M780" s="139">
        <v>46073</v>
      </c>
      <c r="N780" s="140" t="s">
        <v>1696</v>
      </c>
      <c r="O780" s="134">
        <v>108</v>
      </c>
    </row>
    <row r="781" spans="1:15" x14ac:dyDescent="0.25">
      <c r="A781" s="133">
        <v>781</v>
      </c>
      <c r="B781" s="134" t="s">
        <v>1695</v>
      </c>
      <c r="C781" s="135">
        <v>6322584</v>
      </c>
      <c r="D781" s="136" t="s">
        <v>1624</v>
      </c>
      <c r="E781" s="137">
        <v>1108300</v>
      </c>
      <c r="F781" s="137">
        <v>1090400</v>
      </c>
      <c r="G781" s="137">
        <v>17900</v>
      </c>
      <c r="H781" s="137">
        <v>0</v>
      </c>
      <c r="I781" s="135"/>
      <c r="J781" s="138">
        <v>0</v>
      </c>
      <c r="K781" s="133" t="s">
        <v>1464</v>
      </c>
      <c r="L781" s="133">
        <v>722</v>
      </c>
      <c r="M781" s="139">
        <v>46073</v>
      </c>
      <c r="N781" s="140" t="s">
        <v>1697</v>
      </c>
      <c r="O781" s="134">
        <v>608</v>
      </c>
    </row>
    <row r="782" spans="1:15" x14ac:dyDescent="0.25">
      <c r="A782" s="133">
        <v>782</v>
      </c>
      <c r="B782" s="134" t="s">
        <v>1698</v>
      </c>
      <c r="C782" s="135">
        <v>5951191</v>
      </c>
      <c r="D782" s="136" t="s">
        <v>1624</v>
      </c>
      <c r="E782" s="137">
        <v>206000</v>
      </c>
      <c r="F782" s="137">
        <v>0</v>
      </c>
      <c r="G782" s="137">
        <v>206000</v>
      </c>
      <c r="H782" s="137">
        <v>0</v>
      </c>
      <c r="I782" s="135"/>
      <c r="J782" s="138">
        <v>0</v>
      </c>
      <c r="K782" s="133" t="s">
        <v>1464</v>
      </c>
      <c r="L782" s="133">
        <v>722</v>
      </c>
      <c r="M782" s="139">
        <v>46073</v>
      </c>
      <c r="N782" s="140" t="s">
        <v>1628</v>
      </c>
      <c r="O782" s="134">
        <v>607</v>
      </c>
    </row>
    <row r="783" spans="1:15" x14ac:dyDescent="0.25">
      <c r="A783" s="133">
        <v>783</v>
      </c>
      <c r="B783" s="134" t="s">
        <v>1698</v>
      </c>
      <c r="C783" s="135">
        <v>5951191</v>
      </c>
      <c r="D783" s="136" t="s">
        <v>1624</v>
      </c>
      <c r="E783" s="137">
        <v>946500</v>
      </c>
      <c r="F783" s="137">
        <v>0</v>
      </c>
      <c r="G783" s="137">
        <v>946500</v>
      </c>
      <c r="H783" s="137">
        <v>0</v>
      </c>
      <c r="I783" s="135"/>
      <c r="J783" s="138">
        <v>0</v>
      </c>
      <c r="K783" s="133" t="s">
        <v>1464</v>
      </c>
      <c r="L783" s="133">
        <v>722</v>
      </c>
      <c r="M783" s="139">
        <v>46073</v>
      </c>
      <c r="N783" s="140" t="s">
        <v>1628</v>
      </c>
      <c r="O783" s="134">
        <v>608</v>
      </c>
    </row>
    <row r="784" spans="1:15" x14ac:dyDescent="0.25">
      <c r="A784" s="133">
        <v>784</v>
      </c>
      <c r="B784" s="134" t="s">
        <v>1698</v>
      </c>
      <c r="C784" s="135">
        <v>5951191</v>
      </c>
      <c r="D784" s="136" t="s">
        <v>1624</v>
      </c>
      <c r="E784" s="137">
        <v>786500</v>
      </c>
      <c r="F784" s="137">
        <v>786500</v>
      </c>
      <c r="G784" s="137">
        <v>0</v>
      </c>
      <c r="H784" s="137">
        <v>0</v>
      </c>
      <c r="I784" s="135"/>
      <c r="J784" s="138">
        <v>0</v>
      </c>
      <c r="K784" s="133" t="s">
        <v>1464</v>
      </c>
      <c r="L784" s="133">
        <v>722</v>
      </c>
      <c r="M784" s="139">
        <v>46073</v>
      </c>
      <c r="N784" s="140" t="s">
        <v>1699</v>
      </c>
      <c r="O784" s="134">
        <v>623</v>
      </c>
    </row>
    <row r="785" spans="1:15" x14ac:dyDescent="0.25">
      <c r="A785" s="133">
        <v>785</v>
      </c>
      <c r="B785" s="134" t="s">
        <v>1700</v>
      </c>
      <c r="C785" s="135">
        <v>12384213</v>
      </c>
      <c r="D785" s="136" t="s">
        <v>1624</v>
      </c>
      <c r="E785" s="137">
        <v>3408000</v>
      </c>
      <c r="F785" s="137">
        <v>2385600</v>
      </c>
      <c r="G785" s="137">
        <v>1022400</v>
      </c>
      <c r="H785" s="137">
        <v>0</v>
      </c>
      <c r="I785" s="135"/>
      <c r="J785" s="138">
        <v>0</v>
      </c>
      <c r="K785" s="133" t="s">
        <v>1464</v>
      </c>
      <c r="L785" s="133">
        <v>722</v>
      </c>
      <c r="M785" s="139">
        <v>46073</v>
      </c>
      <c r="N785" s="140" t="s">
        <v>1701</v>
      </c>
      <c r="O785" s="134">
        <v>101</v>
      </c>
    </row>
    <row r="786" spans="1:15" x14ac:dyDescent="0.25">
      <c r="A786" s="133">
        <v>786</v>
      </c>
      <c r="B786" s="134" t="s">
        <v>1700</v>
      </c>
      <c r="C786" s="135">
        <v>12384213</v>
      </c>
      <c r="D786" s="136" t="s">
        <v>1624</v>
      </c>
      <c r="E786" s="137">
        <v>415533</v>
      </c>
      <c r="F786" s="137">
        <v>252900</v>
      </c>
      <c r="G786" s="137">
        <v>162633</v>
      </c>
      <c r="H786" s="137">
        <v>0</v>
      </c>
      <c r="I786" s="135"/>
      <c r="J786" s="138">
        <v>0</v>
      </c>
      <c r="K786" s="133" t="s">
        <v>1464</v>
      </c>
      <c r="L786" s="133">
        <v>722</v>
      </c>
      <c r="M786" s="139">
        <v>46073</v>
      </c>
      <c r="N786" s="140" t="s">
        <v>1702</v>
      </c>
      <c r="O786" s="134">
        <v>108</v>
      </c>
    </row>
    <row r="787" spans="1:15" x14ac:dyDescent="0.25">
      <c r="A787" s="133">
        <v>787</v>
      </c>
      <c r="B787" s="134" t="s">
        <v>1700</v>
      </c>
      <c r="C787" s="135">
        <v>12384213</v>
      </c>
      <c r="D787" s="136" t="s">
        <v>1624</v>
      </c>
      <c r="E787" s="137">
        <v>44010</v>
      </c>
      <c r="F787" s="137">
        <v>44010</v>
      </c>
      <c r="G787" s="137">
        <v>0</v>
      </c>
      <c r="H787" s="137">
        <v>0</v>
      </c>
      <c r="I787" s="135"/>
      <c r="J787" s="138">
        <v>0</v>
      </c>
      <c r="K787" s="133" t="s">
        <v>1464</v>
      </c>
      <c r="L787" s="133">
        <v>722</v>
      </c>
      <c r="M787" s="139">
        <v>46073</v>
      </c>
      <c r="N787" s="140" t="s">
        <v>1703</v>
      </c>
      <c r="O787" s="134">
        <v>206</v>
      </c>
    </row>
    <row r="788" spans="1:15" x14ac:dyDescent="0.25">
      <c r="A788" s="133">
        <v>788</v>
      </c>
      <c r="B788" s="134" t="s">
        <v>1700</v>
      </c>
      <c r="C788" s="135">
        <v>12384213</v>
      </c>
      <c r="D788" s="136" t="s">
        <v>1624</v>
      </c>
      <c r="E788" s="137">
        <v>48500</v>
      </c>
      <c r="F788" s="137">
        <v>48500</v>
      </c>
      <c r="G788" s="137">
        <v>0</v>
      </c>
      <c r="H788" s="137">
        <v>0</v>
      </c>
      <c r="I788" s="135"/>
      <c r="J788" s="138">
        <v>0</v>
      </c>
      <c r="K788" s="133" t="s">
        <v>1464</v>
      </c>
      <c r="L788" s="133">
        <v>722</v>
      </c>
      <c r="M788" s="139">
        <v>46073</v>
      </c>
      <c r="N788" s="140" t="s">
        <v>1704</v>
      </c>
      <c r="O788" s="134">
        <v>208</v>
      </c>
    </row>
    <row r="789" spans="1:15" x14ac:dyDescent="0.25">
      <c r="A789" s="133">
        <v>789</v>
      </c>
      <c r="B789" s="134" t="s">
        <v>1705</v>
      </c>
      <c r="C789" s="135">
        <v>2810115</v>
      </c>
      <c r="D789" s="136" t="s">
        <v>1624</v>
      </c>
      <c r="E789" s="137">
        <v>189900</v>
      </c>
      <c r="F789" s="137">
        <v>0</v>
      </c>
      <c r="G789" s="137">
        <v>189900</v>
      </c>
      <c r="H789" s="137">
        <v>0</v>
      </c>
      <c r="I789" s="135"/>
      <c r="J789" s="138">
        <v>0</v>
      </c>
      <c r="K789" s="133" t="s">
        <v>1464</v>
      </c>
      <c r="L789" s="133">
        <v>722</v>
      </c>
      <c r="M789" s="139">
        <v>46073</v>
      </c>
      <c r="N789" s="140" t="s">
        <v>1628</v>
      </c>
      <c r="O789" s="134">
        <v>606</v>
      </c>
    </row>
    <row r="790" spans="1:15" x14ac:dyDescent="0.25">
      <c r="A790" s="133">
        <v>790</v>
      </c>
      <c r="B790" s="134" t="s">
        <v>1705</v>
      </c>
      <c r="C790" s="135">
        <v>2810115</v>
      </c>
      <c r="D790" s="136" t="s">
        <v>1624</v>
      </c>
      <c r="E790" s="137">
        <v>158760</v>
      </c>
      <c r="F790" s="137">
        <v>0</v>
      </c>
      <c r="G790" s="137">
        <v>158760</v>
      </c>
      <c r="H790" s="137">
        <v>0</v>
      </c>
      <c r="I790" s="135"/>
      <c r="J790" s="138">
        <v>0</v>
      </c>
      <c r="K790" s="133" t="s">
        <v>1464</v>
      </c>
      <c r="L790" s="133">
        <v>722</v>
      </c>
      <c r="M790" s="139">
        <v>46073</v>
      </c>
      <c r="N790" s="140" t="s">
        <v>1628</v>
      </c>
      <c r="O790" s="134">
        <v>607</v>
      </c>
    </row>
    <row r="791" spans="1:15" x14ac:dyDescent="0.25">
      <c r="A791" s="133">
        <v>791</v>
      </c>
      <c r="B791" s="134" t="s">
        <v>1705</v>
      </c>
      <c r="C791" s="135">
        <v>2810115</v>
      </c>
      <c r="D791" s="136" t="s">
        <v>1624</v>
      </c>
      <c r="E791" s="137">
        <v>1613500</v>
      </c>
      <c r="F791" s="137">
        <v>0</v>
      </c>
      <c r="G791" s="137">
        <v>1613500</v>
      </c>
      <c r="H791" s="137">
        <v>0</v>
      </c>
      <c r="I791" s="135"/>
      <c r="J791" s="138">
        <v>0</v>
      </c>
      <c r="K791" s="133" t="s">
        <v>1464</v>
      </c>
      <c r="L791" s="133">
        <v>722</v>
      </c>
      <c r="M791" s="139">
        <v>46073</v>
      </c>
      <c r="N791" s="140" t="s">
        <v>1628</v>
      </c>
      <c r="O791" s="134">
        <v>608</v>
      </c>
    </row>
    <row r="792" spans="1:15" x14ac:dyDescent="0.25">
      <c r="A792" s="133">
        <v>792</v>
      </c>
      <c r="B792" s="134" t="s">
        <v>1706</v>
      </c>
      <c r="C792" s="135">
        <v>5786400</v>
      </c>
      <c r="D792" s="136" t="s">
        <v>1624</v>
      </c>
      <c r="E792" s="137">
        <v>206000</v>
      </c>
      <c r="F792" s="137">
        <v>206000</v>
      </c>
      <c r="G792" s="137">
        <v>0</v>
      </c>
      <c r="H792" s="137">
        <v>0</v>
      </c>
      <c r="I792" s="135"/>
      <c r="J792" s="138">
        <v>0</v>
      </c>
      <c r="K792" s="133" t="s">
        <v>1464</v>
      </c>
      <c r="L792" s="133">
        <v>722</v>
      </c>
      <c r="M792" s="139">
        <v>46073</v>
      </c>
      <c r="N792" s="140" t="s">
        <v>1707</v>
      </c>
      <c r="O792" s="134">
        <v>607</v>
      </c>
    </row>
    <row r="793" spans="1:15" x14ac:dyDescent="0.25">
      <c r="A793" s="133">
        <v>793</v>
      </c>
      <c r="B793" s="134" t="s">
        <v>1706</v>
      </c>
      <c r="C793" s="135">
        <v>5786400</v>
      </c>
      <c r="D793" s="136" t="s">
        <v>1624</v>
      </c>
      <c r="E793" s="137">
        <v>3426400</v>
      </c>
      <c r="F793" s="137">
        <v>2982100</v>
      </c>
      <c r="G793" s="137">
        <v>444300</v>
      </c>
      <c r="H793" s="137">
        <v>0</v>
      </c>
      <c r="I793" s="135"/>
      <c r="J793" s="138">
        <v>0</v>
      </c>
      <c r="K793" s="133" t="s">
        <v>1464</v>
      </c>
      <c r="L793" s="133">
        <v>722</v>
      </c>
      <c r="M793" s="139">
        <v>46073</v>
      </c>
      <c r="N793" s="140" t="s">
        <v>1708</v>
      </c>
      <c r="O793" s="134">
        <v>608</v>
      </c>
    </row>
    <row r="794" spans="1:15" x14ac:dyDescent="0.25">
      <c r="A794" s="133">
        <v>794</v>
      </c>
      <c r="B794" s="134" t="s">
        <v>1709</v>
      </c>
      <c r="C794" s="135">
        <v>3343000</v>
      </c>
      <c r="D794" s="136" t="s">
        <v>1624</v>
      </c>
      <c r="E794" s="137">
        <v>189900</v>
      </c>
      <c r="F794" s="137">
        <v>189900</v>
      </c>
      <c r="G794" s="137">
        <v>0</v>
      </c>
      <c r="H794" s="137">
        <v>0</v>
      </c>
      <c r="I794" s="135"/>
      <c r="J794" s="138">
        <v>0</v>
      </c>
      <c r="K794" s="133" t="s">
        <v>1464</v>
      </c>
      <c r="L794" s="133">
        <v>722</v>
      </c>
      <c r="M794" s="139">
        <v>46073</v>
      </c>
      <c r="N794" s="140" t="s">
        <v>1710</v>
      </c>
      <c r="O794" s="134">
        <v>606</v>
      </c>
    </row>
    <row r="795" spans="1:15" x14ac:dyDescent="0.25">
      <c r="A795" s="133">
        <v>795</v>
      </c>
      <c r="B795" s="134" t="s">
        <v>1709</v>
      </c>
      <c r="C795" s="135">
        <v>3343000</v>
      </c>
      <c r="D795" s="136" t="s">
        <v>1624</v>
      </c>
      <c r="E795" s="137">
        <v>5500</v>
      </c>
      <c r="F795" s="137">
        <v>0</v>
      </c>
      <c r="G795" s="137">
        <v>5500</v>
      </c>
      <c r="H795" s="137">
        <v>0</v>
      </c>
      <c r="I795" s="135"/>
      <c r="J795" s="138">
        <v>0</v>
      </c>
      <c r="K795" s="133" t="s">
        <v>1464</v>
      </c>
      <c r="L795" s="133">
        <v>722</v>
      </c>
      <c r="M795" s="139">
        <v>46073</v>
      </c>
      <c r="N795" s="140" t="s">
        <v>1628</v>
      </c>
      <c r="O795" s="134">
        <v>607</v>
      </c>
    </row>
    <row r="796" spans="1:15" x14ac:dyDescent="0.25">
      <c r="A796" s="133">
        <v>796</v>
      </c>
      <c r="B796" s="134" t="s">
        <v>1709</v>
      </c>
      <c r="C796" s="135">
        <v>3343000</v>
      </c>
      <c r="D796" s="136" t="s">
        <v>1624</v>
      </c>
      <c r="E796" s="137">
        <v>1665700</v>
      </c>
      <c r="F796" s="137">
        <v>1311800</v>
      </c>
      <c r="G796" s="137">
        <v>353900</v>
      </c>
      <c r="H796" s="137">
        <v>0</v>
      </c>
      <c r="I796" s="135"/>
      <c r="J796" s="138">
        <v>0</v>
      </c>
      <c r="K796" s="133" t="s">
        <v>1464</v>
      </c>
      <c r="L796" s="133">
        <v>722</v>
      </c>
      <c r="M796" s="139">
        <v>46073</v>
      </c>
      <c r="N796" s="140" t="s">
        <v>1711</v>
      </c>
      <c r="O796" s="134">
        <v>608</v>
      </c>
    </row>
    <row r="797" spans="1:15" x14ac:dyDescent="0.25">
      <c r="A797" s="133">
        <v>797</v>
      </c>
      <c r="B797" s="134" t="s">
        <v>1712</v>
      </c>
      <c r="C797" s="135">
        <v>11067201</v>
      </c>
      <c r="D797" s="136" t="s">
        <v>1624</v>
      </c>
      <c r="E797" s="137">
        <v>87600</v>
      </c>
      <c r="F797" s="137">
        <v>87600</v>
      </c>
      <c r="G797" s="137">
        <v>0</v>
      </c>
      <c r="H797" s="137">
        <v>0</v>
      </c>
      <c r="I797" s="135"/>
      <c r="J797" s="138">
        <v>0</v>
      </c>
      <c r="K797" s="133" t="s">
        <v>1464</v>
      </c>
      <c r="L797" s="133">
        <v>722</v>
      </c>
      <c r="M797" s="139">
        <v>46073</v>
      </c>
      <c r="N797" s="140" t="s">
        <v>1713</v>
      </c>
      <c r="O797" s="134">
        <v>108</v>
      </c>
    </row>
    <row r="798" spans="1:15" x14ac:dyDescent="0.25">
      <c r="A798" s="133">
        <v>798</v>
      </c>
      <c r="B798" s="134" t="s">
        <v>1712</v>
      </c>
      <c r="C798" s="135">
        <v>11067201</v>
      </c>
      <c r="D798" s="136" t="s">
        <v>1624</v>
      </c>
      <c r="E798" s="137">
        <v>95500</v>
      </c>
      <c r="F798" s="137">
        <v>95500</v>
      </c>
      <c r="G798" s="137">
        <v>0</v>
      </c>
      <c r="H798" s="137">
        <v>0</v>
      </c>
      <c r="I798" s="135"/>
      <c r="J798" s="138">
        <v>0</v>
      </c>
      <c r="K798" s="133" t="s">
        <v>1464</v>
      </c>
      <c r="L798" s="133">
        <v>722</v>
      </c>
      <c r="M798" s="139">
        <v>46073</v>
      </c>
      <c r="N798" s="140" t="s">
        <v>1714</v>
      </c>
      <c r="O798" s="134">
        <v>546</v>
      </c>
    </row>
    <row r="799" spans="1:15" x14ac:dyDescent="0.25">
      <c r="A799" s="133">
        <v>799</v>
      </c>
      <c r="B799" s="134" t="s">
        <v>1712</v>
      </c>
      <c r="C799" s="135">
        <v>11067201</v>
      </c>
      <c r="D799" s="136" t="s">
        <v>1624</v>
      </c>
      <c r="E799" s="137">
        <v>1886500</v>
      </c>
      <c r="F799" s="137">
        <v>1522700</v>
      </c>
      <c r="G799" s="137">
        <v>363800</v>
      </c>
      <c r="H799" s="137">
        <v>0</v>
      </c>
      <c r="I799" s="135"/>
      <c r="J799" s="138">
        <v>210900</v>
      </c>
      <c r="K799" s="133" t="s">
        <v>1466</v>
      </c>
      <c r="L799" s="133">
        <v>722</v>
      </c>
      <c r="M799" s="139">
        <v>46073</v>
      </c>
      <c r="N799" s="140" t="s">
        <v>1715</v>
      </c>
      <c r="O799" s="134">
        <v>608</v>
      </c>
    </row>
    <row r="800" spans="1:15" x14ac:dyDescent="0.25">
      <c r="A800" s="133">
        <v>800</v>
      </c>
      <c r="B800" s="134" t="s">
        <v>1716</v>
      </c>
      <c r="C800" s="135">
        <v>7109400</v>
      </c>
      <c r="D800" s="136" t="s">
        <v>1624</v>
      </c>
      <c r="E800" s="137">
        <v>113100</v>
      </c>
      <c r="F800" s="137">
        <v>113100</v>
      </c>
      <c r="G800" s="137">
        <v>0</v>
      </c>
      <c r="H800" s="137">
        <v>0</v>
      </c>
      <c r="I800" s="135"/>
      <c r="J800" s="138">
        <v>0</v>
      </c>
      <c r="K800" s="133" t="s">
        <v>1464</v>
      </c>
      <c r="L800" s="133">
        <v>722</v>
      </c>
      <c r="M800" s="139">
        <v>46073</v>
      </c>
      <c r="N800" s="140" t="s">
        <v>1717</v>
      </c>
      <c r="O800" s="134">
        <v>607</v>
      </c>
    </row>
    <row r="801" spans="1:15" x14ac:dyDescent="0.25">
      <c r="A801" s="133">
        <v>801</v>
      </c>
      <c r="B801" s="134" t="s">
        <v>1716</v>
      </c>
      <c r="C801" s="135">
        <v>7109400</v>
      </c>
      <c r="D801" s="136" t="s">
        <v>1624</v>
      </c>
      <c r="E801" s="137">
        <v>3975100</v>
      </c>
      <c r="F801" s="137">
        <v>2180500</v>
      </c>
      <c r="G801" s="137">
        <v>1794600</v>
      </c>
      <c r="H801" s="137">
        <v>0</v>
      </c>
      <c r="I801" s="135"/>
      <c r="J801" s="138">
        <v>0</v>
      </c>
      <c r="K801" s="133" t="s">
        <v>1464</v>
      </c>
      <c r="L801" s="133">
        <v>722</v>
      </c>
      <c r="M801" s="139">
        <v>46073</v>
      </c>
      <c r="N801" s="140" t="s">
        <v>1718</v>
      </c>
      <c r="O801" s="134">
        <v>608</v>
      </c>
    </row>
    <row r="802" spans="1:15" x14ac:dyDescent="0.25">
      <c r="A802" s="133">
        <v>802</v>
      </c>
      <c r="B802" s="134" t="s">
        <v>1719</v>
      </c>
      <c r="C802" s="135">
        <v>1420000</v>
      </c>
      <c r="D802" s="136" t="s">
        <v>1624</v>
      </c>
      <c r="E802" s="137">
        <v>1420000</v>
      </c>
      <c r="F802" s="137">
        <v>0</v>
      </c>
      <c r="G802" s="137">
        <v>0</v>
      </c>
      <c r="H802" s="137">
        <v>1420000</v>
      </c>
      <c r="I802" s="135"/>
      <c r="J802" s="138">
        <v>0</v>
      </c>
      <c r="K802" s="133" t="s">
        <v>1464</v>
      </c>
      <c r="L802" s="133">
        <v>722</v>
      </c>
      <c r="M802" s="139">
        <v>46073</v>
      </c>
      <c r="N802" s="140" t="s">
        <v>1720</v>
      </c>
      <c r="O802" s="134">
        <v>608</v>
      </c>
    </row>
    <row r="803" spans="1:15" x14ac:dyDescent="0.25">
      <c r="A803" s="133">
        <v>803</v>
      </c>
      <c r="B803" s="134" t="s">
        <v>1721</v>
      </c>
      <c r="C803" s="135">
        <v>2614500</v>
      </c>
      <c r="D803" s="136" t="s">
        <v>1624</v>
      </c>
      <c r="E803" s="137">
        <v>2308700</v>
      </c>
      <c r="F803" s="137">
        <v>0</v>
      </c>
      <c r="G803" s="137">
        <v>2308700</v>
      </c>
      <c r="H803" s="137">
        <v>0</v>
      </c>
      <c r="I803" s="135"/>
      <c r="J803" s="138">
        <v>0</v>
      </c>
      <c r="K803" s="133" t="s">
        <v>1464</v>
      </c>
      <c r="L803" s="133">
        <v>722</v>
      </c>
      <c r="M803" s="139">
        <v>46073</v>
      </c>
      <c r="N803" s="140" t="s">
        <v>1687</v>
      </c>
      <c r="O803" s="134">
        <v>623</v>
      </c>
    </row>
    <row r="804" spans="1:15" x14ac:dyDescent="0.25">
      <c r="A804" s="133">
        <v>804</v>
      </c>
      <c r="B804" s="134" t="s">
        <v>1722</v>
      </c>
      <c r="C804" s="135">
        <v>5170000</v>
      </c>
      <c r="D804" s="136" t="s">
        <v>1624</v>
      </c>
      <c r="E804" s="137">
        <v>81400</v>
      </c>
      <c r="F804" s="137">
        <v>81400</v>
      </c>
      <c r="G804" s="137">
        <v>0</v>
      </c>
      <c r="H804" s="137">
        <v>0</v>
      </c>
      <c r="I804" s="135"/>
      <c r="J804" s="138">
        <v>0</v>
      </c>
      <c r="K804" s="133" t="s">
        <v>1464</v>
      </c>
      <c r="L804" s="133">
        <v>722</v>
      </c>
      <c r="M804" s="139">
        <v>46073</v>
      </c>
      <c r="N804" s="140" t="s">
        <v>1723</v>
      </c>
      <c r="O804" s="134">
        <v>127</v>
      </c>
    </row>
    <row r="805" spans="1:15" x14ac:dyDescent="0.25">
      <c r="A805" s="133">
        <v>805</v>
      </c>
      <c r="B805" s="134" t="s">
        <v>1722</v>
      </c>
      <c r="C805" s="135">
        <v>5170000</v>
      </c>
      <c r="D805" s="136" t="s">
        <v>1624</v>
      </c>
      <c r="E805" s="137">
        <v>206600</v>
      </c>
      <c r="F805" s="137">
        <v>206600</v>
      </c>
      <c r="G805" s="137">
        <v>0</v>
      </c>
      <c r="H805" s="137">
        <v>0</v>
      </c>
      <c r="I805" s="135"/>
      <c r="J805" s="138">
        <v>0</v>
      </c>
      <c r="K805" s="133" t="s">
        <v>1464</v>
      </c>
      <c r="L805" s="133">
        <v>722</v>
      </c>
      <c r="M805" s="139">
        <v>46073</v>
      </c>
      <c r="N805" s="140" t="s">
        <v>1724</v>
      </c>
      <c r="O805" s="134">
        <v>607</v>
      </c>
    </row>
    <row r="806" spans="1:15" x14ac:dyDescent="0.25">
      <c r="A806" s="133">
        <v>806</v>
      </c>
      <c r="B806" s="134" t="s">
        <v>1722</v>
      </c>
      <c r="C806" s="135">
        <v>5170000</v>
      </c>
      <c r="D806" s="136" t="s">
        <v>1624</v>
      </c>
      <c r="E806" s="137">
        <v>3509600</v>
      </c>
      <c r="F806" s="137">
        <v>3155700</v>
      </c>
      <c r="G806" s="137">
        <v>353900</v>
      </c>
      <c r="H806" s="137">
        <v>0</v>
      </c>
      <c r="I806" s="135"/>
      <c r="J806" s="138">
        <v>0</v>
      </c>
      <c r="K806" s="133" t="s">
        <v>1464</v>
      </c>
      <c r="L806" s="133">
        <v>722</v>
      </c>
      <c r="M806" s="139">
        <v>46073</v>
      </c>
      <c r="N806" s="140" t="s">
        <v>1725</v>
      </c>
      <c r="O806" s="134">
        <v>608</v>
      </c>
    </row>
    <row r="807" spans="1:15" x14ac:dyDescent="0.25">
      <c r="A807" s="133">
        <v>807</v>
      </c>
      <c r="B807" s="134" t="s">
        <v>1726</v>
      </c>
      <c r="C807" s="135">
        <v>4307343</v>
      </c>
      <c r="D807" s="136" t="s">
        <v>1624</v>
      </c>
      <c r="E807" s="137">
        <v>81400</v>
      </c>
      <c r="F807" s="137">
        <v>81400</v>
      </c>
      <c r="G807" s="137">
        <v>0</v>
      </c>
      <c r="H807" s="137">
        <v>0</v>
      </c>
      <c r="I807" s="135"/>
      <c r="J807" s="138">
        <v>81400</v>
      </c>
      <c r="K807" s="133" t="s">
        <v>1466</v>
      </c>
      <c r="L807" s="133">
        <v>722</v>
      </c>
      <c r="M807" s="139">
        <v>46073</v>
      </c>
      <c r="N807" s="140" t="s">
        <v>1727</v>
      </c>
      <c r="O807" s="134">
        <v>127</v>
      </c>
    </row>
    <row r="808" spans="1:15" x14ac:dyDescent="0.25">
      <c r="A808" s="133">
        <v>808</v>
      </c>
      <c r="B808" s="134" t="s">
        <v>1726</v>
      </c>
      <c r="C808" s="135">
        <v>4307343</v>
      </c>
      <c r="D808" s="136" t="s">
        <v>1624</v>
      </c>
      <c r="E808" s="137">
        <v>288200</v>
      </c>
      <c r="F808" s="137">
        <v>287168</v>
      </c>
      <c r="G808" s="137">
        <v>1032</v>
      </c>
      <c r="H808" s="137">
        <v>0</v>
      </c>
      <c r="I808" s="135"/>
      <c r="J808" s="138">
        <v>287168</v>
      </c>
      <c r="K808" s="133" t="s">
        <v>1466</v>
      </c>
      <c r="L808" s="133">
        <v>722</v>
      </c>
      <c r="M808" s="139">
        <v>46073</v>
      </c>
      <c r="N808" s="140" t="s">
        <v>1728</v>
      </c>
      <c r="O808" s="134">
        <v>604</v>
      </c>
    </row>
    <row r="809" spans="1:15" x14ac:dyDescent="0.25">
      <c r="A809" s="133">
        <v>809</v>
      </c>
      <c r="B809" s="134" t="s">
        <v>1729</v>
      </c>
      <c r="C809" s="135">
        <v>12384213</v>
      </c>
      <c r="D809" s="136" t="s">
        <v>1624</v>
      </c>
      <c r="E809" s="137">
        <v>334074</v>
      </c>
      <c r="F809" s="137">
        <v>334074</v>
      </c>
      <c r="G809" s="137">
        <v>0</v>
      </c>
      <c r="H809" s="137">
        <v>0</v>
      </c>
      <c r="I809" s="135"/>
      <c r="J809" s="138">
        <v>0</v>
      </c>
      <c r="K809" s="133" t="s">
        <v>1464</v>
      </c>
      <c r="L809" s="133">
        <v>722</v>
      </c>
      <c r="M809" s="139">
        <v>46073</v>
      </c>
      <c r="N809" s="140" t="s">
        <v>1730</v>
      </c>
      <c r="O809" s="134">
        <v>206</v>
      </c>
    </row>
    <row r="810" spans="1:15" x14ac:dyDescent="0.25">
      <c r="A810" s="133">
        <v>810</v>
      </c>
      <c r="B810" s="134" t="s">
        <v>1729</v>
      </c>
      <c r="C810" s="135">
        <v>12384213</v>
      </c>
      <c r="D810" s="136" t="s">
        <v>1624</v>
      </c>
      <c r="E810" s="137">
        <v>2726400</v>
      </c>
      <c r="F810" s="137">
        <v>2385600</v>
      </c>
      <c r="G810" s="137">
        <v>340800</v>
      </c>
      <c r="H810" s="137">
        <v>0</v>
      </c>
      <c r="I810" s="135"/>
      <c r="J810" s="138">
        <v>0</v>
      </c>
      <c r="K810" s="133" t="s">
        <v>1464</v>
      </c>
      <c r="L810" s="133">
        <v>722</v>
      </c>
      <c r="M810" s="139">
        <v>46073</v>
      </c>
      <c r="N810" s="140" t="s">
        <v>1731</v>
      </c>
      <c r="O810" s="134">
        <v>601</v>
      </c>
    </row>
    <row r="811" spans="1:15" x14ac:dyDescent="0.25">
      <c r="A811" s="133">
        <v>811</v>
      </c>
      <c r="B811" s="134" t="s">
        <v>1729</v>
      </c>
      <c r="C811" s="135">
        <v>12384213</v>
      </c>
      <c r="D811" s="136" t="s">
        <v>1624</v>
      </c>
      <c r="E811" s="137">
        <v>1100900</v>
      </c>
      <c r="F811" s="137">
        <v>98400</v>
      </c>
      <c r="G811" s="137">
        <v>0</v>
      </c>
      <c r="H811" s="137">
        <v>1002500</v>
      </c>
      <c r="I811" s="135"/>
      <c r="J811" s="138">
        <v>0</v>
      </c>
      <c r="K811" s="133" t="s">
        <v>1464</v>
      </c>
      <c r="L811" s="133">
        <v>722</v>
      </c>
      <c r="M811" s="139">
        <v>46073</v>
      </c>
      <c r="N811" s="140" t="s">
        <v>1732</v>
      </c>
      <c r="O811" s="134">
        <v>608</v>
      </c>
    </row>
    <row r="812" spans="1:15" x14ac:dyDescent="0.25">
      <c r="A812" s="133">
        <v>812</v>
      </c>
      <c r="B812" s="134" t="s">
        <v>1733</v>
      </c>
      <c r="C812" s="135">
        <v>10292663</v>
      </c>
      <c r="D812" s="136" t="s">
        <v>1624</v>
      </c>
      <c r="E812" s="137">
        <v>79100</v>
      </c>
      <c r="F812" s="137">
        <v>0</v>
      </c>
      <c r="G812" s="137">
        <v>79100</v>
      </c>
      <c r="H812" s="137">
        <v>0</v>
      </c>
      <c r="I812" s="135"/>
      <c r="J812" s="138">
        <v>0</v>
      </c>
      <c r="K812" s="133" t="s">
        <v>1464</v>
      </c>
      <c r="L812" s="133">
        <v>722</v>
      </c>
      <c r="M812" s="139">
        <v>46073</v>
      </c>
      <c r="N812" s="140" t="s">
        <v>1687</v>
      </c>
      <c r="O812" s="134">
        <v>102</v>
      </c>
    </row>
    <row r="813" spans="1:15" x14ac:dyDescent="0.25">
      <c r="A813" s="133">
        <v>813</v>
      </c>
      <c r="B813" s="134" t="s">
        <v>1733</v>
      </c>
      <c r="C813" s="135">
        <v>10292663</v>
      </c>
      <c r="D813" s="136" t="s">
        <v>1624</v>
      </c>
      <c r="E813" s="137">
        <v>163910</v>
      </c>
      <c r="F813" s="137">
        <v>18900</v>
      </c>
      <c r="G813" s="137">
        <v>145010</v>
      </c>
      <c r="H813" s="137">
        <v>0</v>
      </c>
      <c r="I813" s="135"/>
      <c r="J813" s="138">
        <v>0</v>
      </c>
      <c r="K813" s="133" t="s">
        <v>1464</v>
      </c>
      <c r="L813" s="133">
        <v>722</v>
      </c>
      <c r="M813" s="139">
        <v>46073</v>
      </c>
      <c r="N813" s="140" t="s">
        <v>1734</v>
      </c>
      <c r="O813" s="134">
        <v>111</v>
      </c>
    </row>
    <row r="814" spans="1:15" x14ac:dyDescent="0.25">
      <c r="A814" s="133">
        <v>814</v>
      </c>
      <c r="B814" s="134" t="s">
        <v>1733</v>
      </c>
      <c r="C814" s="135">
        <v>10292663</v>
      </c>
      <c r="D814" s="136" t="s">
        <v>1624</v>
      </c>
      <c r="E814" s="137">
        <v>1365800</v>
      </c>
      <c r="F814" s="137">
        <v>0</v>
      </c>
      <c r="G814" s="137">
        <v>1365800</v>
      </c>
      <c r="H814" s="137">
        <v>0</v>
      </c>
      <c r="I814" s="135"/>
      <c r="J814" s="138">
        <v>0</v>
      </c>
      <c r="K814" s="133" t="s">
        <v>1464</v>
      </c>
      <c r="L814" s="133">
        <v>722</v>
      </c>
      <c r="M814" s="139">
        <v>46073</v>
      </c>
      <c r="N814" s="140" t="s">
        <v>1687</v>
      </c>
      <c r="O814" s="134">
        <v>123</v>
      </c>
    </row>
    <row r="815" spans="1:15" x14ac:dyDescent="0.25">
      <c r="A815" s="133">
        <v>815</v>
      </c>
      <c r="B815" s="134" t="s">
        <v>1733</v>
      </c>
      <c r="C815" s="135">
        <v>10292663</v>
      </c>
      <c r="D815" s="136" t="s">
        <v>1624</v>
      </c>
      <c r="E815" s="137">
        <v>281500</v>
      </c>
      <c r="F815" s="137">
        <v>200100</v>
      </c>
      <c r="G815" s="137">
        <v>81400</v>
      </c>
      <c r="H815" s="137">
        <v>0</v>
      </c>
      <c r="I815" s="135"/>
      <c r="J815" s="138">
        <v>0</v>
      </c>
      <c r="K815" s="133" t="s">
        <v>1464</v>
      </c>
      <c r="L815" s="133">
        <v>722</v>
      </c>
      <c r="M815" s="139">
        <v>46073</v>
      </c>
      <c r="N815" s="140" t="s">
        <v>1735</v>
      </c>
      <c r="O815" s="134">
        <v>127</v>
      </c>
    </row>
    <row r="816" spans="1:15" x14ac:dyDescent="0.25">
      <c r="A816" s="133">
        <v>816</v>
      </c>
      <c r="B816" s="134" t="s">
        <v>1733</v>
      </c>
      <c r="C816" s="135">
        <v>10292663</v>
      </c>
      <c r="D816" s="136" t="s">
        <v>1624</v>
      </c>
      <c r="E816" s="137">
        <v>1157678</v>
      </c>
      <c r="F816" s="137">
        <v>0</v>
      </c>
      <c r="G816" s="137">
        <v>1157678</v>
      </c>
      <c r="H816" s="137">
        <v>0</v>
      </c>
      <c r="I816" s="135"/>
      <c r="J816" s="138">
        <v>0</v>
      </c>
      <c r="K816" s="133" t="s">
        <v>1464</v>
      </c>
      <c r="L816" s="133">
        <v>722</v>
      </c>
      <c r="M816" s="139">
        <v>46073</v>
      </c>
      <c r="N816" s="140" t="s">
        <v>1687</v>
      </c>
      <c r="O816" s="134">
        <v>206</v>
      </c>
    </row>
    <row r="817" spans="1:15" x14ac:dyDescent="0.25">
      <c r="A817" s="133">
        <v>817</v>
      </c>
      <c r="B817" s="134" t="s">
        <v>1733</v>
      </c>
      <c r="C817" s="135">
        <v>10292663</v>
      </c>
      <c r="D817" s="136" t="s">
        <v>1624</v>
      </c>
      <c r="E817" s="137">
        <v>10400</v>
      </c>
      <c r="F817" s="137">
        <v>10400</v>
      </c>
      <c r="G817" s="137">
        <v>0</v>
      </c>
      <c r="H817" s="137">
        <v>0</v>
      </c>
      <c r="I817" s="135"/>
      <c r="J817" s="138">
        <v>0</v>
      </c>
      <c r="K817" s="133" t="s">
        <v>1464</v>
      </c>
      <c r="L817" s="133">
        <v>722</v>
      </c>
      <c r="M817" s="139">
        <v>46073</v>
      </c>
      <c r="N817" s="140" t="s">
        <v>1736</v>
      </c>
      <c r="O817" s="134">
        <v>608</v>
      </c>
    </row>
    <row r="818" spans="1:15" x14ac:dyDescent="0.25">
      <c r="A818" s="133">
        <v>818</v>
      </c>
      <c r="B818" s="134" t="s">
        <v>1737</v>
      </c>
      <c r="C818" s="135">
        <v>5680000</v>
      </c>
      <c r="D818" s="136" t="s">
        <v>1624</v>
      </c>
      <c r="E818" s="137">
        <v>5680000</v>
      </c>
      <c r="F818" s="137">
        <v>454235</v>
      </c>
      <c r="G818" s="137">
        <v>5225765</v>
      </c>
      <c r="H818" s="137">
        <v>0</v>
      </c>
      <c r="I818" s="135"/>
      <c r="J818" s="138">
        <v>454235</v>
      </c>
      <c r="K818" s="133" t="s">
        <v>1466</v>
      </c>
      <c r="L818" s="133">
        <v>722</v>
      </c>
      <c r="M818" s="139">
        <v>46073</v>
      </c>
      <c r="N818" s="140" t="s">
        <v>1738</v>
      </c>
      <c r="O818" s="134">
        <v>608</v>
      </c>
    </row>
    <row r="819" spans="1:15" x14ac:dyDescent="0.25">
      <c r="A819" s="133">
        <v>819</v>
      </c>
      <c r="B819" s="134" t="s">
        <v>1739</v>
      </c>
      <c r="C819" s="135">
        <v>3075679</v>
      </c>
      <c r="D819" s="136" t="s">
        <v>1624</v>
      </c>
      <c r="E819" s="137">
        <v>206800</v>
      </c>
      <c r="F819" s="137">
        <v>206800</v>
      </c>
      <c r="G819" s="137">
        <v>0</v>
      </c>
      <c r="H819" s="137">
        <v>0</v>
      </c>
      <c r="I819" s="135"/>
      <c r="J819" s="138">
        <v>0</v>
      </c>
      <c r="K819" s="133" t="s">
        <v>1464</v>
      </c>
      <c r="L819" s="133">
        <v>722</v>
      </c>
      <c r="M819" s="139">
        <v>46073</v>
      </c>
      <c r="N819" s="140" t="s">
        <v>1740</v>
      </c>
      <c r="O819" s="134">
        <v>607</v>
      </c>
    </row>
    <row r="820" spans="1:15" x14ac:dyDescent="0.25">
      <c r="A820" s="133">
        <v>820</v>
      </c>
      <c r="B820" s="134" t="s">
        <v>1739</v>
      </c>
      <c r="C820" s="135">
        <v>3075679</v>
      </c>
      <c r="D820" s="136" t="s">
        <v>1624</v>
      </c>
      <c r="E820" s="137">
        <v>1665630</v>
      </c>
      <c r="F820" s="137">
        <v>1311730</v>
      </c>
      <c r="G820" s="137">
        <v>353900</v>
      </c>
      <c r="H820" s="137">
        <v>0</v>
      </c>
      <c r="I820" s="135"/>
      <c r="J820" s="138">
        <v>0</v>
      </c>
      <c r="K820" s="133" t="s">
        <v>1464</v>
      </c>
      <c r="L820" s="133">
        <v>722</v>
      </c>
      <c r="M820" s="139">
        <v>46073</v>
      </c>
      <c r="N820" s="140" t="s">
        <v>1741</v>
      </c>
      <c r="O820" s="134">
        <v>608</v>
      </c>
    </row>
    <row r="821" spans="1:15" x14ac:dyDescent="0.25">
      <c r="A821" s="133">
        <v>821</v>
      </c>
      <c r="B821" s="134" t="s">
        <v>1742</v>
      </c>
      <c r="C821" s="135">
        <v>9367244</v>
      </c>
      <c r="D821" s="136" t="s">
        <v>1624</v>
      </c>
      <c r="E821" s="137">
        <v>81400</v>
      </c>
      <c r="F821" s="137">
        <v>0</v>
      </c>
      <c r="G821" s="137">
        <v>81400</v>
      </c>
      <c r="H821" s="137">
        <v>0</v>
      </c>
      <c r="I821" s="135"/>
      <c r="J821" s="138">
        <v>0</v>
      </c>
      <c r="K821" s="133" t="s">
        <v>1464</v>
      </c>
      <c r="L821" s="133">
        <v>722</v>
      </c>
      <c r="M821" s="139">
        <v>46073</v>
      </c>
      <c r="N821" s="140" t="s">
        <v>1687</v>
      </c>
      <c r="O821" s="134">
        <v>102</v>
      </c>
    </row>
    <row r="822" spans="1:15" x14ac:dyDescent="0.25">
      <c r="A822" s="133">
        <v>822</v>
      </c>
      <c r="B822" s="134" t="s">
        <v>1742</v>
      </c>
      <c r="C822" s="135">
        <v>9367244</v>
      </c>
      <c r="D822" s="136" t="s">
        <v>1624</v>
      </c>
      <c r="E822" s="137">
        <v>626544</v>
      </c>
      <c r="F822" s="137">
        <v>6700</v>
      </c>
      <c r="G822" s="137">
        <v>619844</v>
      </c>
      <c r="H822" s="137">
        <v>0</v>
      </c>
      <c r="I822" s="135"/>
      <c r="J822" s="138">
        <v>0</v>
      </c>
      <c r="K822" s="133" t="s">
        <v>1464</v>
      </c>
      <c r="L822" s="133">
        <v>722</v>
      </c>
      <c r="M822" s="139">
        <v>46073</v>
      </c>
      <c r="N822" s="140" t="s">
        <v>1743</v>
      </c>
      <c r="O822" s="134">
        <v>127</v>
      </c>
    </row>
    <row r="823" spans="1:15" x14ac:dyDescent="0.25">
      <c r="A823" s="133">
        <v>823</v>
      </c>
      <c r="B823" s="134" t="s">
        <v>1742</v>
      </c>
      <c r="C823" s="135">
        <v>9367244</v>
      </c>
      <c r="D823" s="136" t="s">
        <v>1624</v>
      </c>
      <c r="E823" s="137">
        <v>3797300</v>
      </c>
      <c r="F823" s="137">
        <v>0</v>
      </c>
      <c r="G823" s="137">
        <v>3797300</v>
      </c>
      <c r="H823" s="137">
        <v>0</v>
      </c>
      <c r="I823" s="135"/>
      <c r="J823" s="138">
        <v>0</v>
      </c>
      <c r="K823" s="133" t="s">
        <v>1464</v>
      </c>
      <c r="L823" s="133">
        <v>722</v>
      </c>
      <c r="M823" s="139">
        <v>46073</v>
      </c>
      <c r="N823" s="140" t="s">
        <v>1687</v>
      </c>
      <c r="O823" s="134">
        <v>308</v>
      </c>
    </row>
    <row r="824" spans="1:15" x14ac:dyDescent="0.25">
      <c r="A824" s="133">
        <v>824</v>
      </c>
      <c r="B824" s="134" t="s">
        <v>1742</v>
      </c>
      <c r="C824" s="135">
        <v>9367244</v>
      </c>
      <c r="D824" s="136" t="s">
        <v>1624</v>
      </c>
      <c r="E824" s="137">
        <v>66700</v>
      </c>
      <c r="F824" s="137">
        <v>66700</v>
      </c>
      <c r="G824" s="137">
        <v>0</v>
      </c>
      <c r="H824" s="137">
        <v>0</v>
      </c>
      <c r="I824" s="135"/>
      <c r="J824" s="138">
        <v>0</v>
      </c>
      <c r="K824" s="133" t="s">
        <v>1464</v>
      </c>
      <c r="L824" s="133">
        <v>722</v>
      </c>
      <c r="M824" s="139">
        <v>46073</v>
      </c>
      <c r="N824" s="140" t="s">
        <v>1744</v>
      </c>
      <c r="O824" s="134">
        <v>608</v>
      </c>
    </row>
    <row r="825" spans="1:15" x14ac:dyDescent="0.25">
      <c r="A825" s="133">
        <v>825</v>
      </c>
      <c r="B825" s="134" t="s">
        <v>1745</v>
      </c>
      <c r="C825" s="135">
        <v>11435340</v>
      </c>
      <c r="D825" s="136" t="s">
        <v>1624</v>
      </c>
      <c r="E825" s="137">
        <v>43770</v>
      </c>
      <c r="F825" s="137">
        <v>0</v>
      </c>
      <c r="G825" s="137">
        <v>43770</v>
      </c>
      <c r="H825" s="137">
        <v>0</v>
      </c>
      <c r="I825" s="135"/>
      <c r="J825" s="138">
        <v>0</v>
      </c>
      <c r="K825" s="133" t="s">
        <v>1464</v>
      </c>
      <c r="L825" s="133">
        <v>722</v>
      </c>
      <c r="M825" s="139">
        <v>46073</v>
      </c>
      <c r="N825" s="140" t="s">
        <v>1628</v>
      </c>
      <c r="O825" s="134">
        <v>108</v>
      </c>
    </row>
    <row r="826" spans="1:15" x14ac:dyDescent="0.25">
      <c r="A826" s="133">
        <v>826</v>
      </c>
      <c r="B826" s="134" t="s">
        <v>1745</v>
      </c>
      <c r="C826" s="135">
        <v>11435340</v>
      </c>
      <c r="D826" s="136" t="s">
        <v>1624</v>
      </c>
      <c r="E826" s="137">
        <v>344045</v>
      </c>
      <c r="F826" s="137">
        <v>0</v>
      </c>
      <c r="G826" s="137">
        <v>344045</v>
      </c>
      <c r="H826" s="137">
        <v>0</v>
      </c>
      <c r="I826" s="135"/>
      <c r="J826" s="138">
        <v>0</v>
      </c>
      <c r="K826" s="133" t="s">
        <v>1464</v>
      </c>
      <c r="L826" s="133">
        <v>722</v>
      </c>
      <c r="M826" s="139">
        <v>46073</v>
      </c>
      <c r="N826" s="140" t="s">
        <v>1628</v>
      </c>
      <c r="O826" s="134">
        <v>123</v>
      </c>
    </row>
    <row r="827" spans="1:15" x14ac:dyDescent="0.25">
      <c r="A827" s="133">
        <v>827</v>
      </c>
      <c r="B827" s="134" t="s">
        <v>1745</v>
      </c>
      <c r="C827" s="135">
        <v>11435340</v>
      </c>
      <c r="D827" s="136" t="s">
        <v>1624</v>
      </c>
      <c r="E827" s="137">
        <v>81422</v>
      </c>
      <c r="F827" s="137">
        <v>22</v>
      </c>
      <c r="G827" s="137">
        <v>81400</v>
      </c>
      <c r="H827" s="137">
        <v>0</v>
      </c>
      <c r="I827" s="135"/>
      <c r="J827" s="138">
        <v>0</v>
      </c>
      <c r="K827" s="133" t="s">
        <v>1464</v>
      </c>
      <c r="L827" s="133">
        <v>722</v>
      </c>
      <c r="M827" s="139">
        <v>46073</v>
      </c>
      <c r="N827" s="140" t="s">
        <v>1746</v>
      </c>
      <c r="O827" s="134">
        <v>127</v>
      </c>
    </row>
    <row r="828" spans="1:15" x14ac:dyDescent="0.25">
      <c r="A828" s="133">
        <v>828</v>
      </c>
      <c r="B828" s="134" t="s">
        <v>1745</v>
      </c>
      <c r="C828" s="135">
        <v>11435340</v>
      </c>
      <c r="D828" s="136" t="s">
        <v>1624</v>
      </c>
      <c r="E828" s="137">
        <v>1363004</v>
      </c>
      <c r="F828" s="137">
        <v>1363004</v>
      </c>
      <c r="G828" s="137">
        <v>0</v>
      </c>
      <c r="H828" s="137">
        <v>0</v>
      </c>
      <c r="I828" s="135"/>
      <c r="J828" s="138">
        <v>0</v>
      </c>
      <c r="K828" s="133" t="s">
        <v>1464</v>
      </c>
      <c r="L828" s="133">
        <v>722</v>
      </c>
      <c r="M828" s="139">
        <v>46073</v>
      </c>
      <c r="N828" s="140" t="s">
        <v>1747</v>
      </c>
      <c r="O828" s="134">
        <v>601</v>
      </c>
    </row>
    <row r="829" spans="1:15" x14ac:dyDescent="0.25">
      <c r="A829" s="133">
        <v>829</v>
      </c>
      <c r="B829" s="134" t="s">
        <v>1748</v>
      </c>
      <c r="C829" s="135">
        <v>4156400</v>
      </c>
      <c r="D829" s="136" t="s">
        <v>1624</v>
      </c>
      <c r="E829" s="137">
        <v>2536100</v>
      </c>
      <c r="F829" s="137">
        <v>1538800</v>
      </c>
      <c r="G829" s="137">
        <v>997300</v>
      </c>
      <c r="H829" s="137">
        <v>0</v>
      </c>
      <c r="I829" s="135"/>
      <c r="J829" s="138">
        <v>0</v>
      </c>
      <c r="K829" s="133" t="s">
        <v>1464</v>
      </c>
      <c r="L829" s="133">
        <v>722</v>
      </c>
      <c r="M829" s="139">
        <v>46073</v>
      </c>
      <c r="N829" s="140" t="s">
        <v>1749</v>
      </c>
      <c r="O829" s="134">
        <v>333</v>
      </c>
    </row>
    <row r="830" spans="1:15" x14ac:dyDescent="0.25">
      <c r="A830" s="133">
        <v>830</v>
      </c>
      <c r="B830" s="134" t="s">
        <v>1750</v>
      </c>
      <c r="C830" s="135">
        <v>11070760</v>
      </c>
      <c r="D830" s="136" t="s">
        <v>1624</v>
      </c>
      <c r="E830" s="137">
        <v>189900</v>
      </c>
      <c r="F830" s="137">
        <v>0</v>
      </c>
      <c r="G830" s="137">
        <v>189900</v>
      </c>
      <c r="H830" s="137">
        <v>0</v>
      </c>
      <c r="I830" s="135"/>
      <c r="J830" s="138">
        <v>0</v>
      </c>
      <c r="K830" s="133" t="s">
        <v>1464</v>
      </c>
      <c r="L830" s="133">
        <v>722</v>
      </c>
      <c r="M830" s="139">
        <v>46073</v>
      </c>
      <c r="N830" s="140" t="s">
        <v>1687</v>
      </c>
      <c r="O830" s="134">
        <v>606</v>
      </c>
    </row>
    <row r="831" spans="1:15" x14ac:dyDescent="0.25">
      <c r="A831" s="133">
        <v>831</v>
      </c>
      <c r="B831" s="134" t="s">
        <v>1750</v>
      </c>
      <c r="C831" s="135">
        <v>11070760</v>
      </c>
      <c r="D831" s="136" t="s">
        <v>1624</v>
      </c>
      <c r="E831" s="137">
        <v>3770300</v>
      </c>
      <c r="F831" s="137">
        <v>1990200</v>
      </c>
      <c r="G831" s="137">
        <v>1780100</v>
      </c>
      <c r="H831" s="137">
        <v>0</v>
      </c>
      <c r="I831" s="135"/>
      <c r="J831" s="138">
        <v>0</v>
      </c>
      <c r="K831" s="133" t="s">
        <v>1464</v>
      </c>
      <c r="L831" s="133">
        <v>722</v>
      </c>
      <c r="M831" s="139">
        <v>46073</v>
      </c>
      <c r="N831" s="140" t="s">
        <v>1751</v>
      </c>
      <c r="O831" s="134">
        <v>608</v>
      </c>
    </row>
    <row r="832" spans="1:15" x14ac:dyDescent="0.25">
      <c r="A832" s="133">
        <v>832</v>
      </c>
      <c r="B832" s="134" t="s">
        <v>1750</v>
      </c>
      <c r="C832" s="135">
        <v>11070760</v>
      </c>
      <c r="D832" s="136" t="s">
        <v>1624</v>
      </c>
      <c r="E832" s="137">
        <v>110500</v>
      </c>
      <c r="F832" s="137">
        <v>66700</v>
      </c>
      <c r="G832" s="137">
        <v>43800</v>
      </c>
      <c r="H832" s="137">
        <v>0</v>
      </c>
      <c r="I832" s="135"/>
      <c r="J832" s="138">
        <v>0</v>
      </c>
      <c r="K832" s="133" t="s">
        <v>1464</v>
      </c>
      <c r="L832" s="133">
        <v>722</v>
      </c>
      <c r="M832" s="139">
        <v>46073</v>
      </c>
      <c r="N832" s="140" t="s">
        <v>1752</v>
      </c>
      <c r="O832" s="134">
        <v>108</v>
      </c>
    </row>
    <row r="833" spans="1:15" x14ac:dyDescent="0.25">
      <c r="A833" s="133">
        <v>833</v>
      </c>
      <c r="B833" s="134" t="s">
        <v>1750</v>
      </c>
      <c r="C833" s="135">
        <v>11070760</v>
      </c>
      <c r="D833" s="136" t="s">
        <v>1624</v>
      </c>
      <c r="E833" s="137">
        <v>2385600</v>
      </c>
      <c r="F833" s="137">
        <v>1363200</v>
      </c>
      <c r="G833" s="137">
        <v>1022400</v>
      </c>
      <c r="H833" s="137">
        <v>0</v>
      </c>
      <c r="I833" s="135"/>
      <c r="J833" s="138">
        <v>0</v>
      </c>
      <c r="K833" s="133" t="s">
        <v>1464</v>
      </c>
      <c r="L833" s="133">
        <v>722</v>
      </c>
      <c r="M833" s="139">
        <v>46073</v>
      </c>
      <c r="N833" s="140" t="s">
        <v>1753</v>
      </c>
      <c r="O833" s="134">
        <v>601</v>
      </c>
    </row>
    <row r="834" spans="1:15" x14ac:dyDescent="0.25">
      <c r="A834" s="133">
        <v>834</v>
      </c>
      <c r="B834" s="134" t="s">
        <v>1750</v>
      </c>
      <c r="C834" s="135">
        <v>11070760</v>
      </c>
      <c r="D834" s="136" t="s">
        <v>1624</v>
      </c>
      <c r="E834" s="137">
        <v>23100</v>
      </c>
      <c r="F834" s="137">
        <v>23100</v>
      </c>
      <c r="G834" s="137">
        <v>0</v>
      </c>
      <c r="H834" s="137">
        <v>0</v>
      </c>
      <c r="I834" s="135"/>
      <c r="J834" s="138">
        <v>0</v>
      </c>
      <c r="K834" s="133" t="s">
        <v>1464</v>
      </c>
      <c r="L834" s="133">
        <v>722</v>
      </c>
      <c r="M834" s="139">
        <v>46073</v>
      </c>
      <c r="N834" s="140" t="s">
        <v>1754</v>
      </c>
      <c r="O834" s="134">
        <v>623</v>
      </c>
    </row>
    <row r="835" spans="1:15" x14ac:dyDescent="0.25">
      <c r="A835" s="133">
        <v>835</v>
      </c>
      <c r="B835" s="134" t="s">
        <v>1750</v>
      </c>
      <c r="C835" s="135">
        <v>11070760</v>
      </c>
      <c r="D835" s="136" t="s">
        <v>1624</v>
      </c>
      <c r="E835" s="137">
        <v>250625</v>
      </c>
      <c r="F835" s="137">
        <v>0</v>
      </c>
      <c r="G835" s="137">
        <v>250625</v>
      </c>
      <c r="H835" s="137">
        <v>0</v>
      </c>
      <c r="I835" s="135"/>
      <c r="J835" s="138">
        <v>0</v>
      </c>
      <c r="K835" s="133" t="s">
        <v>1464</v>
      </c>
      <c r="L835" s="133">
        <v>722</v>
      </c>
      <c r="M835" s="139">
        <v>46073</v>
      </c>
      <c r="N835" s="140" t="s">
        <v>1687</v>
      </c>
      <c r="O835" s="134">
        <v>308</v>
      </c>
    </row>
    <row r="836" spans="1:15" x14ac:dyDescent="0.25">
      <c r="A836" s="133">
        <v>836</v>
      </c>
      <c r="B836" s="134" t="s">
        <v>1750</v>
      </c>
      <c r="C836" s="135">
        <v>11070760</v>
      </c>
      <c r="D836" s="136" t="s">
        <v>1624</v>
      </c>
      <c r="E836" s="137">
        <v>206000</v>
      </c>
      <c r="F836" s="137">
        <v>0</v>
      </c>
      <c r="G836" s="137">
        <v>206000</v>
      </c>
      <c r="H836" s="137">
        <v>0</v>
      </c>
      <c r="I836" s="135"/>
      <c r="J836" s="138">
        <v>0</v>
      </c>
      <c r="K836" s="133" t="s">
        <v>1464</v>
      </c>
      <c r="L836" s="133">
        <v>722</v>
      </c>
      <c r="M836" s="139">
        <v>46073</v>
      </c>
      <c r="N836" s="140" t="s">
        <v>1687</v>
      </c>
      <c r="O836" s="134">
        <v>607</v>
      </c>
    </row>
    <row r="837" spans="1:15" x14ac:dyDescent="0.25">
      <c r="A837" s="133">
        <v>837</v>
      </c>
      <c r="B837" s="134" t="s">
        <v>1755</v>
      </c>
      <c r="C837" s="135">
        <v>560800</v>
      </c>
      <c r="D837" s="136" t="s">
        <v>1624</v>
      </c>
      <c r="E837" s="137">
        <v>305600</v>
      </c>
      <c r="F837" s="137">
        <v>0</v>
      </c>
      <c r="G837" s="137">
        <v>305600</v>
      </c>
      <c r="H837" s="137">
        <v>0</v>
      </c>
      <c r="I837" s="135"/>
      <c r="J837" s="138">
        <v>0</v>
      </c>
      <c r="K837" s="133" t="s">
        <v>1464</v>
      </c>
      <c r="L837" s="133">
        <v>722</v>
      </c>
      <c r="M837" s="139">
        <v>46073</v>
      </c>
      <c r="N837" s="140" t="s">
        <v>1687</v>
      </c>
      <c r="O837" s="134" t="s">
        <v>1756</v>
      </c>
    </row>
    <row r="838" spans="1:15" x14ac:dyDescent="0.25">
      <c r="A838" s="133">
        <v>838</v>
      </c>
      <c r="B838" s="134" t="s">
        <v>1757</v>
      </c>
      <c r="C838" s="135">
        <v>134000</v>
      </c>
      <c r="D838" s="136" t="s">
        <v>1624</v>
      </c>
      <c r="E838" s="137">
        <v>134000</v>
      </c>
      <c r="F838" s="137">
        <v>0</v>
      </c>
      <c r="G838" s="137">
        <v>134000</v>
      </c>
      <c r="H838" s="137">
        <v>0</v>
      </c>
      <c r="I838" s="135"/>
      <c r="J838" s="138">
        <v>0</v>
      </c>
      <c r="K838" s="133" t="s">
        <v>1464</v>
      </c>
      <c r="L838" s="133">
        <v>722</v>
      </c>
      <c r="M838" s="139">
        <v>46073</v>
      </c>
      <c r="N838" s="140" t="s">
        <v>1628</v>
      </c>
      <c r="O838" s="134" t="s">
        <v>237</v>
      </c>
    </row>
    <row r="839" spans="1:15" x14ac:dyDescent="0.25">
      <c r="A839" s="133">
        <v>839</v>
      </c>
      <c r="B839" s="134" t="s">
        <v>1758</v>
      </c>
      <c r="C839" s="135">
        <v>823300</v>
      </c>
      <c r="D839" s="136" t="s">
        <v>1624</v>
      </c>
      <c r="E839" s="137">
        <v>823300</v>
      </c>
      <c r="F839" s="137">
        <v>0</v>
      </c>
      <c r="G839" s="137">
        <v>823300</v>
      </c>
      <c r="H839" s="137">
        <v>0</v>
      </c>
      <c r="I839" s="135"/>
      <c r="J839" s="138">
        <v>0</v>
      </c>
      <c r="K839" s="133" t="s">
        <v>1464</v>
      </c>
      <c r="L839" s="133">
        <v>722</v>
      </c>
      <c r="M839" s="139">
        <v>46073</v>
      </c>
      <c r="N839" s="140" t="s">
        <v>1628</v>
      </c>
      <c r="O839" s="134" t="s">
        <v>1759</v>
      </c>
    </row>
    <row r="840" spans="1:15" x14ac:dyDescent="0.25">
      <c r="A840" s="133">
        <v>840</v>
      </c>
      <c r="B840" s="134" t="s">
        <v>1760</v>
      </c>
      <c r="C840" s="135">
        <v>1147500</v>
      </c>
      <c r="D840" s="136" t="s">
        <v>1624</v>
      </c>
      <c r="E840" s="137">
        <v>1147500</v>
      </c>
      <c r="F840" s="137">
        <v>0</v>
      </c>
      <c r="G840" s="137">
        <v>1147500</v>
      </c>
      <c r="H840" s="137">
        <v>0</v>
      </c>
      <c r="I840" s="135"/>
      <c r="J840" s="138">
        <v>0</v>
      </c>
      <c r="K840" s="133" t="s">
        <v>1464</v>
      </c>
      <c r="L840" s="133">
        <v>722</v>
      </c>
      <c r="M840" s="139">
        <v>46073</v>
      </c>
      <c r="N840" s="140" t="s">
        <v>1628</v>
      </c>
      <c r="O840" s="134" t="s">
        <v>956</v>
      </c>
    </row>
    <row r="841" spans="1:15" x14ac:dyDescent="0.25">
      <c r="A841" s="133">
        <v>841</v>
      </c>
      <c r="B841" s="134" t="s">
        <v>1761</v>
      </c>
      <c r="C841" s="135">
        <v>2194000</v>
      </c>
      <c r="D841" s="136" t="s">
        <v>1624</v>
      </c>
      <c r="E841" s="137">
        <v>621600</v>
      </c>
      <c r="F841" s="137">
        <v>0</v>
      </c>
      <c r="G841" s="137">
        <v>621600</v>
      </c>
      <c r="H841" s="137">
        <v>0</v>
      </c>
      <c r="I841" s="135"/>
      <c r="J841" s="138">
        <v>0</v>
      </c>
      <c r="K841" s="133" t="s">
        <v>1464</v>
      </c>
      <c r="L841" s="133">
        <v>722</v>
      </c>
      <c r="M841" s="139">
        <v>46073</v>
      </c>
      <c r="N841" s="140" t="s">
        <v>1628</v>
      </c>
      <c r="O841" s="134" t="s">
        <v>241</v>
      </c>
    </row>
    <row r="842" spans="1:15" x14ac:dyDescent="0.25">
      <c r="A842" s="133">
        <v>842</v>
      </c>
      <c r="B842" s="134" t="s">
        <v>1762</v>
      </c>
      <c r="C842" s="135">
        <v>95400</v>
      </c>
      <c r="D842" s="136" t="s">
        <v>1624</v>
      </c>
      <c r="E842" s="137">
        <v>100</v>
      </c>
      <c r="F842" s="137">
        <v>100</v>
      </c>
      <c r="G842" s="137">
        <v>0</v>
      </c>
      <c r="H842" s="137">
        <v>0</v>
      </c>
      <c r="I842" s="135"/>
      <c r="J842" s="138">
        <v>0</v>
      </c>
      <c r="K842" s="133" t="s">
        <v>1464</v>
      </c>
      <c r="L842" s="133">
        <v>722</v>
      </c>
      <c r="M842" s="139">
        <v>46073</v>
      </c>
      <c r="N842" s="140" t="s">
        <v>1763</v>
      </c>
      <c r="O842" s="134" t="s">
        <v>1764</v>
      </c>
    </row>
    <row r="843" spans="1:15" x14ac:dyDescent="0.25">
      <c r="A843" s="133">
        <v>843</v>
      </c>
      <c r="B843" s="134" t="s">
        <v>1765</v>
      </c>
      <c r="C843" s="135">
        <v>670000</v>
      </c>
      <c r="D843" s="136" t="s">
        <v>1624</v>
      </c>
      <c r="E843" s="137">
        <v>201000</v>
      </c>
      <c r="F843" s="137">
        <v>0</v>
      </c>
      <c r="G843" s="137">
        <v>201000</v>
      </c>
      <c r="H843" s="137">
        <v>0</v>
      </c>
      <c r="I843" s="135"/>
      <c r="J843" s="138">
        <v>0</v>
      </c>
      <c r="K843" s="133" t="s">
        <v>1464</v>
      </c>
      <c r="L843" s="133">
        <v>722</v>
      </c>
      <c r="M843" s="139">
        <v>46073</v>
      </c>
      <c r="N843" s="140" t="s">
        <v>1628</v>
      </c>
      <c r="O843" s="134" t="s">
        <v>275</v>
      </c>
    </row>
    <row r="844" spans="1:15" x14ac:dyDescent="0.25">
      <c r="A844" s="133">
        <v>844</v>
      </c>
      <c r="B844" s="134" t="s">
        <v>1766</v>
      </c>
      <c r="C844" s="135">
        <v>13532126</v>
      </c>
      <c r="D844" s="136" t="s">
        <v>1624</v>
      </c>
      <c r="E844" s="137">
        <v>1480800</v>
      </c>
      <c r="F844" s="137">
        <v>0</v>
      </c>
      <c r="G844" s="137">
        <v>1480800</v>
      </c>
      <c r="H844" s="137">
        <v>0</v>
      </c>
      <c r="I844" s="135"/>
      <c r="J844" s="138">
        <v>0</v>
      </c>
      <c r="K844" s="133" t="s">
        <v>1464</v>
      </c>
      <c r="L844" s="133">
        <v>722</v>
      </c>
      <c r="M844" s="139">
        <v>46073</v>
      </c>
      <c r="N844" s="140" t="s">
        <v>1628</v>
      </c>
      <c r="O844" s="134" t="s">
        <v>227</v>
      </c>
    </row>
    <row r="845" spans="1:15" x14ac:dyDescent="0.25">
      <c r="A845" s="133">
        <v>845</v>
      </c>
      <c r="B845" s="134" t="s">
        <v>1767</v>
      </c>
      <c r="C845" s="135">
        <v>11505526</v>
      </c>
      <c r="D845" s="136" t="s">
        <v>1624</v>
      </c>
      <c r="E845" s="137">
        <v>33500</v>
      </c>
      <c r="F845" s="137">
        <v>0</v>
      </c>
      <c r="G845" s="137">
        <v>33500</v>
      </c>
      <c r="H845" s="137">
        <v>0</v>
      </c>
      <c r="I845" s="135"/>
      <c r="J845" s="138">
        <v>0</v>
      </c>
      <c r="K845" s="133" t="s">
        <v>1464</v>
      </c>
      <c r="L845" s="133">
        <v>722</v>
      </c>
      <c r="M845" s="139">
        <v>46073</v>
      </c>
      <c r="N845" s="140" t="s">
        <v>1628</v>
      </c>
      <c r="O845" s="134" t="s">
        <v>275</v>
      </c>
    </row>
    <row r="846" spans="1:15" x14ac:dyDescent="0.25">
      <c r="A846" s="133">
        <v>846</v>
      </c>
      <c r="B846" s="134" t="s">
        <v>1767</v>
      </c>
      <c r="C846" s="135">
        <v>11505526</v>
      </c>
      <c r="D846" s="136" t="s">
        <v>1624</v>
      </c>
      <c r="E846" s="137">
        <v>953388</v>
      </c>
      <c r="F846" s="137">
        <v>6688</v>
      </c>
      <c r="G846" s="137">
        <v>946700</v>
      </c>
      <c r="H846" s="137">
        <v>0</v>
      </c>
      <c r="I846" s="135"/>
      <c r="J846" s="138">
        <v>0</v>
      </c>
      <c r="K846" s="133" t="s">
        <v>1464</v>
      </c>
      <c r="L846" s="133">
        <v>722</v>
      </c>
      <c r="M846" s="139">
        <v>46073</v>
      </c>
      <c r="N846" s="140" t="s">
        <v>1768</v>
      </c>
      <c r="O846" s="134" t="s">
        <v>336</v>
      </c>
    </row>
    <row r="847" spans="1:15" x14ac:dyDescent="0.25">
      <c r="A847" s="133">
        <v>847</v>
      </c>
      <c r="B847" s="134" t="s">
        <v>1769</v>
      </c>
      <c r="C847" s="135">
        <v>13103611</v>
      </c>
      <c r="D847" s="136" t="s">
        <v>1624</v>
      </c>
      <c r="E847" s="137">
        <v>126330</v>
      </c>
      <c r="F847" s="137">
        <v>0</v>
      </c>
      <c r="G847" s="137">
        <v>126330</v>
      </c>
      <c r="H847" s="137">
        <v>0</v>
      </c>
      <c r="I847" s="135"/>
      <c r="J847" s="138">
        <v>0</v>
      </c>
      <c r="K847" s="133" t="s">
        <v>1464</v>
      </c>
      <c r="L847" s="133">
        <v>722</v>
      </c>
      <c r="M847" s="139">
        <v>46073</v>
      </c>
      <c r="N847" s="140" t="s">
        <v>1628</v>
      </c>
      <c r="O847" s="134" t="s">
        <v>212</v>
      </c>
    </row>
    <row r="848" spans="1:15" x14ac:dyDescent="0.25">
      <c r="A848" s="133">
        <v>848</v>
      </c>
      <c r="B848" s="134" t="s">
        <v>1769</v>
      </c>
      <c r="C848" s="135">
        <v>13103611</v>
      </c>
      <c r="D848" s="136" t="s">
        <v>1624</v>
      </c>
      <c r="E848" s="137">
        <v>1</v>
      </c>
      <c r="F848" s="137">
        <v>1</v>
      </c>
      <c r="G848" s="137">
        <v>0</v>
      </c>
      <c r="H848" s="137">
        <v>0</v>
      </c>
      <c r="I848" s="135"/>
      <c r="J848" s="138">
        <v>0</v>
      </c>
      <c r="K848" s="133" t="s">
        <v>1464</v>
      </c>
      <c r="L848" s="133">
        <v>722</v>
      </c>
      <c r="M848" s="139">
        <v>46073</v>
      </c>
      <c r="N848" s="140" t="s">
        <v>1770</v>
      </c>
      <c r="O848" s="134" t="s">
        <v>413</v>
      </c>
    </row>
    <row r="849" spans="1:15" x14ac:dyDescent="0.25">
      <c r="A849" s="133">
        <v>849</v>
      </c>
      <c r="B849" s="134" t="s">
        <v>1771</v>
      </c>
      <c r="C849" s="135">
        <v>969700</v>
      </c>
      <c r="D849" s="136" t="s">
        <v>1624</v>
      </c>
      <c r="E849" s="137">
        <v>100</v>
      </c>
      <c r="F849" s="137">
        <v>100</v>
      </c>
      <c r="G849" s="137">
        <v>0</v>
      </c>
      <c r="H849" s="137">
        <v>0</v>
      </c>
      <c r="I849" s="135"/>
      <c r="J849" s="138">
        <v>0</v>
      </c>
      <c r="K849" s="133" t="s">
        <v>1464</v>
      </c>
      <c r="L849" s="133">
        <v>722</v>
      </c>
      <c r="M849" s="139">
        <v>46073</v>
      </c>
      <c r="N849" s="140" t="s">
        <v>1772</v>
      </c>
      <c r="O849" s="134" t="s">
        <v>185</v>
      </c>
    </row>
    <row r="850" spans="1:15" x14ac:dyDescent="0.25">
      <c r="A850" s="133">
        <v>850</v>
      </c>
      <c r="B850" s="134" t="s">
        <v>1773</v>
      </c>
      <c r="C850" s="135">
        <v>321000</v>
      </c>
      <c r="D850" s="136" t="s">
        <v>1624</v>
      </c>
      <c r="E850" s="137">
        <v>23825</v>
      </c>
      <c r="F850" s="137">
        <v>100</v>
      </c>
      <c r="G850" s="137">
        <v>23725</v>
      </c>
      <c r="H850" s="137">
        <v>0</v>
      </c>
      <c r="I850" s="135"/>
      <c r="J850" s="138">
        <v>0</v>
      </c>
      <c r="K850" s="133" t="s">
        <v>1464</v>
      </c>
      <c r="L850" s="133">
        <v>722</v>
      </c>
      <c r="M850" s="139">
        <v>46073</v>
      </c>
      <c r="N850" s="140" t="s">
        <v>1774</v>
      </c>
      <c r="O850" s="134" t="s">
        <v>237</v>
      </c>
    </row>
    <row r="851" spans="1:15" x14ac:dyDescent="0.25">
      <c r="A851" s="133">
        <v>851</v>
      </c>
      <c r="B851" s="134" t="s">
        <v>1773</v>
      </c>
      <c r="C851" s="135">
        <v>321000</v>
      </c>
      <c r="D851" s="136" t="s">
        <v>1624</v>
      </c>
      <c r="E851" s="137">
        <v>100</v>
      </c>
      <c r="F851" s="137">
        <v>100</v>
      </c>
      <c r="G851" s="137">
        <v>0</v>
      </c>
      <c r="H851" s="137">
        <v>0</v>
      </c>
      <c r="I851" s="135"/>
      <c r="J851" s="138">
        <v>0</v>
      </c>
      <c r="K851" s="133" t="s">
        <v>1464</v>
      </c>
      <c r="L851" s="133">
        <v>722</v>
      </c>
      <c r="M851" s="139">
        <v>46073</v>
      </c>
      <c r="N851" s="140" t="s">
        <v>1775</v>
      </c>
      <c r="O851" s="134" t="s">
        <v>185</v>
      </c>
    </row>
    <row r="852" spans="1:15" x14ac:dyDescent="0.25">
      <c r="A852" s="133">
        <v>852</v>
      </c>
      <c r="B852" s="134" t="s">
        <v>1776</v>
      </c>
      <c r="C852" s="135">
        <v>634300</v>
      </c>
      <c r="D852" s="136" t="s">
        <v>1624</v>
      </c>
      <c r="E852" s="137">
        <v>305600</v>
      </c>
      <c r="F852" s="137">
        <v>0</v>
      </c>
      <c r="G852" s="137">
        <v>305600</v>
      </c>
      <c r="H852" s="137">
        <v>0</v>
      </c>
      <c r="I852" s="135"/>
      <c r="J852" s="138">
        <v>0</v>
      </c>
      <c r="K852" s="133" t="s">
        <v>1464</v>
      </c>
      <c r="L852" s="133">
        <v>722</v>
      </c>
      <c r="M852" s="139">
        <v>46073</v>
      </c>
      <c r="N852" s="140" t="s">
        <v>1628</v>
      </c>
      <c r="O852" s="134" t="s">
        <v>201</v>
      </c>
    </row>
    <row r="853" spans="1:15" x14ac:dyDescent="0.25">
      <c r="A853" s="133">
        <v>853</v>
      </c>
      <c r="B853" s="134" t="s">
        <v>1777</v>
      </c>
      <c r="C853" s="135">
        <v>182900</v>
      </c>
      <c r="D853" s="136" t="s">
        <v>1624</v>
      </c>
      <c r="E853" s="137">
        <v>100</v>
      </c>
      <c r="F853" s="137">
        <v>100</v>
      </c>
      <c r="G853" s="137">
        <v>0</v>
      </c>
      <c r="H853" s="137">
        <v>0</v>
      </c>
      <c r="I853" s="135"/>
      <c r="J853" s="138">
        <v>0</v>
      </c>
      <c r="K853" s="133" t="s">
        <v>1464</v>
      </c>
      <c r="L853" s="133">
        <v>722</v>
      </c>
      <c r="M853" s="139">
        <v>46073</v>
      </c>
      <c r="N853" s="140" t="s">
        <v>1775</v>
      </c>
      <c r="O853" s="134" t="s">
        <v>185</v>
      </c>
    </row>
    <row r="854" spans="1:15" x14ac:dyDescent="0.25">
      <c r="A854" s="133">
        <v>854</v>
      </c>
      <c r="B854" s="134" t="s">
        <v>1777</v>
      </c>
      <c r="C854" s="135">
        <v>182900</v>
      </c>
      <c r="D854" s="136" t="s">
        <v>1624</v>
      </c>
      <c r="E854" s="137">
        <v>95400</v>
      </c>
      <c r="F854" s="137">
        <v>100</v>
      </c>
      <c r="G854" s="137">
        <v>95300</v>
      </c>
      <c r="H854" s="137">
        <v>0</v>
      </c>
      <c r="I854" s="135"/>
      <c r="J854" s="138">
        <v>0</v>
      </c>
      <c r="K854" s="133" t="s">
        <v>1464</v>
      </c>
      <c r="L854" s="133">
        <v>722</v>
      </c>
      <c r="M854" s="139">
        <v>46073</v>
      </c>
      <c r="N854" s="140" t="s">
        <v>1778</v>
      </c>
      <c r="O854" s="134" t="s">
        <v>241</v>
      </c>
    </row>
    <row r="855" spans="1:15" x14ac:dyDescent="0.25">
      <c r="A855" s="133">
        <v>855</v>
      </c>
      <c r="B855" s="134" t="s">
        <v>1779</v>
      </c>
      <c r="C855" s="135">
        <v>7346880</v>
      </c>
      <c r="D855" s="136" t="s">
        <v>1624</v>
      </c>
      <c r="E855" s="137">
        <v>53080</v>
      </c>
      <c r="F855" s="137">
        <v>44820</v>
      </c>
      <c r="G855" s="137">
        <v>8260</v>
      </c>
      <c r="H855" s="137">
        <v>0</v>
      </c>
      <c r="I855" s="135"/>
      <c r="J855" s="138">
        <v>0</v>
      </c>
      <c r="K855" s="133" t="s">
        <v>1464</v>
      </c>
      <c r="L855" s="133">
        <v>722</v>
      </c>
      <c r="M855" s="139">
        <v>46073</v>
      </c>
      <c r="N855" s="140" t="s">
        <v>1780</v>
      </c>
      <c r="O855" s="134" t="s">
        <v>309</v>
      </c>
    </row>
    <row r="856" spans="1:15" x14ac:dyDescent="0.25">
      <c r="A856" s="133">
        <v>856</v>
      </c>
      <c r="B856" s="134" t="s">
        <v>1779</v>
      </c>
      <c r="C856" s="135">
        <v>7346880</v>
      </c>
      <c r="D856" s="136" t="s">
        <v>1624</v>
      </c>
      <c r="E856" s="137">
        <v>752323</v>
      </c>
      <c r="F856" s="137">
        <v>0</v>
      </c>
      <c r="G856" s="137">
        <v>752323</v>
      </c>
      <c r="H856" s="137">
        <v>0</v>
      </c>
      <c r="I856" s="135"/>
      <c r="J856" s="138">
        <v>0</v>
      </c>
      <c r="K856" s="133" t="s">
        <v>1464</v>
      </c>
      <c r="L856" s="133">
        <v>722</v>
      </c>
      <c r="M856" s="139">
        <v>46073</v>
      </c>
      <c r="N856" s="140" t="s">
        <v>1628</v>
      </c>
      <c r="O856" s="134" t="s">
        <v>336</v>
      </c>
    </row>
    <row r="857" spans="1:15" x14ac:dyDescent="0.25">
      <c r="A857" s="133">
        <v>857</v>
      </c>
      <c r="B857" s="134" t="s">
        <v>1781</v>
      </c>
      <c r="C857" s="135">
        <v>11953735</v>
      </c>
      <c r="D857" s="136" t="s">
        <v>1624</v>
      </c>
      <c r="E857" s="137">
        <v>1801000</v>
      </c>
      <c r="F857" s="137">
        <v>1801000</v>
      </c>
      <c r="G857" s="137">
        <v>0</v>
      </c>
      <c r="H857" s="137">
        <v>0</v>
      </c>
      <c r="I857" s="135"/>
      <c r="J857" s="138">
        <v>0</v>
      </c>
      <c r="K857" s="133" t="s">
        <v>1464</v>
      </c>
      <c r="L857" s="133">
        <v>722</v>
      </c>
      <c r="M857" s="139">
        <v>46073</v>
      </c>
      <c r="N857" s="140" t="s">
        <v>1782</v>
      </c>
      <c r="O857" s="134" t="s">
        <v>1783</v>
      </c>
    </row>
    <row r="858" spans="1:15" x14ac:dyDescent="0.25">
      <c r="A858" s="133">
        <v>858</v>
      </c>
      <c r="B858" s="134" t="s">
        <v>1784</v>
      </c>
      <c r="C858" s="135">
        <v>492400</v>
      </c>
      <c r="D858" s="136" t="s">
        <v>1624</v>
      </c>
      <c r="E858" s="137">
        <v>27900</v>
      </c>
      <c r="F858" s="137">
        <v>0</v>
      </c>
      <c r="G858" s="137">
        <v>27900</v>
      </c>
      <c r="H858" s="137">
        <v>0</v>
      </c>
      <c r="I858" s="135"/>
      <c r="J858" s="138">
        <v>0</v>
      </c>
      <c r="K858" s="133" t="s">
        <v>1464</v>
      </c>
      <c r="L858" s="133">
        <v>722</v>
      </c>
      <c r="M858" s="139">
        <v>46073</v>
      </c>
      <c r="N858" s="140" t="s">
        <v>1628</v>
      </c>
      <c r="O858" s="134" t="s">
        <v>227</v>
      </c>
    </row>
    <row r="859" spans="1:15" x14ac:dyDescent="0.25">
      <c r="A859" s="133">
        <v>859</v>
      </c>
      <c r="B859" s="134" t="s">
        <v>1785</v>
      </c>
      <c r="C859" s="135">
        <v>1853100</v>
      </c>
      <c r="D859" s="136" t="s">
        <v>1624</v>
      </c>
      <c r="E859" s="137">
        <v>799800</v>
      </c>
      <c r="F859" s="137">
        <v>0</v>
      </c>
      <c r="G859" s="137">
        <v>799800</v>
      </c>
      <c r="H859" s="137">
        <v>0</v>
      </c>
      <c r="I859" s="135"/>
      <c r="J859" s="138">
        <v>0</v>
      </c>
      <c r="K859" s="133" t="s">
        <v>1464</v>
      </c>
      <c r="L859" s="133">
        <v>722</v>
      </c>
      <c r="M859" s="139">
        <v>46073</v>
      </c>
      <c r="N859" s="140" t="s">
        <v>1628</v>
      </c>
      <c r="O859" s="134" t="s">
        <v>237</v>
      </c>
    </row>
    <row r="860" spans="1:15" x14ac:dyDescent="0.25">
      <c r="A860" s="133">
        <v>860</v>
      </c>
      <c r="B860" s="134" t="s">
        <v>1785</v>
      </c>
      <c r="C860" s="135">
        <v>1853100</v>
      </c>
      <c r="D860" s="136" t="s">
        <v>1624</v>
      </c>
      <c r="E860" s="137">
        <v>14100</v>
      </c>
      <c r="F860" s="137">
        <v>14100</v>
      </c>
      <c r="G860" s="137">
        <v>0</v>
      </c>
      <c r="H860" s="137">
        <v>0</v>
      </c>
      <c r="I860" s="135"/>
      <c r="J860" s="138">
        <v>0</v>
      </c>
      <c r="K860" s="133" t="s">
        <v>1464</v>
      </c>
      <c r="L860" s="133">
        <v>722</v>
      </c>
      <c r="M860" s="139">
        <v>46073</v>
      </c>
      <c r="N860" s="140" t="s">
        <v>1786</v>
      </c>
      <c r="O860" s="134" t="s">
        <v>241</v>
      </c>
    </row>
    <row r="861" spans="1:15" x14ac:dyDescent="0.25">
      <c r="A861" s="133">
        <v>861</v>
      </c>
      <c r="B861" s="134" t="s">
        <v>1787</v>
      </c>
      <c r="C861" s="135">
        <v>234400</v>
      </c>
      <c r="D861" s="136" t="s">
        <v>1624</v>
      </c>
      <c r="E861" s="137">
        <v>100</v>
      </c>
      <c r="F861" s="137">
        <v>100</v>
      </c>
      <c r="G861" s="137">
        <v>0</v>
      </c>
      <c r="H861" s="137">
        <v>0</v>
      </c>
      <c r="I861" s="135"/>
      <c r="J861" s="138">
        <v>0</v>
      </c>
      <c r="K861" s="133" t="s">
        <v>1464</v>
      </c>
      <c r="L861" s="133">
        <v>722</v>
      </c>
      <c r="M861" s="139">
        <v>46073</v>
      </c>
      <c r="N861" s="140" t="s">
        <v>1775</v>
      </c>
      <c r="O861" s="134" t="s">
        <v>185</v>
      </c>
    </row>
    <row r="862" spans="1:15" x14ac:dyDescent="0.25">
      <c r="A862" s="133">
        <v>862</v>
      </c>
      <c r="B862" s="134" t="s">
        <v>1787</v>
      </c>
      <c r="C862" s="135">
        <v>234400</v>
      </c>
      <c r="D862" s="136" t="s">
        <v>1624</v>
      </c>
      <c r="E862" s="137">
        <v>147000</v>
      </c>
      <c r="F862" s="137">
        <v>0</v>
      </c>
      <c r="G862" s="137">
        <v>147000</v>
      </c>
      <c r="H862" s="137">
        <v>0</v>
      </c>
      <c r="I862" s="135"/>
      <c r="J862" s="138">
        <v>0</v>
      </c>
      <c r="K862" s="133" t="s">
        <v>1464</v>
      </c>
      <c r="L862" s="133">
        <v>722</v>
      </c>
      <c r="M862" s="139">
        <v>46073</v>
      </c>
      <c r="N862" s="140" t="s">
        <v>1628</v>
      </c>
      <c r="O862" s="134" t="s">
        <v>241</v>
      </c>
    </row>
    <row r="863" spans="1:15" x14ac:dyDescent="0.25">
      <c r="A863" s="133">
        <v>863</v>
      </c>
      <c r="B863" s="134" t="s">
        <v>1788</v>
      </c>
      <c r="C863" s="135">
        <v>95600</v>
      </c>
      <c r="D863" s="136" t="s">
        <v>1624</v>
      </c>
      <c r="E863" s="137">
        <v>21900</v>
      </c>
      <c r="F863" s="137">
        <v>100</v>
      </c>
      <c r="G863" s="137">
        <v>21800</v>
      </c>
      <c r="H863" s="137">
        <v>0</v>
      </c>
      <c r="I863" s="135"/>
      <c r="J863" s="138">
        <v>0</v>
      </c>
      <c r="K863" s="133" t="s">
        <v>1464</v>
      </c>
      <c r="L863" s="133">
        <v>722</v>
      </c>
      <c r="M863" s="139">
        <v>46073</v>
      </c>
      <c r="N863" s="140" t="s">
        <v>1789</v>
      </c>
      <c r="O863" s="134" t="s">
        <v>212</v>
      </c>
    </row>
    <row r="864" spans="1:15" x14ac:dyDescent="0.25">
      <c r="A864" s="133">
        <v>864</v>
      </c>
      <c r="B864" s="134" t="s">
        <v>1790</v>
      </c>
      <c r="C864" s="135">
        <v>1005000</v>
      </c>
      <c r="D864" s="136" t="s">
        <v>1624</v>
      </c>
      <c r="E864" s="137">
        <v>402000</v>
      </c>
      <c r="F864" s="137">
        <v>0</v>
      </c>
      <c r="G864" s="137">
        <v>402000</v>
      </c>
      <c r="H864" s="137">
        <v>0</v>
      </c>
      <c r="I864" s="135"/>
      <c r="J864" s="138">
        <v>0</v>
      </c>
      <c r="K864" s="133" t="s">
        <v>1464</v>
      </c>
      <c r="L864" s="133">
        <v>722</v>
      </c>
      <c r="M864" s="139">
        <v>46073</v>
      </c>
      <c r="N864" s="140" t="s">
        <v>1628</v>
      </c>
      <c r="O864" s="134" t="s">
        <v>1791</v>
      </c>
    </row>
    <row r="865" spans="1:15" x14ac:dyDescent="0.25">
      <c r="A865" s="133">
        <v>865</v>
      </c>
      <c r="B865" s="134" t="s">
        <v>1792</v>
      </c>
      <c r="C865" s="135">
        <v>71539</v>
      </c>
      <c r="D865" s="136" t="s">
        <v>1624</v>
      </c>
      <c r="E865" s="137">
        <v>39</v>
      </c>
      <c r="F865" s="137">
        <v>39</v>
      </c>
      <c r="G865" s="137">
        <v>0</v>
      </c>
      <c r="H865" s="137">
        <v>0</v>
      </c>
      <c r="I865" s="135"/>
      <c r="J865" s="138">
        <v>0</v>
      </c>
      <c r="K865" s="133" t="s">
        <v>1464</v>
      </c>
      <c r="L865" s="133">
        <v>722</v>
      </c>
      <c r="M865" s="139">
        <v>46073</v>
      </c>
      <c r="N865" s="140" t="s">
        <v>1793</v>
      </c>
      <c r="O865" s="134" t="s">
        <v>1794</v>
      </c>
    </row>
    <row r="866" spans="1:15" x14ac:dyDescent="0.25">
      <c r="A866" s="133">
        <v>866</v>
      </c>
      <c r="B866" s="134" t="s">
        <v>1795</v>
      </c>
      <c r="C866" s="135">
        <v>445200</v>
      </c>
      <c r="D866" s="136" t="s">
        <v>1624</v>
      </c>
      <c r="E866" s="137">
        <v>254400</v>
      </c>
      <c r="F866" s="137">
        <v>0</v>
      </c>
      <c r="G866" s="137">
        <v>254400</v>
      </c>
      <c r="H866" s="137">
        <v>0</v>
      </c>
      <c r="I866" s="135"/>
      <c r="J866" s="138">
        <v>0</v>
      </c>
      <c r="K866" s="133" t="s">
        <v>1464</v>
      </c>
      <c r="L866" s="133">
        <v>722</v>
      </c>
      <c r="M866" s="139">
        <v>46073</v>
      </c>
      <c r="N866" s="140" t="s">
        <v>1628</v>
      </c>
      <c r="O866" s="134" t="s">
        <v>1794</v>
      </c>
    </row>
    <row r="867" spans="1:15" x14ac:dyDescent="0.25">
      <c r="A867" s="133">
        <v>867</v>
      </c>
      <c r="B867" s="134" t="s">
        <v>1796</v>
      </c>
      <c r="C867" s="135">
        <v>72500</v>
      </c>
      <c r="D867" s="136" t="s">
        <v>1624</v>
      </c>
      <c r="E867" s="137">
        <v>43200</v>
      </c>
      <c r="F867" s="137">
        <v>43200</v>
      </c>
      <c r="G867" s="137">
        <v>0</v>
      </c>
      <c r="H867" s="137">
        <v>0</v>
      </c>
      <c r="I867" s="135"/>
      <c r="J867" s="138">
        <v>43200</v>
      </c>
      <c r="K867" s="133" t="s">
        <v>1466</v>
      </c>
      <c r="L867" s="133">
        <v>722</v>
      </c>
      <c r="M867" s="139">
        <v>46073</v>
      </c>
      <c r="N867" s="140" t="s">
        <v>1797</v>
      </c>
      <c r="O867" s="134" t="s">
        <v>1794</v>
      </c>
    </row>
    <row r="868" spans="1:15" x14ac:dyDescent="0.25">
      <c r="A868" s="133">
        <v>868</v>
      </c>
      <c r="B868" s="134" t="s">
        <v>1798</v>
      </c>
      <c r="C868" s="135">
        <v>165000</v>
      </c>
      <c r="D868" s="136" t="s">
        <v>1624</v>
      </c>
      <c r="E868" s="137">
        <v>100</v>
      </c>
      <c r="F868" s="137">
        <v>100</v>
      </c>
      <c r="G868" s="137">
        <v>0</v>
      </c>
      <c r="H868" s="137">
        <v>0</v>
      </c>
      <c r="I868" s="135"/>
      <c r="J868" s="138">
        <v>0</v>
      </c>
      <c r="K868" s="133" t="s">
        <v>1464</v>
      </c>
      <c r="L868" s="133">
        <v>722</v>
      </c>
      <c r="M868" s="139">
        <v>46073</v>
      </c>
      <c r="N868" s="140" t="s">
        <v>1799</v>
      </c>
      <c r="O868" s="134" t="s">
        <v>185</v>
      </c>
    </row>
    <row r="869" spans="1:15" x14ac:dyDescent="0.25">
      <c r="A869" s="133">
        <v>869</v>
      </c>
      <c r="B869" s="134" t="s">
        <v>1800</v>
      </c>
      <c r="C869" s="135">
        <v>6607220</v>
      </c>
      <c r="D869" s="136" t="s">
        <v>1624</v>
      </c>
      <c r="E869" s="137">
        <v>5500</v>
      </c>
      <c r="F869" s="137">
        <v>5500</v>
      </c>
      <c r="G869" s="137">
        <v>0</v>
      </c>
      <c r="H869" s="137">
        <v>0</v>
      </c>
      <c r="I869" s="135"/>
      <c r="J869" s="138">
        <v>0</v>
      </c>
      <c r="K869" s="133" t="s">
        <v>1464</v>
      </c>
      <c r="L869" s="133">
        <v>722</v>
      </c>
      <c r="M869" s="139">
        <v>46073</v>
      </c>
      <c r="N869" s="140" t="s">
        <v>1801</v>
      </c>
      <c r="O869" s="134" t="s">
        <v>224</v>
      </c>
    </row>
    <row r="870" spans="1:15" x14ac:dyDescent="0.25">
      <c r="A870" s="133">
        <v>870</v>
      </c>
      <c r="B870" s="134" t="s">
        <v>1800</v>
      </c>
      <c r="C870" s="135">
        <v>6607220</v>
      </c>
      <c r="D870" s="136" t="s">
        <v>1624</v>
      </c>
      <c r="E870" s="137">
        <v>546010</v>
      </c>
      <c r="F870" s="137">
        <v>0</v>
      </c>
      <c r="G870" s="137">
        <v>546010</v>
      </c>
      <c r="H870" s="137">
        <v>0</v>
      </c>
      <c r="I870" s="135"/>
      <c r="J870" s="138">
        <v>0</v>
      </c>
      <c r="K870" s="133" t="s">
        <v>1464</v>
      </c>
      <c r="L870" s="133">
        <v>722</v>
      </c>
      <c r="M870" s="139">
        <v>46073</v>
      </c>
      <c r="N870" s="140" t="s">
        <v>1628</v>
      </c>
      <c r="O870" s="134" t="s">
        <v>227</v>
      </c>
    </row>
    <row r="871" spans="1:15" x14ac:dyDescent="0.25">
      <c r="A871" s="133">
        <v>871</v>
      </c>
      <c r="B871" s="134" t="s">
        <v>1802</v>
      </c>
      <c r="C871" s="135">
        <v>653367</v>
      </c>
      <c r="D871" s="136" t="s">
        <v>1624</v>
      </c>
      <c r="E871" s="137">
        <v>59299</v>
      </c>
      <c r="F871" s="137">
        <v>59299</v>
      </c>
      <c r="G871" s="137">
        <v>0</v>
      </c>
      <c r="H871" s="137">
        <v>0</v>
      </c>
      <c r="I871" s="135"/>
      <c r="J871" s="138">
        <v>59299</v>
      </c>
      <c r="K871" s="133" t="s">
        <v>1466</v>
      </c>
      <c r="L871" s="133">
        <v>722</v>
      </c>
      <c r="M871" s="139">
        <v>46073</v>
      </c>
      <c r="N871" s="140" t="s">
        <v>1803</v>
      </c>
      <c r="O871" s="134" t="s">
        <v>212</v>
      </c>
    </row>
    <row r="872" spans="1:15" x14ac:dyDescent="0.25">
      <c r="A872" s="133">
        <v>872</v>
      </c>
      <c r="B872" s="134" t="s">
        <v>1804</v>
      </c>
      <c r="C872" s="135">
        <v>502500</v>
      </c>
      <c r="D872" s="136" t="s">
        <v>1624</v>
      </c>
      <c r="E872" s="137">
        <v>502500</v>
      </c>
      <c r="F872" s="137">
        <v>0</v>
      </c>
      <c r="G872" s="137">
        <v>502500</v>
      </c>
      <c r="H872" s="137">
        <v>0</v>
      </c>
      <c r="I872" s="135"/>
      <c r="J872" s="138">
        <v>0</v>
      </c>
      <c r="K872" s="133" t="s">
        <v>1464</v>
      </c>
      <c r="L872" s="133">
        <v>722</v>
      </c>
      <c r="M872" s="139">
        <v>46073</v>
      </c>
      <c r="N872" s="140" t="s">
        <v>1628</v>
      </c>
      <c r="O872" s="134" t="s">
        <v>275</v>
      </c>
    </row>
    <row r="873" spans="1:15" x14ac:dyDescent="0.25">
      <c r="A873" s="133">
        <v>873</v>
      </c>
      <c r="B873" s="134" t="s">
        <v>1805</v>
      </c>
      <c r="C873" s="135">
        <v>636500</v>
      </c>
      <c r="D873" s="136" t="s">
        <v>1624</v>
      </c>
      <c r="E873" s="137">
        <v>268000</v>
      </c>
      <c r="F873" s="137">
        <v>0</v>
      </c>
      <c r="G873" s="137">
        <v>268000</v>
      </c>
      <c r="H873" s="137">
        <v>0</v>
      </c>
      <c r="I873" s="135"/>
      <c r="J873" s="138">
        <v>0</v>
      </c>
      <c r="K873" s="133" t="s">
        <v>1464</v>
      </c>
      <c r="L873" s="133">
        <v>722</v>
      </c>
      <c r="M873" s="139">
        <v>46073</v>
      </c>
      <c r="N873" s="140" t="s">
        <v>1628</v>
      </c>
      <c r="O873" s="134" t="s">
        <v>275</v>
      </c>
    </row>
    <row r="874" spans="1:15" x14ac:dyDescent="0.25">
      <c r="A874" s="133">
        <v>874</v>
      </c>
      <c r="B874" s="134" t="s">
        <v>1806</v>
      </c>
      <c r="C874" s="135">
        <v>670000</v>
      </c>
      <c r="D874" s="136" t="s">
        <v>1624</v>
      </c>
      <c r="E874" s="137">
        <v>301500</v>
      </c>
      <c r="F874" s="137">
        <v>0</v>
      </c>
      <c r="G874" s="137">
        <v>301500</v>
      </c>
      <c r="H874" s="137">
        <v>0</v>
      </c>
      <c r="I874" s="135"/>
      <c r="J874" s="138">
        <v>0</v>
      </c>
      <c r="K874" s="133" t="s">
        <v>1464</v>
      </c>
      <c r="L874" s="133">
        <v>722</v>
      </c>
      <c r="M874" s="139">
        <v>46073</v>
      </c>
      <c r="N874" s="140" t="s">
        <v>1628</v>
      </c>
      <c r="O874" s="134" t="s">
        <v>275</v>
      </c>
    </row>
    <row r="875" spans="1:15" x14ac:dyDescent="0.25">
      <c r="A875" s="133">
        <v>875</v>
      </c>
      <c r="B875" s="134" t="s">
        <v>1807</v>
      </c>
      <c r="C875" s="135">
        <v>502500</v>
      </c>
      <c r="D875" s="136" t="s">
        <v>1624</v>
      </c>
      <c r="E875" s="137">
        <v>502500</v>
      </c>
      <c r="F875" s="137">
        <v>0</v>
      </c>
      <c r="G875" s="137">
        <v>502500</v>
      </c>
      <c r="H875" s="137">
        <v>0</v>
      </c>
      <c r="I875" s="135"/>
      <c r="J875" s="138">
        <v>0</v>
      </c>
      <c r="K875" s="133" t="s">
        <v>1464</v>
      </c>
      <c r="L875" s="133">
        <v>722</v>
      </c>
      <c r="M875" s="139">
        <v>46073</v>
      </c>
      <c r="N875" s="140" t="s">
        <v>1628</v>
      </c>
      <c r="O875" s="134" t="s">
        <v>275</v>
      </c>
    </row>
    <row r="876" spans="1:15" x14ac:dyDescent="0.25">
      <c r="A876" s="133">
        <v>876</v>
      </c>
      <c r="B876" s="134" t="s">
        <v>1808</v>
      </c>
      <c r="C876" s="135">
        <v>12384213</v>
      </c>
      <c r="D876" s="136" t="s">
        <v>1624</v>
      </c>
      <c r="E876" s="137">
        <v>11398419</v>
      </c>
      <c r="F876" s="137">
        <v>11398419</v>
      </c>
      <c r="G876" s="137">
        <v>0</v>
      </c>
      <c r="H876" s="137">
        <v>0</v>
      </c>
      <c r="I876" s="135"/>
      <c r="J876" s="138">
        <v>11398419</v>
      </c>
      <c r="K876" s="133" t="s">
        <v>1466</v>
      </c>
      <c r="L876" s="133">
        <v>722</v>
      </c>
      <c r="M876" s="139">
        <v>46073</v>
      </c>
      <c r="N876" s="140" t="s">
        <v>1809</v>
      </c>
      <c r="O876" s="134" t="s">
        <v>1810</v>
      </c>
    </row>
    <row r="877" spans="1:15" x14ac:dyDescent="0.25">
      <c r="A877" s="133">
        <v>877</v>
      </c>
      <c r="B877" s="134" t="s">
        <v>1811</v>
      </c>
      <c r="C877" s="135">
        <v>12384213</v>
      </c>
      <c r="D877" s="136" t="s">
        <v>1624</v>
      </c>
      <c r="E877" s="137">
        <v>10667725</v>
      </c>
      <c r="F877" s="137">
        <v>10667725</v>
      </c>
      <c r="G877" s="137">
        <v>0</v>
      </c>
      <c r="H877" s="137">
        <v>0</v>
      </c>
      <c r="I877" s="135"/>
      <c r="J877" s="138">
        <v>10667725</v>
      </c>
      <c r="K877" s="133" t="s">
        <v>1466</v>
      </c>
      <c r="L877" s="133">
        <v>722</v>
      </c>
      <c r="M877" s="139">
        <v>46073</v>
      </c>
      <c r="N877" s="140" t="s">
        <v>1812</v>
      </c>
      <c r="O877" s="134" t="s">
        <v>1810</v>
      </c>
    </row>
    <row r="878" spans="1:15" x14ac:dyDescent="0.25">
      <c r="A878" s="133">
        <v>878</v>
      </c>
      <c r="B878" s="134" t="s">
        <v>1813</v>
      </c>
      <c r="C878" s="135">
        <v>12384178</v>
      </c>
      <c r="D878" s="136" t="s">
        <v>1624</v>
      </c>
      <c r="E878" s="137">
        <v>11423007</v>
      </c>
      <c r="F878" s="137">
        <v>11423007</v>
      </c>
      <c r="G878" s="137">
        <v>0</v>
      </c>
      <c r="H878" s="137">
        <v>0</v>
      </c>
      <c r="I878" s="135"/>
      <c r="J878" s="138">
        <v>11423007</v>
      </c>
      <c r="K878" s="133" t="s">
        <v>1466</v>
      </c>
      <c r="L878" s="133">
        <v>722</v>
      </c>
      <c r="M878" s="139">
        <v>46073</v>
      </c>
      <c r="N878" s="140" t="s">
        <v>1814</v>
      </c>
      <c r="O878" s="134" t="s">
        <v>1810</v>
      </c>
    </row>
    <row r="879" spans="1:15" x14ac:dyDescent="0.25">
      <c r="A879" s="133">
        <v>879</v>
      </c>
      <c r="B879" s="134" t="s">
        <v>1815</v>
      </c>
      <c r="C879" s="135">
        <v>329900</v>
      </c>
      <c r="D879" s="136" t="s">
        <v>1624</v>
      </c>
      <c r="E879" s="137">
        <v>200</v>
      </c>
      <c r="F879" s="137">
        <v>200</v>
      </c>
      <c r="G879" s="137">
        <v>0</v>
      </c>
      <c r="H879" s="137">
        <v>0</v>
      </c>
      <c r="I879" s="135"/>
      <c r="J879" s="138">
        <v>0</v>
      </c>
      <c r="K879" s="133" t="s">
        <v>1464</v>
      </c>
      <c r="L879" s="133">
        <v>722</v>
      </c>
      <c r="M879" s="139">
        <v>46073</v>
      </c>
      <c r="N879" s="140" t="s">
        <v>1816</v>
      </c>
      <c r="O879" s="134" t="s">
        <v>212</v>
      </c>
    </row>
    <row r="880" spans="1:15" x14ac:dyDescent="0.25">
      <c r="A880" s="133">
        <v>880</v>
      </c>
      <c r="B880" s="134" t="s">
        <v>1817</v>
      </c>
      <c r="C880" s="135">
        <v>804000</v>
      </c>
      <c r="D880" s="136" t="s">
        <v>1624</v>
      </c>
      <c r="E880" s="137">
        <v>301500</v>
      </c>
      <c r="F880" s="137">
        <v>0</v>
      </c>
      <c r="G880" s="137">
        <v>301500</v>
      </c>
      <c r="H880" s="137">
        <v>0</v>
      </c>
      <c r="I880" s="135"/>
      <c r="J880" s="138">
        <v>0</v>
      </c>
      <c r="K880" s="133" t="s">
        <v>1464</v>
      </c>
      <c r="L880" s="133">
        <v>722</v>
      </c>
      <c r="M880" s="139">
        <v>46073</v>
      </c>
      <c r="N880" s="140" t="s">
        <v>1628</v>
      </c>
      <c r="O880" s="134" t="s">
        <v>275</v>
      </c>
    </row>
    <row r="881" spans="1:15" x14ac:dyDescent="0.25">
      <c r="A881" s="133">
        <v>881</v>
      </c>
      <c r="B881" s="134" t="s">
        <v>1818</v>
      </c>
      <c r="C881" s="135">
        <v>95600</v>
      </c>
      <c r="D881" s="136" t="s">
        <v>1624</v>
      </c>
      <c r="E881" s="137">
        <v>300</v>
      </c>
      <c r="F881" s="137">
        <v>300</v>
      </c>
      <c r="G881" s="137">
        <v>0</v>
      </c>
      <c r="H881" s="137">
        <v>0</v>
      </c>
      <c r="I881" s="135"/>
      <c r="J881" s="138">
        <v>0</v>
      </c>
      <c r="K881" s="133" t="s">
        <v>1464</v>
      </c>
      <c r="L881" s="133">
        <v>722</v>
      </c>
      <c r="M881" s="139">
        <v>46073</v>
      </c>
      <c r="N881" s="140" t="s">
        <v>1819</v>
      </c>
      <c r="O881" s="134" t="s">
        <v>212</v>
      </c>
    </row>
    <row r="882" spans="1:15" x14ac:dyDescent="0.25">
      <c r="A882" s="133">
        <v>882</v>
      </c>
      <c r="B882" s="134" t="s">
        <v>1820</v>
      </c>
      <c r="C882" s="135">
        <v>95400</v>
      </c>
      <c r="D882" s="136" t="s">
        <v>1624</v>
      </c>
      <c r="E882" s="137">
        <v>100</v>
      </c>
      <c r="F882" s="137">
        <v>100</v>
      </c>
      <c r="G882" s="137">
        <v>0</v>
      </c>
      <c r="H882" s="137">
        <v>0</v>
      </c>
      <c r="I882" s="135"/>
      <c r="J882" s="138">
        <v>0</v>
      </c>
      <c r="K882" s="133" t="s">
        <v>1464</v>
      </c>
      <c r="L882" s="133">
        <v>722</v>
      </c>
      <c r="M882" s="139">
        <v>46073</v>
      </c>
      <c r="N882" s="140" t="s">
        <v>1821</v>
      </c>
      <c r="O882" s="134" t="s">
        <v>212</v>
      </c>
    </row>
    <row r="883" spans="1:15" x14ac:dyDescent="0.25">
      <c r="A883" s="133">
        <v>883</v>
      </c>
      <c r="B883" s="134" t="s">
        <v>1822</v>
      </c>
      <c r="C883" s="135">
        <v>95400</v>
      </c>
      <c r="D883" s="136" t="s">
        <v>1624</v>
      </c>
      <c r="E883" s="137">
        <v>100</v>
      </c>
      <c r="F883" s="137">
        <v>100</v>
      </c>
      <c r="G883" s="137">
        <v>0</v>
      </c>
      <c r="H883" s="137">
        <v>0</v>
      </c>
      <c r="I883" s="135"/>
      <c r="J883" s="138">
        <v>0</v>
      </c>
      <c r="K883" s="133" t="s">
        <v>1464</v>
      </c>
      <c r="L883" s="133">
        <v>722</v>
      </c>
      <c r="M883" s="139">
        <v>46073</v>
      </c>
      <c r="N883" s="140" t="s">
        <v>1823</v>
      </c>
      <c r="O883" s="134" t="s">
        <v>212</v>
      </c>
    </row>
    <row r="884" spans="1:15" x14ac:dyDescent="0.25">
      <c r="A884" s="133">
        <v>884</v>
      </c>
      <c r="B884" s="134" t="s">
        <v>1824</v>
      </c>
      <c r="C884" s="135">
        <v>301500</v>
      </c>
      <c r="D884" s="136" t="s">
        <v>1624</v>
      </c>
      <c r="E884" s="137">
        <v>301500</v>
      </c>
      <c r="F884" s="137">
        <v>0</v>
      </c>
      <c r="G884" s="137">
        <v>301500</v>
      </c>
      <c r="H884" s="137">
        <v>0</v>
      </c>
      <c r="I884" s="135"/>
      <c r="J884" s="138">
        <v>0</v>
      </c>
      <c r="K884" s="133" t="s">
        <v>1464</v>
      </c>
      <c r="L884" s="133">
        <v>722</v>
      </c>
      <c r="M884" s="139">
        <v>46073</v>
      </c>
      <c r="N884" s="140" t="s">
        <v>1628</v>
      </c>
      <c r="O884" s="134" t="s">
        <v>275</v>
      </c>
    </row>
    <row r="885" spans="1:15" x14ac:dyDescent="0.25">
      <c r="A885" s="133">
        <v>885</v>
      </c>
      <c r="B885" s="134" t="s">
        <v>1825</v>
      </c>
      <c r="C885" s="135">
        <v>3754800</v>
      </c>
      <c r="D885" s="136" t="s">
        <v>1826</v>
      </c>
      <c r="E885" s="137">
        <v>11300</v>
      </c>
      <c r="F885" s="137">
        <v>11300</v>
      </c>
      <c r="G885" s="137">
        <v>0</v>
      </c>
      <c r="H885" s="137">
        <v>0</v>
      </c>
      <c r="I885" s="135"/>
      <c r="J885" s="138"/>
      <c r="K885" s="133"/>
      <c r="L885" s="133">
        <v>736</v>
      </c>
      <c r="M885" s="139">
        <v>46092</v>
      </c>
      <c r="N885" s="140" t="s">
        <v>1827</v>
      </c>
      <c r="O885" s="134" t="s">
        <v>212</v>
      </c>
    </row>
    <row r="886" spans="1:15" x14ac:dyDescent="0.25">
      <c r="A886" s="133">
        <v>886</v>
      </c>
      <c r="B886" s="134" t="s">
        <v>1828</v>
      </c>
      <c r="C886" s="135">
        <v>13103610</v>
      </c>
      <c r="D886" s="136" t="s">
        <v>1826</v>
      </c>
      <c r="E886" s="137">
        <v>16100</v>
      </c>
      <c r="F886" s="137">
        <v>0</v>
      </c>
      <c r="G886" s="137">
        <v>16100</v>
      </c>
      <c r="H886" s="137">
        <v>0</v>
      </c>
      <c r="I886" s="135"/>
      <c r="J886" s="138"/>
      <c r="K886" s="133"/>
      <c r="L886" s="133">
        <v>736</v>
      </c>
      <c r="M886" s="139">
        <v>46092</v>
      </c>
      <c r="N886" s="140" t="s">
        <v>1829</v>
      </c>
      <c r="O886" s="134" t="s">
        <v>241</v>
      </c>
    </row>
    <row r="887" spans="1:15" x14ac:dyDescent="0.25">
      <c r="A887" s="133">
        <v>887</v>
      </c>
      <c r="B887" s="134" t="s">
        <v>1830</v>
      </c>
      <c r="C887" s="135">
        <v>10104420</v>
      </c>
      <c r="D887" s="136" t="s">
        <v>1826</v>
      </c>
      <c r="E887" s="137">
        <v>28300</v>
      </c>
      <c r="F887" s="137">
        <v>28300</v>
      </c>
      <c r="G887" s="137">
        <v>0</v>
      </c>
      <c r="H887" s="137">
        <v>0</v>
      </c>
      <c r="I887" s="135"/>
      <c r="J887" s="138"/>
      <c r="K887" s="133"/>
      <c r="L887" s="133">
        <v>736</v>
      </c>
      <c r="M887" s="139">
        <v>46092</v>
      </c>
      <c r="N887" s="140" t="s">
        <v>1831</v>
      </c>
      <c r="O887" s="134" t="s">
        <v>241</v>
      </c>
    </row>
    <row r="888" spans="1:15" x14ac:dyDescent="0.25">
      <c r="A888" s="133">
        <v>888</v>
      </c>
      <c r="B888" s="134" t="s">
        <v>1828</v>
      </c>
      <c r="C888" s="135">
        <v>13103610</v>
      </c>
      <c r="D888" s="136" t="s">
        <v>1826</v>
      </c>
      <c r="E888" s="137">
        <v>80900</v>
      </c>
      <c r="F888" s="137">
        <v>0</v>
      </c>
      <c r="G888" s="137">
        <v>80900</v>
      </c>
      <c r="H888" s="137">
        <v>0</v>
      </c>
      <c r="I888" s="135"/>
      <c r="J888" s="138"/>
      <c r="K888" s="133"/>
      <c r="L888" s="133">
        <v>736</v>
      </c>
      <c r="M888" s="139">
        <v>46092</v>
      </c>
      <c r="N888" s="140" t="s">
        <v>1829</v>
      </c>
      <c r="O888" s="134" t="s">
        <v>241</v>
      </c>
    </row>
    <row r="889" spans="1:15" x14ac:dyDescent="0.25">
      <c r="A889" s="133">
        <v>889</v>
      </c>
      <c r="B889" s="134" t="s">
        <v>1830</v>
      </c>
      <c r="C889" s="135">
        <v>10104420</v>
      </c>
      <c r="D889" s="136" t="s">
        <v>1826</v>
      </c>
      <c r="E889" s="137">
        <v>55600</v>
      </c>
      <c r="F889" s="137">
        <v>55600</v>
      </c>
      <c r="G889" s="137">
        <v>0</v>
      </c>
      <c r="H889" s="137">
        <v>0</v>
      </c>
      <c r="I889" s="135"/>
      <c r="J889" s="138"/>
      <c r="K889" s="133"/>
      <c r="L889" s="133">
        <v>736</v>
      </c>
      <c r="M889" s="139">
        <v>46092</v>
      </c>
      <c r="N889" s="140" t="s">
        <v>1832</v>
      </c>
      <c r="O889" s="134" t="s">
        <v>241</v>
      </c>
    </row>
    <row r="890" spans="1:15" x14ac:dyDescent="0.25">
      <c r="A890" s="133">
        <v>890</v>
      </c>
      <c r="B890" s="134" t="s">
        <v>1830</v>
      </c>
      <c r="C890" s="135">
        <v>10104420</v>
      </c>
      <c r="D890" s="136" t="s">
        <v>1826</v>
      </c>
      <c r="E890" s="137">
        <v>37900</v>
      </c>
      <c r="F890" s="137">
        <v>37900</v>
      </c>
      <c r="G890" s="137">
        <v>0</v>
      </c>
      <c r="H890" s="137">
        <v>0</v>
      </c>
      <c r="I890" s="135"/>
      <c r="J890" s="138"/>
      <c r="K890" s="133"/>
      <c r="L890" s="133">
        <v>736</v>
      </c>
      <c r="M890" s="139">
        <v>46092</v>
      </c>
      <c r="N890" s="140" t="s">
        <v>1833</v>
      </c>
      <c r="O890" s="134" t="s">
        <v>241</v>
      </c>
    </row>
    <row r="891" spans="1:15" x14ac:dyDescent="0.25">
      <c r="A891" s="133">
        <v>891</v>
      </c>
      <c r="B891" s="134" t="s">
        <v>1828</v>
      </c>
      <c r="C891" s="135">
        <v>13103610</v>
      </c>
      <c r="D891" s="136" t="s">
        <v>1826</v>
      </c>
      <c r="E891" s="137">
        <v>2963</v>
      </c>
      <c r="F891" s="137">
        <v>2963</v>
      </c>
      <c r="G891" s="137">
        <v>0</v>
      </c>
      <c r="H891" s="137">
        <v>0</v>
      </c>
      <c r="I891" s="135"/>
      <c r="J891" s="138"/>
      <c r="K891" s="133"/>
      <c r="L891" s="133">
        <v>736</v>
      </c>
      <c r="M891" s="139">
        <v>46092</v>
      </c>
      <c r="N891" s="140" t="s">
        <v>1834</v>
      </c>
      <c r="O891" s="134" t="s">
        <v>1016</v>
      </c>
    </row>
    <row r="892" spans="1:15" x14ac:dyDescent="0.25">
      <c r="A892" s="133">
        <v>892</v>
      </c>
      <c r="B892" s="134" t="s">
        <v>1828</v>
      </c>
      <c r="C892" s="135">
        <v>13103610</v>
      </c>
      <c r="D892" s="136" t="s">
        <v>1826</v>
      </c>
      <c r="E892" s="137">
        <v>51800</v>
      </c>
      <c r="F892" s="137">
        <v>23142</v>
      </c>
      <c r="G892" s="137">
        <v>28658</v>
      </c>
      <c r="H892" s="137">
        <v>0</v>
      </c>
      <c r="I892" s="135"/>
      <c r="J892" s="138"/>
      <c r="K892" s="133"/>
      <c r="L892" s="133">
        <v>736</v>
      </c>
      <c r="M892" s="139">
        <v>46092</v>
      </c>
      <c r="N892" s="140" t="s">
        <v>1835</v>
      </c>
      <c r="O892" s="134" t="s">
        <v>271</v>
      </c>
    </row>
    <row r="893" spans="1:15" x14ac:dyDescent="0.25">
      <c r="A893" s="133">
        <v>893</v>
      </c>
      <c r="B893" s="134" t="s">
        <v>1828</v>
      </c>
      <c r="C893" s="135">
        <v>13103610</v>
      </c>
      <c r="D893" s="136" t="s">
        <v>1826</v>
      </c>
      <c r="E893" s="137">
        <v>25900</v>
      </c>
      <c r="F893" s="137">
        <v>11571</v>
      </c>
      <c r="G893" s="137">
        <v>14329</v>
      </c>
      <c r="H893" s="137">
        <v>0</v>
      </c>
      <c r="I893" s="135"/>
      <c r="J893" s="138"/>
      <c r="K893" s="133"/>
      <c r="L893" s="133">
        <v>736</v>
      </c>
      <c r="M893" s="139">
        <v>46092</v>
      </c>
      <c r="N893" s="140" t="s">
        <v>1836</v>
      </c>
      <c r="O893" s="134" t="s">
        <v>271</v>
      </c>
    </row>
    <row r="894" spans="1:15" x14ac:dyDescent="0.25">
      <c r="A894" s="133">
        <v>894</v>
      </c>
      <c r="B894" s="134" t="s">
        <v>1837</v>
      </c>
      <c r="C894" s="135">
        <v>11759761</v>
      </c>
      <c r="D894" s="136" t="s">
        <v>1826</v>
      </c>
      <c r="E894" s="137">
        <v>6800</v>
      </c>
      <c r="F894" s="137">
        <v>6800</v>
      </c>
      <c r="G894" s="137">
        <v>0</v>
      </c>
      <c r="H894" s="137">
        <v>0</v>
      </c>
      <c r="I894" s="135"/>
      <c r="J894" s="138"/>
      <c r="K894" s="133"/>
      <c r="L894" s="133">
        <v>736</v>
      </c>
      <c r="M894" s="139">
        <v>46092</v>
      </c>
      <c r="N894" s="140" t="s">
        <v>1838</v>
      </c>
      <c r="O894" s="134" t="s">
        <v>212</v>
      </c>
    </row>
    <row r="895" spans="1:15" x14ac:dyDescent="0.25">
      <c r="A895" s="133">
        <v>895</v>
      </c>
      <c r="B895" s="134" t="s">
        <v>1830</v>
      </c>
      <c r="C895" s="135">
        <v>10104420</v>
      </c>
      <c r="D895" s="136" t="s">
        <v>1826</v>
      </c>
      <c r="E895" s="137">
        <v>37900</v>
      </c>
      <c r="F895" s="137">
        <v>37900</v>
      </c>
      <c r="G895" s="137">
        <v>0</v>
      </c>
      <c r="H895" s="137">
        <v>0</v>
      </c>
      <c r="I895" s="135"/>
      <c r="J895" s="138"/>
      <c r="K895" s="133"/>
      <c r="L895" s="133">
        <v>736</v>
      </c>
      <c r="M895" s="139">
        <v>46092</v>
      </c>
      <c r="N895" s="140" t="s">
        <v>1839</v>
      </c>
      <c r="O895" s="134" t="s">
        <v>241</v>
      </c>
    </row>
    <row r="896" spans="1:15" x14ac:dyDescent="0.25">
      <c r="A896" s="133">
        <v>896</v>
      </c>
      <c r="B896" s="134" t="s">
        <v>1828</v>
      </c>
      <c r="C896" s="135">
        <v>13103610</v>
      </c>
      <c r="D896" s="136" t="s">
        <v>1826</v>
      </c>
      <c r="E896" s="137">
        <v>2004</v>
      </c>
      <c r="F896" s="137">
        <v>2004</v>
      </c>
      <c r="G896" s="137">
        <v>0</v>
      </c>
      <c r="H896" s="137">
        <v>0</v>
      </c>
      <c r="I896" s="135"/>
      <c r="J896" s="138"/>
      <c r="K896" s="133"/>
      <c r="L896" s="133">
        <v>736</v>
      </c>
      <c r="M896" s="139">
        <v>46092</v>
      </c>
      <c r="N896" s="140" t="s">
        <v>1840</v>
      </c>
      <c r="O896" s="134" t="s">
        <v>1016</v>
      </c>
    </row>
    <row r="897" spans="1:15" x14ac:dyDescent="0.25">
      <c r="A897" s="133">
        <v>897</v>
      </c>
      <c r="B897" s="134" t="s">
        <v>1828</v>
      </c>
      <c r="C897" s="135">
        <v>13103610</v>
      </c>
      <c r="D897" s="136" t="s">
        <v>1826</v>
      </c>
      <c r="E897" s="137">
        <v>2004</v>
      </c>
      <c r="F897" s="137">
        <v>2004</v>
      </c>
      <c r="G897" s="137">
        <v>0</v>
      </c>
      <c r="H897" s="137">
        <v>0</v>
      </c>
      <c r="I897" s="135"/>
      <c r="J897" s="138"/>
      <c r="K897" s="133"/>
      <c r="L897" s="133">
        <v>736</v>
      </c>
      <c r="M897" s="139">
        <v>46092</v>
      </c>
      <c r="N897" s="140" t="s">
        <v>1840</v>
      </c>
      <c r="O897" s="134" t="s">
        <v>1016</v>
      </c>
    </row>
    <row r="898" spans="1:15" x14ac:dyDescent="0.25">
      <c r="A898" s="133">
        <v>898</v>
      </c>
      <c r="B898" s="134" t="s">
        <v>1837</v>
      </c>
      <c r="C898" s="135">
        <v>11759761</v>
      </c>
      <c r="D898" s="136" t="s">
        <v>1826</v>
      </c>
      <c r="E898" s="137">
        <v>516400</v>
      </c>
      <c r="F898" s="137">
        <v>0</v>
      </c>
      <c r="G898" s="137">
        <v>516400</v>
      </c>
      <c r="H898" s="137">
        <v>0</v>
      </c>
      <c r="I898" s="135"/>
      <c r="J898" s="138"/>
      <c r="K898" s="133"/>
      <c r="L898" s="133">
        <v>736</v>
      </c>
      <c r="M898" s="139">
        <v>46092</v>
      </c>
      <c r="N898" s="140" t="s">
        <v>1829</v>
      </c>
      <c r="O898" s="134" t="s">
        <v>212</v>
      </c>
    </row>
    <row r="899" spans="1:15" x14ac:dyDescent="0.25">
      <c r="A899" s="133">
        <v>899</v>
      </c>
      <c r="B899" s="134" t="s">
        <v>1837</v>
      </c>
      <c r="C899" s="135">
        <v>11759761</v>
      </c>
      <c r="D899" s="136" t="s">
        <v>1826</v>
      </c>
      <c r="E899" s="137">
        <v>516400</v>
      </c>
      <c r="F899" s="137">
        <v>0</v>
      </c>
      <c r="G899" s="137">
        <v>516400</v>
      </c>
      <c r="H899" s="137">
        <v>0</v>
      </c>
      <c r="I899" s="135"/>
      <c r="J899" s="138"/>
      <c r="K899" s="133"/>
      <c r="L899" s="133">
        <v>736</v>
      </c>
      <c r="M899" s="139">
        <v>46092</v>
      </c>
      <c r="N899" s="140" t="s">
        <v>1829</v>
      </c>
      <c r="O899" s="134" t="s">
        <v>212</v>
      </c>
    </row>
    <row r="900" spans="1:15" x14ac:dyDescent="0.25">
      <c r="A900" s="133">
        <v>900</v>
      </c>
      <c r="B900" s="134" t="s">
        <v>1828</v>
      </c>
      <c r="C900" s="135">
        <v>13103610</v>
      </c>
      <c r="D900" s="136" t="s">
        <v>1826</v>
      </c>
      <c r="E900" s="137">
        <v>73500</v>
      </c>
      <c r="F900" s="137">
        <v>0</v>
      </c>
      <c r="G900" s="137">
        <v>73500</v>
      </c>
      <c r="H900" s="137">
        <v>0</v>
      </c>
      <c r="I900" s="135"/>
      <c r="J900" s="138"/>
      <c r="K900" s="133"/>
      <c r="L900" s="133">
        <v>736</v>
      </c>
      <c r="M900" s="139">
        <v>46092</v>
      </c>
      <c r="N900" s="140" t="s">
        <v>1829</v>
      </c>
      <c r="O900" s="134" t="s">
        <v>241</v>
      </c>
    </row>
    <row r="901" spans="1:15" x14ac:dyDescent="0.25">
      <c r="A901" s="133">
        <v>901</v>
      </c>
      <c r="B901" s="134" t="s">
        <v>1830</v>
      </c>
      <c r="C901" s="135">
        <v>10104420</v>
      </c>
      <c r="D901" s="136" t="s">
        <v>1826</v>
      </c>
      <c r="E901" s="137">
        <v>73500</v>
      </c>
      <c r="F901" s="137">
        <v>0</v>
      </c>
      <c r="G901" s="137">
        <v>73500</v>
      </c>
      <c r="H901" s="137">
        <v>0</v>
      </c>
      <c r="I901" s="135"/>
      <c r="J901" s="138"/>
      <c r="K901" s="133"/>
      <c r="L901" s="133">
        <v>736</v>
      </c>
      <c r="M901" s="139">
        <v>46092</v>
      </c>
      <c r="N901" s="140" t="s">
        <v>1829</v>
      </c>
      <c r="O901" s="134" t="s">
        <v>241</v>
      </c>
    </row>
    <row r="902" spans="1:15" x14ac:dyDescent="0.25">
      <c r="A902" s="133">
        <v>902</v>
      </c>
      <c r="B902" s="134" t="s">
        <v>1830</v>
      </c>
      <c r="C902" s="135">
        <v>10104420</v>
      </c>
      <c r="D902" s="136" t="s">
        <v>1826</v>
      </c>
      <c r="E902" s="137">
        <v>73500</v>
      </c>
      <c r="F902" s="137">
        <v>0</v>
      </c>
      <c r="G902" s="137">
        <v>73500</v>
      </c>
      <c r="H902" s="137">
        <v>0</v>
      </c>
      <c r="I902" s="135"/>
      <c r="J902" s="138"/>
      <c r="K902" s="133"/>
      <c r="L902" s="133">
        <v>736</v>
      </c>
      <c r="M902" s="139">
        <v>46092</v>
      </c>
      <c r="N902" s="140" t="s">
        <v>1829</v>
      </c>
      <c r="O902" s="134" t="s">
        <v>241</v>
      </c>
    </row>
    <row r="903" spans="1:15" x14ac:dyDescent="0.25">
      <c r="A903" s="133">
        <v>903</v>
      </c>
      <c r="B903" s="134" t="s">
        <v>1828</v>
      </c>
      <c r="C903" s="135">
        <v>13103610</v>
      </c>
      <c r="D903" s="136" t="s">
        <v>1826</v>
      </c>
      <c r="E903" s="137">
        <v>268600</v>
      </c>
      <c r="F903" s="137">
        <v>0</v>
      </c>
      <c r="G903" s="137">
        <v>268600</v>
      </c>
      <c r="H903" s="137">
        <v>0</v>
      </c>
      <c r="I903" s="135"/>
      <c r="J903" s="138"/>
      <c r="K903" s="133"/>
      <c r="L903" s="133">
        <v>736</v>
      </c>
      <c r="M903" s="139">
        <v>46092</v>
      </c>
      <c r="N903" s="140" t="s">
        <v>1829</v>
      </c>
      <c r="O903" s="134" t="s">
        <v>275</v>
      </c>
    </row>
    <row r="904" spans="1:15" x14ac:dyDescent="0.25">
      <c r="A904" s="133">
        <v>904</v>
      </c>
      <c r="B904" s="134" t="s">
        <v>1830</v>
      </c>
      <c r="C904" s="135">
        <v>10104420</v>
      </c>
      <c r="D904" s="136" t="s">
        <v>1826</v>
      </c>
      <c r="E904" s="137">
        <v>17400</v>
      </c>
      <c r="F904" s="137">
        <v>17400</v>
      </c>
      <c r="G904" s="137">
        <v>0</v>
      </c>
      <c r="H904" s="137">
        <v>0</v>
      </c>
      <c r="I904" s="135"/>
      <c r="J904" s="138"/>
      <c r="K904" s="133"/>
      <c r="L904" s="133">
        <v>736</v>
      </c>
      <c r="M904" s="139">
        <v>46092</v>
      </c>
      <c r="N904" s="140" t="s">
        <v>1841</v>
      </c>
      <c r="O904" s="134" t="s">
        <v>241</v>
      </c>
    </row>
    <row r="905" spans="1:15" x14ac:dyDescent="0.25">
      <c r="A905" s="133">
        <v>905</v>
      </c>
      <c r="B905" s="134" t="s">
        <v>1828</v>
      </c>
      <c r="C905" s="135">
        <v>13103610</v>
      </c>
      <c r="D905" s="136" t="s">
        <v>1826</v>
      </c>
      <c r="E905" s="137">
        <v>998400</v>
      </c>
      <c r="F905" s="137">
        <v>0</v>
      </c>
      <c r="G905" s="137">
        <v>998400</v>
      </c>
      <c r="H905" s="137">
        <v>0</v>
      </c>
      <c r="I905" s="135"/>
      <c r="J905" s="138"/>
      <c r="K905" s="133"/>
      <c r="L905" s="133">
        <v>736</v>
      </c>
      <c r="M905" s="139">
        <v>46092</v>
      </c>
      <c r="N905" s="140" t="s">
        <v>1829</v>
      </c>
      <c r="O905" s="134" t="s">
        <v>241</v>
      </c>
    </row>
    <row r="906" spans="1:15" x14ac:dyDescent="0.25">
      <c r="A906" s="133">
        <v>906</v>
      </c>
      <c r="B906" s="134" t="s">
        <v>1837</v>
      </c>
      <c r="C906" s="135">
        <v>11759761</v>
      </c>
      <c r="D906" s="136" t="s">
        <v>1826</v>
      </c>
      <c r="E906" s="137">
        <v>998400</v>
      </c>
      <c r="F906" s="137">
        <v>0</v>
      </c>
      <c r="G906" s="137">
        <v>0</v>
      </c>
      <c r="H906" s="137">
        <v>998400</v>
      </c>
      <c r="I906" s="135"/>
      <c r="J906" s="138"/>
      <c r="K906" s="133"/>
      <c r="L906" s="133">
        <v>736</v>
      </c>
      <c r="M906" s="139">
        <v>46092</v>
      </c>
      <c r="N906" s="140" t="s">
        <v>1842</v>
      </c>
      <c r="O906" s="134" t="s">
        <v>241</v>
      </c>
    </row>
    <row r="907" spans="1:15" x14ac:dyDescent="0.25">
      <c r="A907" s="133">
        <v>907</v>
      </c>
      <c r="B907" s="134" t="s">
        <v>1830</v>
      </c>
      <c r="C907" s="135">
        <v>10104420</v>
      </c>
      <c r="D907" s="136" t="s">
        <v>1826</v>
      </c>
      <c r="E907" s="137">
        <v>20900</v>
      </c>
      <c r="F907" s="137">
        <v>20900</v>
      </c>
      <c r="G907" s="137">
        <v>0</v>
      </c>
      <c r="H907" s="137">
        <v>0</v>
      </c>
      <c r="I907" s="135"/>
      <c r="J907" s="138"/>
      <c r="K907" s="133"/>
      <c r="L907" s="133">
        <v>736</v>
      </c>
      <c r="M907" s="139">
        <v>46092</v>
      </c>
      <c r="N907" s="140" t="s">
        <v>1843</v>
      </c>
      <c r="O907" s="134" t="s">
        <v>241</v>
      </c>
    </row>
    <row r="908" spans="1:15" x14ac:dyDescent="0.25">
      <c r="A908" s="133">
        <v>908</v>
      </c>
      <c r="B908" s="134" t="s">
        <v>1828</v>
      </c>
      <c r="C908" s="135">
        <v>13103610</v>
      </c>
      <c r="D908" s="136" t="s">
        <v>1826</v>
      </c>
      <c r="E908" s="137">
        <v>1241</v>
      </c>
      <c r="F908" s="137">
        <v>0</v>
      </c>
      <c r="G908" s="137">
        <v>1241</v>
      </c>
      <c r="H908" s="137">
        <v>0</v>
      </c>
      <c r="I908" s="135"/>
      <c r="J908" s="138"/>
      <c r="K908" s="133"/>
      <c r="L908" s="133">
        <v>736</v>
      </c>
      <c r="M908" s="139">
        <v>46092</v>
      </c>
      <c r="N908" s="140" t="s">
        <v>1829</v>
      </c>
      <c r="O908" s="134" t="s">
        <v>1016</v>
      </c>
    </row>
    <row r="909" spans="1:15" x14ac:dyDescent="0.25">
      <c r="A909" s="133">
        <v>909</v>
      </c>
      <c r="B909" s="134" t="s">
        <v>1837</v>
      </c>
      <c r="C909" s="135">
        <v>11759761</v>
      </c>
      <c r="D909" s="136" t="s">
        <v>1826</v>
      </c>
      <c r="E909" s="137">
        <v>758700</v>
      </c>
      <c r="F909" s="137">
        <v>0</v>
      </c>
      <c r="G909" s="137">
        <v>0</v>
      </c>
      <c r="H909" s="137">
        <v>758700</v>
      </c>
      <c r="I909" s="135"/>
      <c r="J909" s="138"/>
      <c r="K909" s="133"/>
      <c r="L909" s="133">
        <v>736</v>
      </c>
      <c r="M909" s="139">
        <v>46092</v>
      </c>
      <c r="N909" s="140" t="s">
        <v>1844</v>
      </c>
      <c r="O909" s="134" t="s">
        <v>241</v>
      </c>
    </row>
    <row r="910" spans="1:15" x14ac:dyDescent="0.25">
      <c r="A910" s="133">
        <v>910</v>
      </c>
      <c r="B910" s="134" t="s">
        <v>1830</v>
      </c>
      <c r="C910" s="135">
        <v>10104420</v>
      </c>
      <c r="D910" s="136" t="s">
        <v>1826</v>
      </c>
      <c r="E910" s="137">
        <v>134300</v>
      </c>
      <c r="F910" s="137">
        <v>0</v>
      </c>
      <c r="G910" s="137">
        <v>134300</v>
      </c>
      <c r="H910" s="137">
        <v>0</v>
      </c>
      <c r="I910" s="135"/>
      <c r="J910" s="138"/>
      <c r="K910" s="133"/>
      <c r="L910" s="133">
        <v>736</v>
      </c>
      <c r="M910" s="139">
        <v>46092</v>
      </c>
      <c r="N910" s="140" t="s">
        <v>1829</v>
      </c>
      <c r="O910" s="134" t="s">
        <v>1611</v>
      </c>
    </row>
    <row r="911" spans="1:15" x14ac:dyDescent="0.25">
      <c r="A911" s="133">
        <v>911</v>
      </c>
      <c r="B911" s="134" t="s">
        <v>1830</v>
      </c>
      <c r="C911" s="135">
        <v>10104420</v>
      </c>
      <c r="D911" s="136" t="s">
        <v>1826</v>
      </c>
      <c r="E911" s="137">
        <v>23100</v>
      </c>
      <c r="F911" s="137">
        <v>23100</v>
      </c>
      <c r="G911" s="137">
        <v>0</v>
      </c>
      <c r="H911" s="137">
        <v>0</v>
      </c>
      <c r="I911" s="135"/>
      <c r="J911" s="138"/>
      <c r="K911" s="133"/>
      <c r="L911" s="133">
        <v>736</v>
      </c>
      <c r="M911" s="139">
        <v>46092</v>
      </c>
      <c r="N911" s="140" t="s">
        <v>1845</v>
      </c>
      <c r="O911" s="134" t="s">
        <v>241</v>
      </c>
    </row>
    <row r="912" spans="1:15" x14ac:dyDescent="0.25">
      <c r="A912" s="133">
        <v>912</v>
      </c>
      <c r="B912" s="134" t="s">
        <v>1830</v>
      </c>
      <c r="C912" s="135">
        <v>10104420</v>
      </c>
      <c r="D912" s="136" t="s">
        <v>1826</v>
      </c>
      <c r="E912" s="137">
        <v>115500</v>
      </c>
      <c r="F912" s="137">
        <v>115500</v>
      </c>
      <c r="G912" s="137">
        <v>0</v>
      </c>
      <c r="H912" s="137">
        <v>0</v>
      </c>
      <c r="I912" s="135"/>
      <c r="J912" s="138"/>
      <c r="K912" s="133"/>
      <c r="L912" s="133">
        <v>736</v>
      </c>
      <c r="M912" s="139">
        <v>46092</v>
      </c>
      <c r="N912" s="140" t="s">
        <v>1846</v>
      </c>
      <c r="O912" s="134" t="s">
        <v>1611</v>
      </c>
    </row>
    <row r="913" spans="1:15" x14ac:dyDescent="0.25">
      <c r="A913" s="133">
        <v>913</v>
      </c>
      <c r="B913" s="134" t="s">
        <v>1830</v>
      </c>
      <c r="C913" s="135">
        <v>10104420</v>
      </c>
      <c r="D913" s="136" t="s">
        <v>1826</v>
      </c>
      <c r="E913" s="137">
        <v>87300</v>
      </c>
      <c r="F913" s="137">
        <v>0</v>
      </c>
      <c r="G913" s="137">
        <v>87300</v>
      </c>
      <c r="H913" s="137">
        <v>0</v>
      </c>
      <c r="I913" s="135"/>
      <c r="J913" s="138"/>
      <c r="K913" s="133"/>
      <c r="L913" s="133">
        <v>736</v>
      </c>
      <c r="M913" s="139">
        <v>46092</v>
      </c>
      <c r="N913" s="140" t="s">
        <v>1829</v>
      </c>
      <c r="O913" s="134" t="s">
        <v>406</v>
      </c>
    </row>
    <row r="914" spans="1:15" x14ac:dyDescent="0.25">
      <c r="A914" s="133">
        <v>914</v>
      </c>
      <c r="B914" s="134" t="s">
        <v>1830</v>
      </c>
      <c r="C914" s="135">
        <v>10104420</v>
      </c>
      <c r="D914" s="136" t="s">
        <v>1826</v>
      </c>
      <c r="E914" s="137">
        <v>59600</v>
      </c>
      <c r="F914" s="137">
        <v>0</v>
      </c>
      <c r="G914" s="137">
        <v>59600</v>
      </c>
      <c r="H914" s="137">
        <v>0</v>
      </c>
      <c r="I914" s="135"/>
      <c r="J914" s="138"/>
      <c r="K914" s="133"/>
      <c r="L914" s="133">
        <v>736</v>
      </c>
      <c r="M914" s="139">
        <v>46092</v>
      </c>
      <c r="N914" s="140" t="s">
        <v>1829</v>
      </c>
      <c r="O914" s="134" t="s">
        <v>1611</v>
      </c>
    </row>
    <row r="915" spans="1:15" x14ac:dyDescent="0.25">
      <c r="A915" s="133">
        <v>915</v>
      </c>
      <c r="B915" s="134" t="s">
        <v>1830</v>
      </c>
      <c r="C915" s="135">
        <v>10104420</v>
      </c>
      <c r="D915" s="136" t="s">
        <v>1826</v>
      </c>
      <c r="E915" s="137">
        <v>36200</v>
      </c>
      <c r="F915" s="137">
        <v>0</v>
      </c>
      <c r="G915" s="137">
        <v>36200</v>
      </c>
      <c r="H915" s="137">
        <v>0</v>
      </c>
      <c r="I915" s="135"/>
      <c r="J915" s="138"/>
      <c r="K915" s="133"/>
      <c r="L915" s="133">
        <v>736</v>
      </c>
      <c r="M915" s="139">
        <v>46092</v>
      </c>
      <c r="N915" s="140" t="s">
        <v>1829</v>
      </c>
      <c r="O915" s="134" t="s">
        <v>241</v>
      </c>
    </row>
    <row r="916" spans="1:15" x14ac:dyDescent="0.25">
      <c r="A916" s="133">
        <v>916</v>
      </c>
      <c r="B916" s="134" t="s">
        <v>1828</v>
      </c>
      <c r="C916" s="135">
        <v>13103610</v>
      </c>
      <c r="D916" s="136" t="s">
        <v>1826</v>
      </c>
      <c r="E916" s="137">
        <v>119200</v>
      </c>
      <c r="F916" s="137">
        <v>0</v>
      </c>
      <c r="G916" s="137">
        <v>119200</v>
      </c>
      <c r="H916" s="137">
        <v>0</v>
      </c>
      <c r="I916" s="135"/>
      <c r="J916" s="138"/>
      <c r="K916" s="133"/>
      <c r="L916" s="133">
        <v>736</v>
      </c>
      <c r="M916" s="139">
        <v>46092</v>
      </c>
      <c r="N916" s="140" t="s">
        <v>1829</v>
      </c>
      <c r="O916" s="134" t="s">
        <v>275</v>
      </c>
    </row>
    <row r="917" spans="1:15" x14ac:dyDescent="0.25">
      <c r="A917" s="133">
        <v>917</v>
      </c>
      <c r="B917" s="134" t="s">
        <v>1828</v>
      </c>
      <c r="C917" s="135">
        <v>13103610</v>
      </c>
      <c r="D917" s="136" t="s">
        <v>1826</v>
      </c>
      <c r="E917" s="137">
        <v>64400</v>
      </c>
      <c r="F917" s="137">
        <v>64400</v>
      </c>
      <c r="G917" s="137">
        <v>0</v>
      </c>
      <c r="H917" s="137">
        <v>0</v>
      </c>
      <c r="I917" s="135"/>
      <c r="J917" s="138"/>
      <c r="K917" s="133"/>
      <c r="L917" s="133">
        <v>736</v>
      </c>
      <c r="M917" s="139">
        <v>46092</v>
      </c>
      <c r="N917" s="140" t="s">
        <v>1847</v>
      </c>
      <c r="O917" s="134" t="s">
        <v>1848</v>
      </c>
    </row>
    <row r="918" spans="1:15" x14ac:dyDescent="0.25">
      <c r="A918" s="133">
        <v>918</v>
      </c>
      <c r="B918" s="134" t="s">
        <v>1828</v>
      </c>
      <c r="C918" s="135">
        <v>13103610</v>
      </c>
      <c r="D918" s="136" t="s">
        <v>1826</v>
      </c>
      <c r="E918" s="137">
        <v>549200</v>
      </c>
      <c r="F918" s="137">
        <v>0</v>
      </c>
      <c r="G918" s="137">
        <v>549200</v>
      </c>
      <c r="H918" s="137">
        <v>0</v>
      </c>
      <c r="I918" s="135"/>
      <c r="J918" s="138"/>
      <c r="K918" s="133"/>
      <c r="L918" s="133">
        <v>736</v>
      </c>
      <c r="M918" s="139">
        <v>46092</v>
      </c>
      <c r="N918" s="140" t="s">
        <v>1829</v>
      </c>
      <c r="O918" s="134" t="s">
        <v>224</v>
      </c>
    </row>
    <row r="919" spans="1:15" x14ac:dyDescent="0.25">
      <c r="A919" s="133">
        <v>919</v>
      </c>
      <c r="B919" s="134" t="s">
        <v>1828</v>
      </c>
      <c r="C919" s="135">
        <v>13103610</v>
      </c>
      <c r="D919" s="136" t="s">
        <v>1826</v>
      </c>
      <c r="E919" s="137">
        <v>23000</v>
      </c>
      <c r="F919" s="137">
        <v>0</v>
      </c>
      <c r="G919" s="137">
        <v>23000</v>
      </c>
      <c r="H919" s="137">
        <v>0</v>
      </c>
      <c r="I919" s="135"/>
      <c r="J919" s="138"/>
      <c r="K919" s="133"/>
      <c r="L919" s="133">
        <v>736</v>
      </c>
      <c r="M919" s="139">
        <v>46092</v>
      </c>
      <c r="N919" s="140" t="s">
        <v>1829</v>
      </c>
      <c r="O919" s="134" t="s">
        <v>336</v>
      </c>
    </row>
    <row r="920" spans="1:15" x14ac:dyDescent="0.25">
      <c r="A920" s="133">
        <v>920</v>
      </c>
      <c r="B920" s="134" t="s">
        <v>1828</v>
      </c>
      <c r="C920" s="135">
        <v>13103610</v>
      </c>
      <c r="D920" s="136" t="s">
        <v>1826</v>
      </c>
      <c r="E920" s="137">
        <v>274600</v>
      </c>
      <c r="F920" s="137">
        <v>0</v>
      </c>
      <c r="G920" s="137">
        <v>274600</v>
      </c>
      <c r="H920" s="137">
        <v>0</v>
      </c>
      <c r="I920" s="135"/>
      <c r="J920" s="138"/>
      <c r="K920" s="133"/>
      <c r="L920" s="133">
        <v>736</v>
      </c>
      <c r="M920" s="139">
        <v>46092</v>
      </c>
      <c r="N920" s="140" t="s">
        <v>1829</v>
      </c>
      <c r="O920" s="134" t="s">
        <v>224</v>
      </c>
    </row>
    <row r="921" spans="1:15" x14ac:dyDescent="0.25">
      <c r="A921" s="133">
        <v>921</v>
      </c>
      <c r="B921" s="134" t="s">
        <v>1828</v>
      </c>
      <c r="C921" s="135">
        <v>13103610</v>
      </c>
      <c r="D921" s="136" t="s">
        <v>1826</v>
      </c>
      <c r="E921" s="137">
        <v>73800</v>
      </c>
      <c r="F921" s="137">
        <v>0</v>
      </c>
      <c r="G921" s="137">
        <v>73800</v>
      </c>
      <c r="H921" s="137">
        <v>0</v>
      </c>
      <c r="I921" s="135"/>
      <c r="J921" s="138"/>
      <c r="K921" s="133"/>
      <c r="L921" s="133">
        <v>736</v>
      </c>
      <c r="M921" s="139">
        <v>46092</v>
      </c>
      <c r="N921" s="140" t="s">
        <v>1829</v>
      </c>
      <c r="O921" s="134" t="s">
        <v>224</v>
      </c>
    </row>
    <row r="922" spans="1:15" x14ac:dyDescent="0.25">
      <c r="A922" s="133">
        <v>922</v>
      </c>
      <c r="B922" s="134" t="s">
        <v>1830</v>
      </c>
      <c r="C922" s="135">
        <v>10104420</v>
      </c>
      <c r="D922" s="136" t="s">
        <v>1826</v>
      </c>
      <c r="E922" s="137">
        <v>51600</v>
      </c>
      <c r="F922" s="137">
        <v>51600</v>
      </c>
      <c r="G922" s="137">
        <v>0</v>
      </c>
      <c r="H922" s="137">
        <v>0</v>
      </c>
      <c r="I922" s="135"/>
      <c r="J922" s="138"/>
      <c r="K922" s="133"/>
      <c r="L922" s="133">
        <v>736</v>
      </c>
      <c r="M922" s="139">
        <v>46092</v>
      </c>
      <c r="N922" s="140" t="s">
        <v>1849</v>
      </c>
      <c r="O922" s="134" t="s">
        <v>1611</v>
      </c>
    </row>
    <row r="923" spans="1:15" x14ac:dyDescent="0.25">
      <c r="A923" s="133">
        <v>923</v>
      </c>
      <c r="B923" s="134" t="s">
        <v>1828</v>
      </c>
      <c r="C923" s="135">
        <v>13103610</v>
      </c>
      <c r="D923" s="136" t="s">
        <v>1826</v>
      </c>
      <c r="E923" s="137">
        <v>1576800</v>
      </c>
      <c r="F923" s="137">
        <v>0</v>
      </c>
      <c r="G923" s="137">
        <v>1576800</v>
      </c>
      <c r="H923" s="137">
        <v>0</v>
      </c>
      <c r="I923" s="135"/>
      <c r="J923" s="138"/>
      <c r="K923" s="133"/>
      <c r="L923" s="133">
        <v>736</v>
      </c>
      <c r="M923" s="139">
        <v>46092</v>
      </c>
      <c r="N923" s="140" t="s">
        <v>1829</v>
      </c>
      <c r="O923" s="134" t="s">
        <v>224</v>
      </c>
    </row>
    <row r="924" spans="1:15" x14ac:dyDescent="0.25">
      <c r="A924" s="133">
        <v>924</v>
      </c>
      <c r="B924" s="134" t="s">
        <v>1830</v>
      </c>
      <c r="C924" s="135">
        <v>10104420</v>
      </c>
      <c r="D924" s="136" t="s">
        <v>1826</v>
      </c>
      <c r="E924" s="137">
        <v>100700</v>
      </c>
      <c r="F924" s="137">
        <v>0</v>
      </c>
      <c r="G924" s="137">
        <v>0</v>
      </c>
      <c r="H924" s="137">
        <v>100700</v>
      </c>
      <c r="I924" s="135"/>
      <c r="J924" s="138"/>
      <c r="K924" s="133"/>
      <c r="L924" s="133">
        <v>736</v>
      </c>
      <c r="M924" s="139">
        <v>46092</v>
      </c>
      <c r="N924" s="140" t="s">
        <v>1850</v>
      </c>
      <c r="O924" s="134" t="s">
        <v>194</v>
      </c>
    </row>
    <row r="925" spans="1:15" x14ac:dyDescent="0.25">
      <c r="A925" s="133">
        <v>925</v>
      </c>
      <c r="B925" s="134" t="s">
        <v>1828</v>
      </c>
      <c r="C925" s="135">
        <v>13103610</v>
      </c>
      <c r="D925" s="136" t="s">
        <v>1826</v>
      </c>
      <c r="E925" s="137">
        <v>806200</v>
      </c>
      <c r="F925" s="137">
        <v>0</v>
      </c>
      <c r="G925" s="137">
        <v>806200</v>
      </c>
      <c r="H925" s="137">
        <v>0</v>
      </c>
      <c r="I925" s="135"/>
      <c r="J925" s="138"/>
      <c r="K925" s="133"/>
      <c r="L925" s="133">
        <v>736</v>
      </c>
      <c r="M925" s="139">
        <v>46092</v>
      </c>
      <c r="N925" s="140" t="s">
        <v>1829</v>
      </c>
      <c r="O925" s="134" t="s">
        <v>275</v>
      </c>
    </row>
    <row r="926" spans="1:15" x14ac:dyDescent="0.25">
      <c r="A926" s="133">
        <v>926</v>
      </c>
      <c r="B926" s="134" t="s">
        <v>1830</v>
      </c>
      <c r="C926" s="135">
        <v>10104420</v>
      </c>
      <c r="D926" s="136" t="s">
        <v>1826</v>
      </c>
      <c r="E926" s="137">
        <v>195900</v>
      </c>
      <c r="F926" s="137">
        <v>195900</v>
      </c>
      <c r="G926" s="137">
        <v>0</v>
      </c>
      <c r="H926" s="137">
        <v>0</v>
      </c>
      <c r="I926" s="135"/>
      <c r="J926" s="138"/>
      <c r="K926" s="133"/>
      <c r="L926" s="133">
        <v>736</v>
      </c>
      <c r="M926" s="139">
        <v>46092</v>
      </c>
      <c r="N926" s="140" t="s">
        <v>1851</v>
      </c>
      <c r="O926" s="134" t="s">
        <v>1611</v>
      </c>
    </row>
    <row r="927" spans="1:15" x14ac:dyDescent="0.25">
      <c r="A927" s="133">
        <v>927</v>
      </c>
      <c r="B927" s="134" t="s">
        <v>1830</v>
      </c>
      <c r="C927" s="135">
        <v>10104420</v>
      </c>
      <c r="D927" s="136" t="s">
        <v>1826</v>
      </c>
      <c r="E927" s="137">
        <v>227400</v>
      </c>
      <c r="F927" s="137">
        <v>0</v>
      </c>
      <c r="G927" s="137">
        <v>227400</v>
      </c>
      <c r="H927" s="137">
        <v>0</v>
      </c>
      <c r="I927" s="135"/>
      <c r="J927" s="138"/>
      <c r="K927" s="133"/>
      <c r="L927" s="133">
        <v>736</v>
      </c>
      <c r="M927" s="139">
        <v>46092</v>
      </c>
      <c r="N927" s="140" t="s">
        <v>1829</v>
      </c>
      <c r="O927" s="134" t="s">
        <v>1611</v>
      </c>
    </row>
    <row r="928" spans="1:15" x14ac:dyDescent="0.25">
      <c r="A928" s="133">
        <v>928</v>
      </c>
      <c r="B928" s="134" t="s">
        <v>1828</v>
      </c>
      <c r="C928" s="135">
        <v>13103610</v>
      </c>
      <c r="D928" s="136" t="s">
        <v>1826</v>
      </c>
      <c r="E928" s="137">
        <v>454800</v>
      </c>
      <c r="F928" s="137">
        <v>0</v>
      </c>
      <c r="G928" s="137">
        <v>454800</v>
      </c>
      <c r="H928" s="137">
        <v>0</v>
      </c>
      <c r="I928" s="135"/>
      <c r="J928" s="138"/>
      <c r="K928" s="133"/>
      <c r="L928" s="133">
        <v>736</v>
      </c>
      <c r="M928" s="139">
        <v>46092</v>
      </c>
      <c r="N928" s="140" t="s">
        <v>1829</v>
      </c>
      <c r="O928" s="134" t="s">
        <v>275</v>
      </c>
    </row>
    <row r="929" spans="1:15" x14ac:dyDescent="0.25">
      <c r="A929" s="133">
        <v>929</v>
      </c>
      <c r="B929" s="134" t="s">
        <v>1828</v>
      </c>
      <c r="C929" s="135">
        <v>13103610</v>
      </c>
      <c r="D929" s="136" t="s">
        <v>1826</v>
      </c>
      <c r="E929" s="137">
        <v>432000</v>
      </c>
      <c r="F929" s="137">
        <v>0</v>
      </c>
      <c r="G929" s="137">
        <v>432000</v>
      </c>
      <c r="H929" s="137">
        <v>0</v>
      </c>
      <c r="I929" s="135"/>
      <c r="J929" s="138"/>
      <c r="K929" s="133"/>
      <c r="L929" s="133">
        <v>736</v>
      </c>
      <c r="M929" s="139">
        <v>46092</v>
      </c>
      <c r="N929" s="140" t="s">
        <v>1829</v>
      </c>
      <c r="O929" s="134" t="s">
        <v>275</v>
      </c>
    </row>
    <row r="930" spans="1:15" x14ac:dyDescent="0.25">
      <c r="A930" s="133">
        <v>930</v>
      </c>
      <c r="B930" s="134" t="s">
        <v>1828</v>
      </c>
      <c r="C930" s="135">
        <v>13103610</v>
      </c>
      <c r="D930" s="136" t="s">
        <v>1826</v>
      </c>
      <c r="E930" s="137">
        <v>137516</v>
      </c>
      <c r="F930" s="137">
        <v>0</v>
      </c>
      <c r="G930" s="137">
        <v>137516</v>
      </c>
      <c r="H930" s="137">
        <v>0</v>
      </c>
      <c r="I930" s="135"/>
      <c r="J930" s="138"/>
      <c r="K930" s="133"/>
      <c r="L930" s="133">
        <v>736</v>
      </c>
      <c r="M930" s="139">
        <v>46092</v>
      </c>
      <c r="N930" s="140" t="s">
        <v>1829</v>
      </c>
      <c r="O930" s="134" t="s">
        <v>271</v>
      </c>
    </row>
    <row r="931" spans="1:15" x14ac:dyDescent="0.25">
      <c r="A931" s="133">
        <v>931</v>
      </c>
      <c r="B931" s="134" t="s">
        <v>1830</v>
      </c>
      <c r="C931" s="135">
        <v>10104420</v>
      </c>
      <c r="D931" s="136" t="s">
        <v>1826</v>
      </c>
      <c r="E931" s="137">
        <v>4700</v>
      </c>
      <c r="F931" s="137">
        <v>0</v>
      </c>
      <c r="G931" s="137">
        <v>4700</v>
      </c>
      <c r="H931" s="137">
        <v>0</v>
      </c>
      <c r="I931" s="135"/>
      <c r="J931" s="138"/>
      <c r="K931" s="133"/>
      <c r="L931" s="133">
        <v>736</v>
      </c>
      <c r="M931" s="139">
        <v>46092</v>
      </c>
      <c r="N931" s="140" t="s">
        <v>1829</v>
      </c>
      <c r="O931" s="134" t="s">
        <v>241</v>
      </c>
    </row>
    <row r="932" spans="1:15" x14ac:dyDescent="0.25">
      <c r="A932" s="133">
        <v>932</v>
      </c>
      <c r="B932" s="134" t="s">
        <v>1830</v>
      </c>
      <c r="C932" s="135">
        <v>10104420</v>
      </c>
      <c r="D932" s="136" t="s">
        <v>1826</v>
      </c>
      <c r="E932" s="137">
        <v>33800</v>
      </c>
      <c r="F932" s="137">
        <v>0</v>
      </c>
      <c r="G932" s="137">
        <v>0</v>
      </c>
      <c r="H932" s="137">
        <v>33800</v>
      </c>
      <c r="I932" s="135"/>
      <c r="J932" s="138"/>
      <c r="K932" s="133"/>
      <c r="L932" s="133">
        <v>736</v>
      </c>
      <c r="M932" s="139">
        <v>46092</v>
      </c>
      <c r="N932" s="140" t="s">
        <v>1852</v>
      </c>
      <c r="O932" s="134" t="s">
        <v>198</v>
      </c>
    </row>
    <row r="933" spans="1:15" x14ac:dyDescent="0.25">
      <c r="A933" s="133">
        <v>933</v>
      </c>
      <c r="B933" s="134" t="s">
        <v>1853</v>
      </c>
      <c r="C933" s="135">
        <v>1191760</v>
      </c>
      <c r="D933" s="136" t="s">
        <v>1854</v>
      </c>
      <c r="E933" s="137">
        <v>22800</v>
      </c>
      <c r="F933" s="137">
        <v>0</v>
      </c>
      <c r="G933" s="137">
        <v>22800</v>
      </c>
      <c r="H933" s="137">
        <v>0</v>
      </c>
      <c r="I933" s="135"/>
      <c r="J933" s="138"/>
      <c r="K933" s="133"/>
      <c r="L933" s="133">
        <v>737</v>
      </c>
      <c r="M933" s="139">
        <v>46092</v>
      </c>
      <c r="N933" s="140" t="s">
        <v>1829</v>
      </c>
      <c r="O933" s="134" t="s">
        <v>241</v>
      </c>
    </row>
    <row r="934" spans="1:15" x14ac:dyDescent="0.25">
      <c r="A934" s="133">
        <v>934</v>
      </c>
      <c r="B934" s="134" t="s">
        <v>1853</v>
      </c>
      <c r="C934" s="135">
        <v>1191760</v>
      </c>
      <c r="D934" s="136" t="s">
        <v>1854</v>
      </c>
      <c r="E934" s="137">
        <v>170700</v>
      </c>
      <c r="F934" s="137">
        <v>170700</v>
      </c>
      <c r="G934" s="137"/>
      <c r="H934" s="137">
        <v>0</v>
      </c>
      <c r="I934" s="135"/>
      <c r="J934" s="138"/>
      <c r="K934" s="133"/>
      <c r="L934" s="133">
        <v>737</v>
      </c>
      <c r="M934" s="139">
        <v>46092</v>
      </c>
      <c r="N934" s="140" t="s">
        <v>1855</v>
      </c>
      <c r="O934" s="134" t="s">
        <v>194</v>
      </c>
    </row>
    <row r="935" spans="1:15" x14ac:dyDescent="0.25">
      <c r="A935" s="133">
        <v>935</v>
      </c>
      <c r="B935" s="134" t="s">
        <v>1856</v>
      </c>
      <c r="C935" s="135">
        <v>586300</v>
      </c>
      <c r="D935" s="136" t="s">
        <v>1854</v>
      </c>
      <c r="E935" s="137">
        <v>170700</v>
      </c>
      <c r="F935" s="137"/>
      <c r="G935" s="137">
        <v>170700</v>
      </c>
      <c r="H935" s="137">
        <v>0</v>
      </c>
      <c r="I935" s="135"/>
      <c r="J935" s="138"/>
      <c r="K935" s="133"/>
      <c r="L935" s="133">
        <v>737</v>
      </c>
      <c r="M935" s="139">
        <v>46092</v>
      </c>
      <c r="N935" s="140" t="s">
        <v>1829</v>
      </c>
      <c r="O935" s="134" t="s">
        <v>194</v>
      </c>
    </row>
    <row r="936" spans="1:15" x14ac:dyDescent="0.25">
      <c r="A936" s="133">
        <v>936</v>
      </c>
      <c r="B936" s="134" t="s">
        <v>1857</v>
      </c>
      <c r="C936" s="135">
        <v>823100</v>
      </c>
      <c r="D936" s="136" t="s">
        <v>1854</v>
      </c>
      <c r="E936" s="137">
        <v>170700</v>
      </c>
      <c r="F936" s="137"/>
      <c r="G936" s="137">
        <v>170700</v>
      </c>
      <c r="H936" s="137">
        <v>0</v>
      </c>
      <c r="I936" s="135"/>
      <c r="J936" s="138"/>
      <c r="K936" s="133"/>
      <c r="L936" s="133">
        <v>737</v>
      </c>
      <c r="M936" s="139">
        <v>46092</v>
      </c>
      <c r="N936" s="140" t="s">
        <v>1829</v>
      </c>
      <c r="O936" s="134" t="s">
        <v>194</v>
      </c>
    </row>
    <row r="937" spans="1:15" x14ac:dyDescent="0.25">
      <c r="A937" s="133">
        <v>937</v>
      </c>
      <c r="B937" s="134" t="s">
        <v>1858</v>
      </c>
      <c r="C937" s="135">
        <v>956900</v>
      </c>
      <c r="D937" s="136" t="s">
        <v>1854</v>
      </c>
      <c r="E937" s="137">
        <v>170800</v>
      </c>
      <c r="F937" s="137">
        <v>170800</v>
      </c>
      <c r="G937" s="137"/>
      <c r="H937" s="137">
        <v>0</v>
      </c>
      <c r="I937" s="135"/>
      <c r="J937" s="138"/>
      <c r="K937" s="133"/>
      <c r="L937" s="133">
        <v>737</v>
      </c>
      <c r="M937" s="139">
        <v>46092</v>
      </c>
      <c r="N937" s="140" t="s">
        <v>1855</v>
      </c>
      <c r="O937" s="134" t="s">
        <v>190</v>
      </c>
    </row>
    <row r="938" spans="1:15" x14ac:dyDescent="0.25">
      <c r="A938" s="133">
        <v>938</v>
      </c>
      <c r="B938" s="134" t="s">
        <v>1859</v>
      </c>
      <c r="C938" s="135">
        <v>1069400</v>
      </c>
      <c r="D938" s="136" t="s">
        <v>1854</v>
      </c>
      <c r="E938" s="137">
        <v>398600</v>
      </c>
      <c r="F938" s="137">
        <v>6700</v>
      </c>
      <c r="G938" s="137">
        <v>391900</v>
      </c>
      <c r="H938" s="137">
        <v>0</v>
      </c>
      <c r="I938" s="135"/>
      <c r="J938" s="138"/>
      <c r="K938" s="133"/>
      <c r="L938" s="133">
        <v>737</v>
      </c>
      <c r="M938" s="139">
        <v>46092</v>
      </c>
      <c r="N938" s="140" t="s">
        <v>1860</v>
      </c>
      <c r="O938" s="134" t="s">
        <v>190</v>
      </c>
    </row>
    <row r="939" spans="1:15" x14ac:dyDescent="0.25">
      <c r="A939" s="133">
        <v>939</v>
      </c>
      <c r="B939" s="134" t="s">
        <v>1861</v>
      </c>
      <c r="C939" s="135">
        <v>5771200</v>
      </c>
      <c r="D939" s="136" t="s">
        <v>1854</v>
      </c>
      <c r="E939" s="137">
        <v>378700</v>
      </c>
      <c r="F939" s="137"/>
      <c r="G939" s="137">
        <v>378700</v>
      </c>
      <c r="H939" s="137">
        <v>0</v>
      </c>
      <c r="I939" s="135"/>
      <c r="J939" s="138"/>
      <c r="K939" s="133"/>
      <c r="L939" s="133">
        <v>737</v>
      </c>
      <c r="M939" s="139">
        <v>46092</v>
      </c>
      <c r="N939" s="140" t="s">
        <v>1829</v>
      </c>
      <c r="O939" s="134" t="s">
        <v>303</v>
      </c>
    </row>
    <row r="940" spans="1:15" x14ac:dyDescent="0.25">
      <c r="A940" s="133">
        <v>940</v>
      </c>
      <c r="B940" s="134" t="s">
        <v>1861</v>
      </c>
      <c r="C940" s="135">
        <v>5771200</v>
      </c>
      <c r="D940" s="136" t="s">
        <v>1854</v>
      </c>
      <c r="E940" s="137">
        <v>378700</v>
      </c>
      <c r="F940" s="137"/>
      <c r="G940" s="137">
        <v>378700</v>
      </c>
      <c r="H940" s="137">
        <v>0</v>
      </c>
      <c r="I940" s="135"/>
      <c r="J940" s="138"/>
      <c r="K940" s="133"/>
      <c r="L940" s="133">
        <v>737</v>
      </c>
      <c r="M940" s="139">
        <v>46092</v>
      </c>
      <c r="N940" s="140" t="s">
        <v>1829</v>
      </c>
      <c r="O940" s="134" t="s">
        <v>303</v>
      </c>
    </row>
    <row r="941" spans="1:15" x14ac:dyDescent="0.25">
      <c r="A941" s="133">
        <v>941</v>
      </c>
      <c r="B941" s="134" t="s">
        <v>1861</v>
      </c>
      <c r="C941" s="135">
        <v>5771200</v>
      </c>
      <c r="D941" s="136" t="s">
        <v>1854</v>
      </c>
      <c r="E941" s="137">
        <v>4200</v>
      </c>
      <c r="F941" s="137">
        <v>4200</v>
      </c>
      <c r="G941" s="137"/>
      <c r="H941" s="137">
        <v>0</v>
      </c>
      <c r="I941" s="135"/>
      <c r="J941" s="138"/>
      <c r="K941" s="133"/>
      <c r="L941" s="133">
        <v>737</v>
      </c>
      <c r="M941" s="139">
        <v>46092</v>
      </c>
      <c r="N941" s="140" t="s">
        <v>1862</v>
      </c>
      <c r="O941" s="134" t="s">
        <v>1863</v>
      </c>
    </row>
    <row r="942" spans="1:15" x14ac:dyDescent="0.25">
      <c r="A942" s="154">
        <v>942</v>
      </c>
      <c r="B942" s="155" t="s">
        <v>1861</v>
      </c>
      <c r="C942" s="156">
        <v>5771200</v>
      </c>
      <c r="D942" s="157" t="s">
        <v>1854</v>
      </c>
      <c r="E942" s="158">
        <v>797200</v>
      </c>
      <c r="F942" s="158">
        <v>797200</v>
      </c>
      <c r="G942" s="158"/>
      <c r="H942" s="158">
        <v>0</v>
      </c>
      <c r="I942" s="156"/>
      <c r="J942" s="159"/>
      <c r="K942" s="154"/>
      <c r="L942" s="154">
        <v>737</v>
      </c>
      <c r="M942" s="160">
        <v>46092</v>
      </c>
      <c r="N942" s="161" t="s">
        <v>1864</v>
      </c>
      <c r="O942" s="155" t="s">
        <v>1865</v>
      </c>
    </row>
    <row r="943" spans="1:15" x14ac:dyDescent="0.25">
      <c r="A943" s="154">
        <v>943</v>
      </c>
      <c r="B943" s="162" t="s">
        <v>1866</v>
      </c>
      <c r="C943" s="163">
        <v>7147872</v>
      </c>
      <c r="D943" s="164" t="s">
        <v>968</v>
      </c>
      <c r="E943" s="165">
        <v>2474675</v>
      </c>
      <c r="F943" s="165">
        <v>1371500</v>
      </c>
      <c r="G943" s="165">
        <v>1103175</v>
      </c>
      <c r="H943" s="165">
        <v>0</v>
      </c>
      <c r="I943" s="163"/>
      <c r="J943" s="166"/>
      <c r="K943" s="167"/>
      <c r="L943" s="167">
        <v>726</v>
      </c>
      <c r="M943" s="168">
        <v>46073</v>
      </c>
      <c r="N943" s="169" t="s">
        <v>1867</v>
      </c>
      <c r="O943" s="162">
        <v>623</v>
      </c>
    </row>
    <row r="944" spans="1:15" x14ac:dyDescent="0.25">
      <c r="A944" s="154">
        <v>944</v>
      </c>
      <c r="B944" s="162" t="s">
        <v>1868</v>
      </c>
      <c r="C944" s="163">
        <v>2856856</v>
      </c>
      <c r="D944" s="164" t="s">
        <v>968</v>
      </c>
      <c r="E944" s="165">
        <v>8100</v>
      </c>
      <c r="F944" s="165">
        <v>8100</v>
      </c>
      <c r="G944" s="165">
        <v>0</v>
      </c>
      <c r="H944" s="165">
        <v>0</v>
      </c>
      <c r="I944" s="163"/>
      <c r="J944" s="166"/>
      <c r="K944" s="167"/>
      <c r="L944" s="167">
        <v>726</v>
      </c>
      <c r="M944" s="168">
        <v>46073</v>
      </c>
      <c r="N944" s="169" t="s">
        <v>1869</v>
      </c>
      <c r="O944" s="162">
        <v>106</v>
      </c>
    </row>
    <row r="945" spans="1:15" x14ac:dyDescent="0.25">
      <c r="A945" s="154">
        <v>945</v>
      </c>
      <c r="B945" s="162" t="s">
        <v>1870</v>
      </c>
      <c r="C945" s="163">
        <v>29915549</v>
      </c>
      <c r="D945" s="164" t="s">
        <v>968</v>
      </c>
      <c r="E945" s="165">
        <v>2961446</v>
      </c>
      <c r="F945" s="165">
        <v>2713646</v>
      </c>
      <c r="G945" s="165">
        <v>247800</v>
      </c>
      <c r="H945" s="165">
        <v>0</v>
      </c>
      <c r="I945" s="163"/>
      <c r="J945" s="166"/>
      <c r="K945" s="167"/>
      <c r="L945" s="167">
        <v>726</v>
      </c>
      <c r="M945" s="168">
        <v>46073</v>
      </c>
      <c r="N945" s="169" t="s">
        <v>1871</v>
      </c>
      <c r="O945" s="162">
        <v>201</v>
      </c>
    </row>
    <row r="946" spans="1:15" x14ac:dyDescent="0.25">
      <c r="A946" s="154">
        <v>946</v>
      </c>
      <c r="B946" s="162" t="s">
        <v>1872</v>
      </c>
      <c r="C946" s="163">
        <v>40005238</v>
      </c>
      <c r="D946" s="164" t="s">
        <v>968</v>
      </c>
      <c r="E946" s="165">
        <v>3256235</v>
      </c>
      <c r="F946" s="165">
        <v>29037</v>
      </c>
      <c r="G946" s="165">
        <v>43555</v>
      </c>
      <c r="H946" s="165">
        <v>3183643</v>
      </c>
      <c r="I946" s="163"/>
      <c r="J946" s="166"/>
      <c r="K946" s="167"/>
      <c r="L946" s="167">
        <v>726</v>
      </c>
      <c r="M946" s="168">
        <v>46073</v>
      </c>
      <c r="N946" s="169" t="s">
        <v>1873</v>
      </c>
      <c r="O946" s="162">
        <v>106</v>
      </c>
    </row>
    <row r="947" spans="1:15" x14ac:dyDescent="0.25">
      <c r="A947" s="154">
        <v>947</v>
      </c>
      <c r="B947" s="162" t="s">
        <v>1874</v>
      </c>
      <c r="C947" s="163">
        <v>26151536</v>
      </c>
      <c r="D947" s="164" t="s">
        <v>968</v>
      </c>
      <c r="E947" s="165">
        <v>443235</v>
      </c>
      <c r="F947" s="165">
        <v>443235</v>
      </c>
      <c r="G947" s="165">
        <v>0</v>
      </c>
      <c r="H947" s="165">
        <v>0</v>
      </c>
      <c r="I947" s="163"/>
      <c r="J947" s="166"/>
      <c r="K947" s="167"/>
      <c r="L947" s="167">
        <v>726</v>
      </c>
      <c r="M947" s="168">
        <v>46073</v>
      </c>
      <c r="N947" s="169" t="s">
        <v>1875</v>
      </c>
      <c r="O947" s="162">
        <v>207</v>
      </c>
    </row>
    <row r="948" spans="1:15" x14ac:dyDescent="0.25">
      <c r="A948" s="154">
        <v>948</v>
      </c>
      <c r="B948" s="162" t="s">
        <v>1876</v>
      </c>
      <c r="C948" s="163">
        <v>47315245</v>
      </c>
      <c r="D948" s="164" t="s">
        <v>968</v>
      </c>
      <c r="E948" s="165">
        <v>64800</v>
      </c>
      <c r="F948" s="165">
        <v>64800</v>
      </c>
      <c r="G948" s="165">
        <v>0</v>
      </c>
      <c r="H948" s="165">
        <v>0</v>
      </c>
      <c r="I948" s="163"/>
      <c r="J948" s="166"/>
      <c r="K948" s="167"/>
      <c r="L948" s="167">
        <v>726</v>
      </c>
      <c r="M948" s="168">
        <v>46073</v>
      </c>
      <c r="N948" s="169" t="s">
        <v>1877</v>
      </c>
      <c r="O948" s="162">
        <v>106</v>
      </c>
    </row>
    <row r="949" spans="1:15" x14ac:dyDescent="0.25">
      <c r="A949" s="154">
        <v>949</v>
      </c>
      <c r="B949" s="162" t="s">
        <v>1878</v>
      </c>
      <c r="C949" s="163">
        <v>20331689</v>
      </c>
      <c r="D949" s="164" t="s">
        <v>968</v>
      </c>
      <c r="E949" s="165">
        <v>2432959</v>
      </c>
      <c r="F949" s="165">
        <v>1937359</v>
      </c>
      <c r="G949" s="165">
        <v>495600</v>
      </c>
      <c r="H949" s="165">
        <v>0</v>
      </c>
      <c r="I949" s="163"/>
      <c r="J949" s="166"/>
      <c r="K949" s="167"/>
      <c r="L949" s="167">
        <v>726</v>
      </c>
      <c r="M949" s="168">
        <v>46073</v>
      </c>
      <c r="N949" s="169" t="s">
        <v>1879</v>
      </c>
      <c r="O949" s="162">
        <v>601</v>
      </c>
    </row>
    <row r="950" spans="1:15" x14ac:dyDescent="0.25">
      <c r="A950" s="154">
        <v>950</v>
      </c>
      <c r="B950" s="162" t="s">
        <v>1880</v>
      </c>
      <c r="C950" s="163">
        <v>39383579</v>
      </c>
      <c r="D950" s="164" t="s">
        <v>968</v>
      </c>
      <c r="E950" s="165">
        <v>2916660</v>
      </c>
      <c r="F950" s="165">
        <v>1750020</v>
      </c>
      <c r="G950" s="165">
        <v>1166640</v>
      </c>
      <c r="H950" s="165">
        <v>0</v>
      </c>
      <c r="I950" s="163"/>
      <c r="J950" s="166"/>
      <c r="K950" s="167"/>
      <c r="L950" s="167">
        <v>726</v>
      </c>
      <c r="M950" s="168">
        <v>46073</v>
      </c>
      <c r="N950" s="169" t="s">
        <v>1881</v>
      </c>
      <c r="O950" s="162">
        <v>207</v>
      </c>
    </row>
    <row r="951" spans="1:15" x14ac:dyDescent="0.25">
      <c r="A951" s="154">
        <v>951</v>
      </c>
      <c r="B951" s="162" t="s">
        <v>1882</v>
      </c>
      <c r="C951" s="163">
        <v>80800</v>
      </c>
      <c r="D951" s="164" t="s">
        <v>968</v>
      </c>
      <c r="E951" s="165">
        <v>80800</v>
      </c>
      <c r="F951" s="165">
        <v>0</v>
      </c>
      <c r="G951" s="165">
        <v>80800</v>
      </c>
      <c r="H951" s="165">
        <v>0</v>
      </c>
      <c r="I951" s="163"/>
      <c r="J951" s="166"/>
      <c r="K951" s="167"/>
      <c r="L951" s="167">
        <v>727</v>
      </c>
      <c r="M951" s="168">
        <v>46073</v>
      </c>
      <c r="N951" s="169" t="s">
        <v>1029</v>
      </c>
      <c r="O951" s="162">
        <v>302</v>
      </c>
    </row>
    <row r="952" spans="1:15" x14ac:dyDescent="0.25">
      <c r="A952" s="154">
        <v>952</v>
      </c>
      <c r="B952" s="162" t="s">
        <v>1883</v>
      </c>
      <c r="C952" s="163">
        <v>80800</v>
      </c>
      <c r="D952" s="164" t="s">
        <v>968</v>
      </c>
      <c r="E952" s="165">
        <v>80800</v>
      </c>
      <c r="F952" s="165">
        <v>0</v>
      </c>
      <c r="G952" s="165">
        <v>80800</v>
      </c>
      <c r="H952" s="165">
        <v>0</v>
      </c>
      <c r="I952" s="163"/>
      <c r="J952" s="166"/>
      <c r="K952" s="167"/>
      <c r="L952" s="167">
        <v>727</v>
      </c>
      <c r="M952" s="168">
        <v>46073</v>
      </c>
      <c r="N952" s="169" t="s">
        <v>1029</v>
      </c>
      <c r="O952" s="162">
        <v>302</v>
      </c>
    </row>
    <row r="953" spans="1:15" x14ac:dyDescent="0.25">
      <c r="A953" s="154">
        <v>953</v>
      </c>
      <c r="B953" s="162" t="s">
        <v>1884</v>
      </c>
      <c r="C953" s="163">
        <v>80800</v>
      </c>
      <c r="D953" s="164" t="s">
        <v>968</v>
      </c>
      <c r="E953" s="165">
        <v>80800</v>
      </c>
      <c r="F953" s="165">
        <v>0</v>
      </c>
      <c r="G953" s="165">
        <v>80800</v>
      </c>
      <c r="H953" s="165">
        <v>0</v>
      </c>
      <c r="I953" s="163"/>
      <c r="J953" s="166"/>
      <c r="K953" s="167"/>
      <c r="L953" s="167">
        <v>727</v>
      </c>
      <c r="M953" s="168">
        <v>46073</v>
      </c>
      <c r="N953" s="169" t="s">
        <v>1029</v>
      </c>
      <c r="O953" s="162">
        <v>302</v>
      </c>
    </row>
    <row r="954" spans="1:15" x14ac:dyDescent="0.25">
      <c r="A954" s="154">
        <v>954</v>
      </c>
      <c r="B954" s="162" t="s">
        <v>1885</v>
      </c>
      <c r="C954" s="163">
        <v>80800</v>
      </c>
      <c r="D954" s="164" t="s">
        <v>968</v>
      </c>
      <c r="E954" s="165">
        <v>80800</v>
      </c>
      <c r="F954" s="165">
        <v>0</v>
      </c>
      <c r="G954" s="165">
        <v>80800</v>
      </c>
      <c r="H954" s="165">
        <v>0</v>
      </c>
      <c r="I954" s="163"/>
      <c r="J954" s="166"/>
      <c r="K954" s="167"/>
      <c r="L954" s="167">
        <v>727</v>
      </c>
      <c r="M954" s="168">
        <v>46073</v>
      </c>
      <c r="N954" s="169" t="s">
        <v>1029</v>
      </c>
      <c r="O954" s="162">
        <v>302</v>
      </c>
    </row>
    <row r="955" spans="1:15" x14ac:dyDescent="0.25">
      <c r="A955" s="154">
        <v>955</v>
      </c>
      <c r="B955" s="162" t="s">
        <v>1886</v>
      </c>
      <c r="C955" s="163">
        <v>80800</v>
      </c>
      <c r="D955" s="164" t="s">
        <v>968</v>
      </c>
      <c r="E955" s="165">
        <v>80800</v>
      </c>
      <c r="F955" s="165">
        <v>80800</v>
      </c>
      <c r="G955" s="165">
        <v>0</v>
      </c>
      <c r="H955" s="165">
        <v>0</v>
      </c>
      <c r="I955" s="163"/>
      <c r="J955" s="166"/>
      <c r="K955" s="167"/>
      <c r="L955" s="167">
        <v>727</v>
      </c>
      <c r="M955" s="168">
        <v>46073</v>
      </c>
      <c r="N955" s="169" t="s">
        <v>1887</v>
      </c>
      <c r="O955" s="162">
        <v>502</v>
      </c>
    </row>
    <row r="956" spans="1:15" x14ac:dyDescent="0.25">
      <c r="A956" s="154">
        <v>956</v>
      </c>
      <c r="B956" s="162" t="s">
        <v>1888</v>
      </c>
      <c r="C956" s="163">
        <v>80800</v>
      </c>
      <c r="D956" s="164" t="s">
        <v>968</v>
      </c>
      <c r="E956" s="165">
        <v>80800</v>
      </c>
      <c r="F956" s="165">
        <v>0</v>
      </c>
      <c r="G956" s="165">
        <v>80800</v>
      </c>
      <c r="H956" s="165">
        <v>0</v>
      </c>
      <c r="I956" s="163"/>
      <c r="J956" s="166"/>
      <c r="K956" s="167"/>
      <c r="L956" s="167">
        <v>727</v>
      </c>
      <c r="M956" s="168">
        <v>46073</v>
      </c>
      <c r="N956" s="169" t="s">
        <v>1029</v>
      </c>
      <c r="O956" s="162">
        <v>502</v>
      </c>
    </row>
    <row r="957" spans="1:15" x14ac:dyDescent="0.25">
      <c r="A957" s="154">
        <v>957</v>
      </c>
      <c r="B957" s="162" t="s">
        <v>1889</v>
      </c>
      <c r="C957" s="163">
        <v>216900</v>
      </c>
      <c r="D957" s="164" t="s">
        <v>968</v>
      </c>
      <c r="E957" s="165">
        <v>216900</v>
      </c>
      <c r="F957" s="165">
        <v>0</v>
      </c>
      <c r="G957" s="165">
        <v>216900</v>
      </c>
      <c r="H957" s="165">
        <v>0</v>
      </c>
      <c r="I957" s="163"/>
      <c r="J957" s="166"/>
      <c r="K957" s="167"/>
      <c r="L957" s="167">
        <v>727</v>
      </c>
      <c r="M957" s="168">
        <v>46073</v>
      </c>
      <c r="N957" s="169" t="s">
        <v>1029</v>
      </c>
      <c r="O957" s="162">
        <v>502</v>
      </c>
    </row>
    <row r="958" spans="1:15" x14ac:dyDescent="0.25">
      <c r="A958" s="154">
        <v>958</v>
      </c>
      <c r="B958" s="162" t="s">
        <v>1890</v>
      </c>
      <c r="C958" s="163">
        <v>80800</v>
      </c>
      <c r="D958" s="164" t="s">
        <v>968</v>
      </c>
      <c r="E958" s="165">
        <v>80800</v>
      </c>
      <c r="F958" s="165">
        <v>0</v>
      </c>
      <c r="G958" s="165">
        <v>80800</v>
      </c>
      <c r="H958" s="165">
        <v>0</v>
      </c>
      <c r="I958" s="163"/>
      <c r="J958" s="166"/>
      <c r="K958" s="167"/>
      <c r="L958" s="167">
        <v>727</v>
      </c>
      <c r="M958" s="168">
        <v>46073</v>
      </c>
      <c r="N958" s="169" t="s">
        <v>1029</v>
      </c>
      <c r="O958" s="162">
        <v>302</v>
      </c>
    </row>
    <row r="959" spans="1:15" x14ac:dyDescent="0.25">
      <c r="A959" s="154">
        <v>959</v>
      </c>
      <c r="B959" s="162" t="s">
        <v>1891</v>
      </c>
      <c r="C959" s="163">
        <v>80800</v>
      </c>
      <c r="D959" s="164" t="s">
        <v>968</v>
      </c>
      <c r="E959" s="165">
        <v>80800</v>
      </c>
      <c r="F959" s="165">
        <v>0</v>
      </c>
      <c r="G959" s="165">
        <v>80800</v>
      </c>
      <c r="H959" s="165">
        <v>0</v>
      </c>
      <c r="I959" s="163"/>
      <c r="J959" s="166"/>
      <c r="K959" s="167"/>
      <c r="L959" s="167">
        <v>727</v>
      </c>
      <c r="M959" s="168">
        <v>46073</v>
      </c>
      <c r="N959" s="169" t="s">
        <v>1029</v>
      </c>
      <c r="O959" s="162">
        <v>302</v>
      </c>
    </row>
    <row r="960" spans="1:15" x14ac:dyDescent="0.25">
      <c r="A960" s="154">
        <v>960</v>
      </c>
      <c r="B960" s="162" t="s">
        <v>1892</v>
      </c>
      <c r="C960" s="163">
        <v>80800</v>
      </c>
      <c r="D960" s="164" t="s">
        <v>968</v>
      </c>
      <c r="E960" s="165">
        <v>80800</v>
      </c>
      <c r="F960" s="165">
        <v>0</v>
      </c>
      <c r="G960" s="165">
        <v>80800</v>
      </c>
      <c r="H960" s="165">
        <v>0</v>
      </c>
      <c r="I960" s="163"/>
      <c r="J960" s="166"/>
      <c r="K960" s="167"/>
      <c r="L960" s="167">
        <v>727</v>
      </c>
      <c r="M960" s="168">
        <v>46073</v>
      </c>
      <c r="N960" s="169" t="s">
        <v>1029</v>
      </c>
      <c r="O960" s="162">
        <v>302</v>
      </c>
    </row>
    <row r="961" spans="1:15" x14ac:dyDescent="0.25">
      <c r="A961" s="154">
        <v>961</v>
      </c>
      <c r="B961" s="162" t="s">
        <v>1893</v>
      </c>
      <c r="C961" s="163">
        <v>80800</v>
      </c>
      <c r="D961" s="164" t="s">
        <v>968</v>
      </c>
      <c r="E961" s="165">
        <v>80800</v>
      </c>
      <c r="F961" s="165">
        <v>0</v>
      </c>
      <c r="G961" s="165">
        <v>80800</v>
      </c>
      <c r="H961" s="165">
        <v>0</v>
      </c>
      <c r="I961" s="163"/>
      <c r="J961" s="166"/>
      <c r="K961" s="167"/>
      <c r="L961" s="167">
        <v>727</v>
      </c>
      <c r="M961" s="168">
        <v>46073</v>
      </c>
      <c r="N961" s="169" t="s">
        <v>1029</v>
      </c>
      <c r="O961" s="162">
        <v>302</v>
      </c>
    </row>
    <row r="962" spans="1:15" x14ac:dyDescent="0.25">
      <c r="A962" s="154">
        <v>962</v>
      </c>
      <c r="B962" s="162" t="s">
        <v>1894</v>
      </c>
      <c r="C962" s="163">
        <v>216900</v>
      </c>
      <c r="D962" s="164" t="s">
        <v>968</v>
      </c>
      <c r="E962" s="165">
        <v>216900</v>
      </c>
      <c r="F962" s="165">
        <v>0</v>
      </c>
      <c r="G962" s="165">
        <v>216900</v>
      </c>
      <c r="H962" s="165">
        <v>0</v>
      </c>
      <c r="I962" s="163"/>
      <c r="J962" s="166"/>
      <c r="K962" s="167"/>
      <c r="L962" s="167">
        <v>727</v>
      </c>
      <c r="M962" s="168">
        <v>46073</v>
      </c>
      <c r="N962" s="169" t="s">
        <v>1029</v>
      </c>
      <c r="O962" s="162">
        <v>302</v>
      </c>
    </row>
    <row r="963" spans="1:15" x14ac:dyDescent="0.25">
      <c r="A963" s="154">
        <v>963</v>
      </c>
      <c r="B963" s="162" t="s">
        <v>1895</v>
      </c>
      <c r="C963" s="163">
        <v>80800</v>
      </c>
      <c r="D963" s="164" t="s">
        <v>968</v>
      </c>
      <c r="E963" s="165">
        <v>80800</v>
      </c>
      <c r="F963" s="165">
        <v>0</v>
      </c>
      <c r="G963" s="165">
        <v>80800</v>
      </c>
      <c r="H963" s="165">
        <v>0</v>
      </c>
      <c r="I963" s="163"/>
      <c r="J963" s="166"/>
      <c r="K963" s="167"/>
      <c r="L963" s="167">
        <v>728</v>
      </c>
      <c r="M963" s="168">
        <v>46073</v>
      </c>
      <c r="N963" s="169" t="s">
        <v>1029</v>
      </c>
      <c r="O963" s="162">
        <v>116</v>
      </c>
    </row>
    <row r="964" spans="1:15" x14ac:dyDescent="0.25">
      <c r="A964" s="154">
        <v>964</v>
      </c>
      <c r="B964" s="162" t="s">
        <v>1896</v>
      </c>
      <c r="C964" s="163">
        <v>80800</v>
      </c>
      <c r="D964" s="164" t="s">
        <v>968</v>
      </c>
      <c r="E964" s="165">
        <v>80800</v>
      </c>
      <c r="F964" s="165">
        <v>0</v>
      </c>
      <c r="G964" s="165">
        <v>80800</v>
      </c>
      <c r="H964" s="165">
        <v>0</v>
      </c>
      <c r="I964" s="163"/>
      <c r="J964" s="166"/>
      <c r="K964" s="167"/>
      <c r="L964" s="167">
        <v>728</v>
      </c>
      <c r="M964" s="168">
        <v>46073</v>
      </c>
      <c r="N964" s="169" t="s">
        <v>1029</v>
      </c>
      <c r="O964" s="162">
        <v>308</v>
      </c>
    </row>
    <row r="965" spans="1:15" x14ac:dyDescent="0.25">
      <c r="A965" s="154">
        <v>965</v>
      </c>
      <c r="B965" s="162" t="s">
        <v>1897</v>
      </c>
      <c r="C965" s="163">
        <v>80800</v>
      </c>
      <c r="D965" s="164" t="s">
        <v>968</v>
      </c>
      <c r="E965" s="165">
        <v>80800</v>
      </c>
      <c r="F965" s="165">
        <v>0</v>
      </c>
      <c r="G965" s="165">
        <v>80800</v>
      </c>
      <c r="H965" s="165">
        <v>0</v>
      </c>
      <c r="I965" s="163"/>
      <c r="J965" s="166"/>
      <c r="K965" s="167"/>
      <c r="L965" s="167">
        <v>728</v>
      </c>
      <c r="M965" s="168">
        <v>46073</v>
      </c>
      <c r="N965" s="169" t="s">
        <v>1029</v>
      </c>
      <c r="O965" s="162">
        <v>308</v>
      </c>
    </row>
    <row r="966" spans="1:15" x14ac:dyDescent="0.25">
      <c r="A966" s="154">
        <v>966</v>
      </c>
      <c r="B966" s="162" t="s">
        <v>1898</v>
      </c>
      <c r="C966" s="163">
        <v>216900</v>
      </c>
      <c r="D966" s="164" t="s">
        <v>968</v>
      </c>
      <c r="E966" s="165">
        <v>216900</v>
      </c>
      <c r="F966" s="165">
        <v>0</v>
      </c>
      <c r="G966" s="165">
        <v>216900</v>
      </c>
      <c r="H966" s="165">
        <v>0</v>
      </c>
      <c r="I966" s="163"/>
      <c r="J966" s="166"/>
      <c r="K966" s="167"/>
      <c r="L966" s="167">
        <v>728</v>
      </c>
      <c r="M966" s="168">
        <v>46073</v>
      </c>
      <c r="N966" s="169" t="s">
        <v>1029</v>
      </c>
      <c r="O966" s="162">
        <v>308</v>
      </c>
    </row>
    <row r="967" spans="1:15" x14ac:dyDescent="0.25">
      <c r="A967" s="154">
        <v>967</v>
      </c>
      <c r="B967" s="162" t="s">
        <v>1899</v>
      </c>
      <c r="C967" s="163">
        <v>80800</v>
      </c>
      <c r="D967" s="164" t="s">
        <v>968</v>
      </c>
      <c r="E967" s="165">
        <v>80800</v>
      </c>
      <c r="F967" s="165">
        <v>80800</v>
      </c>
      <c r="G967" s="165">
        <v>0</v>
      </c>
      <c r="H967" s="165">
        <v>0</v>
      </c>
      <c r="I967" s="163"/>
      <c r="J967" s="166"/>
      <c r="K967" s="167"/>
      <c r="L967" s="167">
        <v>728</v>
      </c>
      <c r="M967" s="168">
        <v>46073</v>
      </c>
      <c r="N967" s="169" t="s">
        <v>1887</v>
      </c>
      <c r="O967" s="162">
        <v>308</v>
      </c>
    </row>
    <row r="968" spans="1:15" x14ac:dyDescent="0.25">
      <c r="A968" s="154">
        <v>968</v>
      </c>
      <c r="B968" s="162" t="s">
        <v>1900</v>
      </c>
      <c r="C968" s="163">
        <v>216900</v>
      </c>
      <c r="D968" s="164" t="s">
        <v>968</v>
      </c>
      <c r="E968" s="165">
        <v>216900</v>
      </c>
      <c r="F968" s="165">
        <v>0</v>
      </c>
      <c r="G968" s="165">
        <v>216900</v>
      </c>
      <c r="H968" s="165">
        <v>0</v>
      </c>
      <c r="I968" s="163"/>
      <c r="J968" s="166"/>
      <c r="K968" s="167"/>
      <c r="L968" s="167">
        <v>728</v>
      </c>
      <c r="M968" s="168">
        <v>46073</v>
      </c>
      <c r="N968" s="169" t="s">
        <v>1029</v>
      </c>
      <c r="O968" s="162">
        <v>308</v>
      </c>
    </row>
    <row r="969" spans="1:15" x14ac:dyDescent="0.25">
      <c r="A969" s="154">
        <v>969</v>
      </c>
      <c r="B969" s="162" t="s">
        <v>1901</v>
      </c>
      <c r="C969" s="163">
        <v>80800</v>
      </c>
      <c r="D969" s="164" t="s">
        <v>968</v>
      </c>
      <c r="E969" s="165">
        <v>80800</v>
      </c>
      <c r="F969" s="165">
        <v>0</v>
      </c>
      <c r="G969" s="165">
        <v>80800</v>
      </c>
      <c r="H969" s="165">
        <v>0</v>
      </c>
      <c r="I969" s="163"/>
      <c r="J969" s="166"/>
      <c r="K969" s="167"/>
      <c r="L969" s="167">
        <v>728</v>
      </c>
      <c r="M969" s="168">
        <v>46073</v>
      </c>
      <c r="N969" s="169" t="s">
        <v>1029</v>
      </c>
      <c r="O969" s="162">
        <v>208</v>
      </c>
    </row>
    <row r="970" spans="1:15" x14ac:dyDescent="0.25">
      <c r="A970" s="154">
        <v>970</v>
      </c>
      <c r="B970" s="162" t="s">
        <v>1902</v>
      </c>
      <c r="C970" s="163">
        <v>80800</v>
      </c>
      <c r="D970" s="164" t="s">
        <v>968</v>
      </c>
      <c r="E970" s="165">
        <v>80800</v>
      </c>
      <c r="F970" s="165">
        <v>0</v>
      </c>
      <c r="G970" s="165">
        <v>80800</v>
      </c>
      <c r="H970" s="165">
        <v>0</v>
      </c>
      <c r="I970" s="163"/>
      <c r="J970" s="166"/>
      <c r="K970" s="167"/>
      <c r="L970" s="167">
        <v>728</v>
      </c>
      <c r="M970" s="168">
        <v>46073</v>
      </c>
      <c r="N970" s="169" t="s">
        <v>1029</v>
      </c>
      <c r="O970" s="162">
        <v>308</v>
      </c>
    </row>
    <row r="971" spans="1:15" x14ac:dyDescent="0.25">
      <c r="A971" s="154">
        <v>971</v>
      </c>
      <c r="B971" s="162" t="s">
        <v>1903</v>
      </c>
      <c r="C971" s="163">
        <v>80800</v>
      </c>
      <c r="D971" s="164" t="s">
        <v>968</v>
      </c>
      <c r="E971" s="165">
        <v>80800</v>
      </c>
      <c r="F971" s="165">
        <v>0</v>
      </c>
      <c r="G971" s="165">
        <v>80800</v>
      </c>
      <c r="H971" s="165">
        <v>0</v>
      </c>
      <c r="I971" s="163"/>
      <c r="J971" s="166"/>
      <c r="K971" s="167"/>
      <c r="L971" s="167">
        <v>728</v>
      </c>
      <c r="M971" s="168">
        <v>46073</v>
      </c>
      <c r="N971" s="169" t="s">
        <v>1029</v>
      </c>
      <c r="O971" s="162">
        <v>308</v>
      </c>
    </row>
    <row r="972" spans="1:15" x14ac:dyDescent="0.25">
      <c r="A972" s="154">
        <v>972</v>
      </c>
      <c r="B972" s="162" t="s">
        <v>1904</v>
      </c>
      <c r="C972" s="163">
        <v>360000</v>
      </c>
      <c r="D972" s="164" t="s">
        <v>968</v>
      </c>
      <c r="E972" s="165">
        <v>360000</v>
      </c>
      <c r="F972" s="165">
        <v>242370</v>
      </c>
      <c r="G972" s="165">
        <v>117630</v>
      </c>
      <c r="H972" s="165">
        <v>0</v>
      </c>
      <c r="I972" s="163"/>
      <c r="J972" s="166"/>
      <c r="K972" s="167"/>
      <c r="L972" s="167">
        <v>729</v>
      </c>
      <c r="M972" s="168">
        <v>46073</v>
      </c>
      <c r="N972" s="169" t="s">
        <v>1905</v>
      </c>
      <c r="O972" s="162">
        <v>302</v>
      </c>
    </row>
    <row r="973" spans="1:15" x14ac:dyDescent="0.25">
      <c r="A973" s="154">
        <v>973</v>
      </c>
      <c r="B973" s="162" t="s">
        <v>1906</v>
      </c>
      <c r="C973" s="163">
        <v>1384000</v>
      </c>
      <c r="D973" s="164" t="s">
        <v>968</v>
      </c>
      <c r="E973" s="165">
        <v>247800</v>
      </c>
      <c r="F973" s="165">
        <v>0</v>
      </c>
      <c r="G973" s="165">
        <v>0</v>
      </c>
      <c r="H973" s="165">
        <v>247800</v>
      </c>
      <c r="I973" s="163"/>
      <c r="J973" s="166"/>
      <c r="K973" s="167"/>
      <c r="L973" s="167">
        <v>729</v>
      </c>
      <c r="M973" s="168">
        <v>46073</v>
      </c>
      <c r="N973" s="169" t="s">
        <v>1432</v>
      </c>
      <c r="O973" s="162">
        <v>601</v>
      </c>
    </row>
    <row r="974" spans="1:15" x14ac:dyDescent="0.25">
      <c r="A974" s="154">
        <v>974</v>
      </c>
      <c r="B974" s="162" t="s">
        <v>1907</v>
      </c>
      <c r="C974" s="163">
        <v>852100</v>
      </c>
      <c r="D974" s="164" t="s">
        <v>968</v>
      </c>
      <c r="E974" s="165">
        <v>852100</v>
      </c>
      <c r="F974" s="165">
        <v>0</v>
      </c>
      <c r="G974" s="165">
        <v>0</v>
      </c>
      <c r="H974" s="165">
        <v>852100</v>
      </c>
      <c r="I974" s="163"/>
      <c r="J974" s="166"/>
      <c r="K974" s="167"/>
      <c r="L974" s="167">
        <v>729</v>
      </c>
      <c r="M974" s="168">
        <v>46073</v>
      </c>
      <c r="N974" s="169" t="s">
        <v>1908</v>
      </c>
      <c r="O974" s="162">
        <v>302</v>
      </c>
    </row>
    <row r="975" spans="1:15" x14ac:dyDescent="0.25">
      <c r="A975" s="154">
        <v>975</v>
      </c>
      <c r="B975" s="162" t="s">
        <v>1909</v>
      </c>
      <c r="C975" s="163">
        <v>360000</v>
      </c>
      <c r="D975" s="164" t="s">
        <v>968</v>
      </c>
      <c r="E975" s="165">
        <v>360000</v>
      </c>
      <c r="F975" s="165">
        <v>242370</v>
      </c>
      <c r="G975" s="165">
        <v>117630</v>
      </c>
      <c r="H975" s="165">
        <v>0</v>
      </c>
      <c r="I975" s="163"/>
      <c r="J975" s="166"/>
      <c r="K975" s="167"/>
      <c r="L975" s="167">
        <v>729</v>
      </c>
      <c r="M975" s="168">
        <v>46073</v>
      </c>
      <c r="N975" s="169" t="s">
        <v>1905</v>
      </c>
      <c r="O975" s="162">
        <v>302</v>
      </c>
    </row>
    <row r="976" spans="1:15" x14ac:dyDescent="0.25">
      <c r="A976" s="154">
        <v>976</v>
      </c>
      <c r="B976" s="162" t="s">
        <v>1910</v>
      </c>
      <c r="C976" s="163">
        <v>5242600</v>
      </c>
      <c r="D976" s="164" t="s">
        <v>968</v>
      </c>
      <c r="E976" s="165">
        <v>5242600</v>
      </c>
      <c r="F976" s="165">
        <v>0</v>
      </c>
      <c r="G976" s="165">
        <v>5242600</v>
      </c>
      <c r="H976" s="165">
        <v>0</v>
      </c>
      <c r="I976" s="163"/>
      <c r="J976" s="166"/>
      <c r="K976" s="167"/>
      <c r="L976" s="167">
        <v>729</v>
      </c>
      <c r="M976" s="168">
        <v>46073</v>
      </c>
      <c r="N976" s="169" t="s">
        <v>1029</v>
      </c>
      <c r="O976" s="162">
        <v>301</v>
      </c>
    </row>
    <row r="977" spans="1:15" x14ac:dyDescent="0.25">
      <c r="A977" s="154">
        <v>977</v>
      </c>
      <c r="B977" s="162" t="s">
        <v>1911</v>
      </c>
      <c r="C977" s="163">
        <v>54545957</v>
      </c>
      <c r="D977" s="164" t="s">
        <v>968</v>
      </c>
      <c r="E977" s="165">
        <v>13371996</v>
      </c>
      <c r="F977" s="165">
        <v>11803623</v>
      </c>
      <c r="G977" s="165">
        <v>1568373</v>
      </c>
      <c r="H977" s="165">
        <v>0</v>
      </c>
      <c r="I977" s="163"/>
      <c r="J977" s="166"/>
      <c r="K977" s="167"/>
      <c r="L977" s="167">
        <v>729</v>
      </c>
      <c r="M977" s="168">
        <v>46073</v>
      </c>
      <c r="N977" s="169" t="s">
        <v>1912</v>
      </c>
      <c r="O977" s="162">
        <v>223</v>
      </c>
    </row>
    <row r="978" spans="1:15" x14ac:dyDescent="0.25">
      <c r="A978" s="154">
        <v>978</v>
      </c>
      <c r="B978" s="162" t="s">
        <v>1913</v>
      </c>
      <c r="C978" s="163">
        <v>14430550</v>
      </c>
      <c r="D978" s="164" t="s">
        <v>968</v>
      </c>
      <c r="E978" s="165">
        <v>186600</v>
      </c>
      <c r="F978" s="165">
        <v>186600</v>
      </c>
      <c r="G978" s="165">
        <v>0</v>
      </c>
      <c r="H978" s="165">
        <v>0</v>
      </c>
      <c r="I978" s="163"/>
      <c r="J978" s="166"/>
      <c r="K978" s="167"/>
      <c r="L978" s="167">
        <v>729</v>
      </c>
      <c r="M978" s="168">
        <v>46073</v>
      </c>
      <c r="N978" s="169" t="s">
        <v>1914</v>
      </c>
      <c r="O978" s="162">
        <v>123</v>
      </c>
    </row>
    <row r="979" spans="1:15" x14ac:dyDescent="0.25">
      <c r="A979" s="154">
        <v>979</v>
      </c>
      <c r="B979" s="162" t="s">
        <v>1915</v>
      </c>
      <c r="C979" s="163">
        <v>102786204</v>
      </c>
      <c r="D979" s="164" t="s">
        <v>968</v>
      </c>
      <c r="E979" s="165">
        <v>102786204</v>
      </c>
      <c r="F979" s="165">
        <v>1598600</v>
      </c>
      <c r="G979" s="165">
        <v>101187604</v>
      </c>
      <c r="H979" s="165">
        <v>0</v>
      </c>
      <c r="I979" s="163"/>
      <c r="J979" s="166"/>
      <c r="K979" s="167"/>
      <c r="L979" s="167">
        <v>729</v>
      </c>
      <c r="M979" s="168">
        <v>46073</v>
      </c>
      <c r="N979" s="169" t="s">
        <v>1916</v>
      </c>
      <c r="O979" s="162">
        <v>301</v>
      </c>
    </row>
    <row r="980" spans="1:15" x14ac:dyDescent="0.25">
      <c r="A980" s="154">
        <v>980</v>
      </c>
      <c r="B980" s="162" t="s">
        <v>1917</v>
      </c>
      <c r="C980" s="163">
        <v>1068000</v>
      </c>
      <c r="D980" s="164" t="s">
        <v>968</v>
      </c>
      <c r="E980" s="165">
        <v>321900</v>
      </c>
      <c r="F980" s="165">
        <v>181500</v>
      </c>
      <c r="G980" s="165">
        <v>140400</v>
      </c>
      <c r="H980" s="165">
        <v>0</v>
      </c>
      <c r="I980" s="163"/>
      <c r="J980" s="166"/>
      <c r="K980" s="167"/>
      <c r="L980" s="167">
        <v>730</v>
      </c>
      <c r="M980" s="168">
        <v>46078</v>
      </c>
      <c r="N980" s="169" t="s">
        <v>1918</v>
      </c>
      <c r="O980" s="162">
        <v>601</v>
      </c>
    </row>
    <row r="981" spans="1:15" x14ac:dyDescent="0.25">
      <c r="A981" s="154">
        <v>981</v>
      </c>
      <c r="B981" s="162" t="s">
        <v>1919</v>
      </c>
      <c r="C981" s="163">
        <v>773900</v>
      </c>
      <c r="D981" s="164" t="s">
        <v>968</v>
      </c>
      <c r="E981" s="165">
        <v>321900</v>
      </c>
      <c r="F981" s="165">
        <v>181500</v>
      </c>
      <c r="G981" s="165">
        <v>140400</v>
      </c>
      <c r="H981" s="165">
        <v>0</v>
      </c>
      <c r="I981" s="163"/>
      <c r="J981" s="166"/>
      <c r="K981" s="167"/>
      <c r="L981" s="167">
        <v>730</v>
      </c>
      <c r="M981" s="168">
        <v>46078</v>
      </c>
      <c r="N981" s="169" t="s">
        <v>1920</v>
      </c>
      <c r="O981" s="162">
        <v>601</v>
      </c>
    </row>
    <row r="982" spans="1:15" x14ac:dyDescent="0.25">
      <c r="A982" s="154">
        <v>982</v>
      </c>
      <c r="B982" s="162" t="s">
        <v>1921</v>
      </c>
      <c r="C982" s="163">
        <v>7034044</v>
      </c>
      <c r="D982" s="164" t="s">
        <v>968</v>
      </c>
      <c r="E982" s="165">
        <v>742500</v>
      </c>
      <c r="F982" s="165">
        <v>297000</v>
      </c>
      <c r="G982" s="165">
        <v>445500</v>
      </c>
      <c r="H982" s="165">
        <v>0</v>
      </c>
      <c r="I982" s="163"/>
      <c r="J982" s="166"/>
      <c r="K982" s="167"/>
      <c r="L982" s="167">
        <v>730</v>
      </c>
      <c r="M982" s="168">
        <v>46078</v>
      </c>
      <c r="N982" s="169" t="s">
        <v>1922</v>
      </c>
      <c r="O982" s="162">
        <v>206</v>
      </c>
    </row>
    <row r="983" spans="1:15" x14ac:dyDescent="0.25">
      <c r="A983" s="154">
        <v>983</v>
      </c>
      <c r="B983" s="162" t="s">
        <v>1923</v>
      </c>
      <c r="C983" s="163">
        <v>12776169</v>
      </c>
      <c r="D983" s="164" t="s">
        <v>968</v>
      </c>
      <c r="E983" s="165">
        <v>100900</v>
      </c>
      <c r="F983" s="165">
        <v>100900</v>
      </c>
      <c r="G983" s="165">
        <v>0</v>
      </c>
      <c r="H983" s="165">
        <v>0</v>
      </c>
      <c r="I983" s="163"/>
      <c r="J983" s="166"/>
      <c r="K983" s="167"/>
      <c r="L983" s="167">
        <v>730</v>
      </c>
      <c r="M983" s="168">
        <v>46078</v>
      </c>
      <c r="N983" s="169" t="s">
        <v>1924</v>
      </c>
      <c r="O983" s="162">
        <v>108</v>
      </c>
    </row>
    <row r="984" spans="1:15" x14ac:dyDescent="0.25">
      <c r="A984" s="154">
        <v>984</v>
      </c>
      <c r="B984" s="162" t="s">
        <v>1925</v>
      </c>
      <c r="C984" s="163">
        <v>1771890</v>
      </c>
      <c r="D984" s="164" t="s">
        <v>968</v>
      </c>
      <c r="E984" s="165">
        <v>1771890</v>
      </c>
      <c r="F984" s="165">
        <v>1771890</v>
      </c>
      <c r="G984" s="165">
        <v>0</v>
      </c>
      <c r="H984" s="165">
        <v>0</v>
      </c>
      <c r="I984" s="163"/>
      <c r="J984" s="166"/>
      <c r="K984" s="167"/>
      <c r="L984" s="167">
        <v>730</v>
      </c>
      <c r="M984" s="168">
        <v>46078</v>
      </c>
      <c r="N984" s="169" t="s">
        <v>1926</v>
      </c>
      <c r="O984" s="162">
        <v>116</v>
      </c>
    </row>
    <row r="985" spans="1:15" x14ac:dyDescent="0.25">
      <c r="A985" s="154">
        <v>985</v>
      </c>
      <c r="B985" s="162" t="s">
        <v>1927</v>
      </c>
      <c r="C985" s="163">
        <v>6437217</v>
      </c>
      <c r="D985" s="164" t="s">
        <v>968</v>
      </c>
      <c r="E985" s="165">
        <v>877500</v>
      </c>
      <c r="F985" s="165">
        <v>351000</v>
      </c>
      <c r="G985" s="165">
        <v>526500</v>
      </c>
      <c r="H985" s="165">
        <v>0</v>
      </c>
      <c r="I985" s="163"/>
      <c r="J985" s="166"/>
      <c r="K985" s="167"/>
      <c r="L985" s="167">
        <v>730</v>
      </c>
      <c r="M985" s="168">
        <v>46078</v>
      </c>
      <c r="N985" s="169" t="s">
        <v>1928</v>
      </c>
      <c r="O985" s="162">
        <v>207</v>
      </c>
    </row>
    <row r="986" spans="1:15" x14ac:dyDescent="0.25">
      <c r="A986" s="154">
        <v>986</v>
      </c>
      <c r="B986" s="162" t="s">
        <v>1929</v>
      </c>
      <c r="C986" s="163">
        <v>3891500</v>
      </c>
      <c r="D986" s="164" t="s">
        <v>968</v>
      </c>
      <c r="E986" s="165">
        <v>32900</v>
      </c>
      <c r="F986" s="165">
        <v>32900</v>
      </c>
      <c r="G986" s="165">
        <v>0</v>
      </c>
      <c r="H986" s="165">
        <v>0</v>
      </c>
      <c r="I986" s="163"/>
      <c r="J986" s="166"/>
      <c r="K986" s="167"/>
      <c r="L986" s="167">
        <v>730</v>
      </c>
      <c r="M986" s="168">
        <v>46078</v>
      </c>
      <c r="N986" s="169" t="s">
        <v>1930</v>
      </c>
      <c r="O986" s="162">
        <v>601</v>
      </c>
    </row>
    <row r="987" spans="1:15" x14ac:dyDescent="0.25">
      <c r="A987" s="154">
        <v>987</v>
      </c>
      <c r="B987" s="162" t="s">
        <v>1931</v>
      </c>
      <c r="C987" s="163">
        <v>15360132</v>
      </c>
      <c r="D987" s="164" t="s">
        <v>968</v>
      </c>
      <c r="E987" s="165">
        <v>2160000</v>
      </c>
      <c r="F987" s="165">
        <v>864000</v>
      </c>
      <c r="G987" s="165">
        <v>1296000</v>
      </c>
      <c r="H987" s="165">
        <v>0</v>
      </c>
      <c r="I987" s="163"/>
      <c r="J987" s="166"/>
      <c r="K987" s="167"/>
      <c r="L987" s="167">
        <v>730</v>
      </c>
      <c r="M987" s="168">
        <v>46078</v>
      </c>
      <c r="N987" s="169" t="s">
        <v>1932</v>
      </c>
      <c r="O987" s="162">
        <v>207</v>
      </c>
    </row>
    <row r="988" spans="1:15" x14ac:dyDescent="0.25">
      <c r="A988" s="154">
        <v>988</v>
      </c>
      <c r="B988" s="162" t="s">
        <v>1933</v>
      </c>
      <c r="C988" s="163">
        <v>838000</v>
      </c>
      <c r="D988" s="164" t="s">
        <v>968</v>
      </c>
      <c r="E988" s="165">
        <v>140300</v>
      </c>
      <c r="F988" s="165">
        <v>0</v>
      </c>
      <c r="G988" s="165">
        <v>140300</v>
      </c>
      <c r="H988" s="165">
        <v>0</v>
      </c>
      <c r="I988" s="163"/>
      <c r="J988" s="166"/>
      <c r="K988" s="167"/>
      <c r="L988" s="167">
        <v>730</v>
      </c>
      <c r="M988" s="168">
        <v>46078</v>
      </c>
      <c r="N988" s="169" t="s">
        <v>1029</v>
      </c>
      <c r="O988" s="162">
        <v>601</v>
      </c>
    </row>
    <row r="989" spans="1:15" x14ac:dyDescent="0.25">
      <c r="A989" s="154">
        <v>989</v>
      </c>
      <c r="B989" s="162" t="s">
        <v>1934</v>
      </c>
      <c r="C989" s="163">
        <v>354700</v>
      </c>
      <c r="D989" s="164" t="s">
        <v>968</v>
      </c>
      <c r="E989" s="165">
        <v>140300</v>
      </c>
      <c r="F989" s="165">
        <v>0</v>
      </c>
      <c r="G989" s="165">
        <v>140300</v>
      </c>
      <c r="H989" s="165">
        <v>0</v>
      </c>
      <c r="I989" s="163"/>
      <c r="J989" s="166"/>
      <c r="K989" s="167"/>
      <c r="L989" s="167">
        <v>730</v>
      </c>
      <c r="M989" s="168">
        <v>46078</v>
      </c>
      <c r="N989" s="169" t="s">
        <v>1029</v>
      </c>
      <c r="O989" s="162">
        <v>601</v>
      </c>
    </row>
    <row r="990" spans="1:15" x14ac:dyDescent="0.25">
      <c r="A990" s="154">
        <v>990</v>
      </c>
      <c r="B990" s="162" t="s">
        <v>1935</v>
      </c>
      <c r="C990" s="163">
        <v>524260</v>
      </c>
      <c r="D990" s="164" t="s">
        <v>968</v>
      </c>
      <c r="E990" s="165">
        <v>321900</v>
      </c>
      <c r="F990" s="165">
        <v>321900</v>
      </c>
      <c r="G990" s="165">
        <v>0</v>
      </c>
      <c r="H990" s="165">
        <v>0</v>
      </c>
      <c r="I990" s="163"/>
      <c r="J990" s="166"/>
      <c r="K990" s="167"/>
      <c r="L990" s="167">
        <v>730</v>
      </c>
      <c r="M990" s="168">
        <v>46078</v>
      </c>
      <c r="N990" s="169" t="s">
        <v>1936</v>
      </c>
      <c r="O990" s="162">
        <v>601</v>
      </c>
    </row>
    <row r="991" spans="1:15" x14ac:dyDescent="0.25">
      <c r="A991" s="154">
        <v>991</v>
      </c>
      <c r="B991" s="162" t="s">
        <v>1937</v>
      </c>
      <c r="C991" s="163">
        <v>3599440</v>
      </c>
      <c r="D991" s="164" t="s">
        <v>968</v>
      </c>
      <c r="E991" s="165">
        <v>3599440</v>
      </c>
      <c r="F991" s="165">
        <v>3599440</v>
      </c>
      <c r="G991" s="165">
        <v>0</v>
      </c>
      <c r="H991" s="165">
        <v>0</v>
      </c>
      <c r="I991" s="163"/>
      <c r="J991" s="166"/>
      <c r="K991" s="167"/>
      <c r="L991" s="167">
        <v>730</v>
      </c>
      <c r="M991" s="168">
        <v>46078</v>
      </c>
      <c r="N991" s="169" t="s">
        <v>1938</v>
      </c>
      <c r="O991" s="162">
        <v>116</v>
      </c>
    </row>
    <row r="992" spans="1:15" x14ac:dyDescent="0.25">
      <c r="A992" s="154">
        <v>992</v>
      </c>
      <c r="B992" s="162" t="s">
        <v>1939</v>
      </c>
      <c r="C992" s="163">
        <v>18369583</v>
      </c>
      <c r="D992" s="164" t="s">
        <v>968</v>
      </c>
      <c r="E992" s="165">
        <v>3309568</v>
      </c>
      <c r="F992" s="165">
        <v>5927</v>
      </c>
      <c r="G992" s="165">
        <v>8891</v>
      </c>
      <c r="H992" s="165">
        <v>3294750</v>
      </c>
      <c r="I992" s="163"/>
      <c r="J992" s="166"/>
      <c r="K992" s="167"/>
      <c r="L992" s="167">
        <v>730</v>
      </c>
      <c r="M992" s="168">
        <v>46078</v>
      </c>
      <c r="N992" s="169" t="s">
        <v>1940</v>
      </c>
      <c r="O992" s="162">
        <v>206</v>
      </c>
    </row>
    <row r="993" spans="1:15" x14ac:dyDescent="0.25">
      <c r="A993" s="154">
        <v>993</v>
      </c>
      <c r="B993" s="162" t="s">
        <v>1941</v>
      </c>
      <c r="C993" s="163">
        <v>12995243</v>
      </c>
      <c r="D993" s="164" t="s">
        <v>968</v>
      </c>
      <c r="E993" s="165">
        <v>1026800</v>
      </c>
      <c r="F993" s="165">
        <v>1026800</v>
      </c>
      <c r="G993" s="165">
        <v>0</v>
      </c>
      <c r="H993" s="165">
        <v>0</v>
      </c>
      <c r="I993" s="163"/>
      <c r="J993" s="166"/>
      <c r="K993" s="167"/>
      <c r="L993" s="167">
        <v>730</v>
      </c>
      <c r="M993" s="168">
        <v>46078</v>
      </c>
      <c r="N993" s="169" t="s">
        <v>1942</v>
      </c>
      <c r="O993" s="162">
        <v>201</v>
      </c>
    </row>
    <row r="994" spans="1:15" x14ac:dyDescent="0.25">
      <c r="A994" s="154">
        <v>994</v>
      </c>
      <c r="B994" s="162" t="s">
        <v>1943</v>
      </c>
      <c r="C994" s="163">
        <v>21068263</v>
      </c>
      <c r="D994" s="164" t="s">
        <v>968</v>
      </c>
      <c r="E994" s="165">
        <v>131500</v>
      </c>
      <c r="F994" s="165">
        <v>131500</v>
      </c>
      <c r="G994" s="165">
        <v>0</v>
      </c>
      <c r="H994" s="165">
        <v>0</v>
      </c>
      <c r="I994" s="163"/>
      <c r="J994" s="166"/>
      <c r="K994" s="167"/>
      <c r="L994" s="167">
        <v>730</v>
      </c>
      <c r="M994" s="168">
        <v>46078</v>
      </c>
      <c r="N994" s="169" t="s">
        <v>1944</v>
      </c>
      <c r="O994" s="162">
        <v>108</v>
      </c>
    </row>
    <row r="995" spans="1:15" x14ac:dyDescent="0.25">
      <c r="A995" s="154">
        <v>995</v>
      </c>
      <c r="B995" s="162" t="s">
        <v>1945</v>
      </c>
      <c r="C995" s="163">
        <v>1441100</v>
      </c>
      <c r="D995" s="164" t="s">
        <v>968</v>
      </c>
      <c r="E995" s="165">
        <v>50219</v>
      </c>
      <c r="F995" s="165">
        <v>50219</v>
      </c>
      <c r="G995" s="165">
        <v>0</v>
      </c>
      <c r="H995" s="165">
        <v>0</v>
      </c>
      <c r="I995" s="163"/>
      <c r="J995" s="166"/>
      <c r="K995" s="167"/>
      <c r="L995" s="167">
        <v>730</v>
      </c>
      <c r="M995" s="168">
        <v>46078</v>
      </c>
      <c r="N995" s="169" t="s">
        <v>1946</v>
      </c>
      <c r="O995" s="162">
        <v>202</v>
      </c>
    </row>
    <row r="996" spans="1:15" x14ac:dyDescent="0.25">
      <c r="A996" s="154">
        <v>996</v>
      </c>
      <c r="B996" s="162" t="s">
        <v>1947</v>
      </c>
      <c r="C996" s="163">
        <v>4844984</v>
      </c>
      <c r="D996" s="164" t="s">
        <v>968</v>
      </c>
      <c r="E996" s="165">
        <v>173028</v>
      </c>
      <c r="F996" s="165">
        <v>173028</v>
      </c>
      <c r="G996" s="165">
        <v>0</v>
      </c>
      <c r="H996" s="165">
        <v>0</v>
      </c>
      <c r="I996" s="163"/>
      <c r="J996" s="166"/>
      <c r="K996" s="167"/>
      <c r="L996" s="167">
        <v>730</v>
      </c>
      <c r="M996" s="168">
        <v>46078</v>
      </c>
      <c r="N996" s="169" t="s">
        <v>1948</v>
      </c>
      <c r="O996" s="162">
        <v>207</v>
      </c>
    </row>
    <row r="997" spans="1:15" x14ac:dyDescent="0.25">
      <c r="A997" s="154">
        <v>997</v>
      </c>
      <c r="B997" s="162" t="s">
        <v>1949</v>
      </c>
      <c r="C997" s="163">
        <v>45033842</v>
      </c>
      <c r="D997" s="164" t="s">
        <v>968</v>
      </c>
      <c r="E997" s="165">
        <v>111400</v>
      </c>
      <c r="F997" s="165">
        <v>111400</v>
      </c>
      <c r="G997" s="165">
        <v>0</v>
      </c>
      <c r="H997" s="165">
        <v>0</v>
      </c>
      <c r="I997" s="163"/>
      <c r="J997" s="166"/>
      <c r="K997" s="167"/>
      <c r="L997" s="167">
        <v>730</v>
      </c>
      <c r="M997" s="168">
        <v>46078</v>
      </c>
      <c r="N997" s="169" t="s">
        <v>1950</v>
      </c>
      <c r="O997" s="162">
        <v>108</v>
      </c>
    </row>
    <row r="998" spans="1:15" x14ac:dyDescent="0.25">
      <c r="A998" s="154">
        <v>998</v>
      </c>
      <c r="B998" s="162" t="s">
        <v>1951</v>
      </c>
      <c r="C998" s="163">
        <v>11635811</v>
      </c>
      <c r="D998" s="164" t="s">
        <v>968</v>
      </c>
      <c r="E998" s="165">
        <v>528142</v>
      </c>
      <c r="F998" s="165">
        <v>445015</v>
      </c>
      <c r="G998" s="165">
        <v>83127</v>
      </c>
      <c r="H998" s="165">
        <v>0</v>
      </c>
      <c r="I998" s="163"/>
      <c r="J998" s="166"/>
      <c r="K998" s="167"/>
      <c r="L998" s="167">
        <v>730</v>
      </c>
      <c r="M998" s="168">
        <v>46078</v>
      </c>
      <c r="N998" s="169" t="s">
        <v>1952</v>
      </c>
      <c r="O998" s="162">
        <v>206</v>
      </c>
    </row>
    <row r="999" spans="1:15" x14ac:dyDescent="0.25">
      <c r="A999" s="154">
        <v>999</v>
      </c>
      <c r="B999" s="162" t="s">
        <v>1953</v>
      </c>
      <c r="C999" s="163">
        <v>12375011</v>
      </c>
      <c r="D999" s="164" t="s">
        <v>968</v>
      </c>
      <c r="E999" s="165">
        <v>706662</v>
      </c>
      <c r="F999" s="165">
        <v>612713</v>
      </c>
      <c r="G999" s="165">
        <v>93949</v>
      </c>
      <c r="H999" s="165">
        <v>0</v>
      </c>
      <c r="I999" s="163"/>
      <c r="J999" s="166"/>
      <c r="K999" s="167"/>
      <c r="L999" s="167">
        <v>730</v>
      </c>
      <c r="M999" s="168">
        <v>46078</v>
      </c>
      <c r="N999" s="169" t="s">
        <v>1954</v>
      </c>
      <c r="O999" s="162">
        <v>206</v>
      </c>
    </row>
    <row r="1000" spans="1:15" x14ac:dyDescent="0.25">
      <c r="A1000" s="154">
        <v>1000</v>
      </c>
      <c r="B1000" s="162" t="s">
        <v>1955</v>
      </c>
      <c r="C1000" s="163">
        <v>2324600</v>
      </c>
      <c r="D1000" s="164" t="s">
        <v>968</v>
      </c>
      <c r="E1000" s="165">
        <v>67800</v>
      </c>
      <c r="F1000" s="165">
        <v>0</v>
      </c>
      <c r="G1000" s="165">
        <v>67800</v>
      </c>
      <c r="H1000" s="165">
        <v>0</v>
      </c>
      <c r="I1000" s="163"/>
      <c r="J1000" s="166"/>
      <c r="K1000" s="167"/>
      <c r="L1000" s="167">
        <v>730</v>
      </c>
      <c r="M1000" s="168">
        <v>46078</v>
      </c>
      <c r="N1000" s="169" t="s">
        <v>1029</v>
      </c>
      <c r="O1000" s="162">
        <v>608</v>
      </c>
    </row>
    <row r="1001" spans="1:15" x14ac:dyDescent="0.25">
      <c r="A1001" s="154">
        <v>1001</v>
      </c>
      <c r="B1001" s="162" t="s">
        <v>1956</v>
      </c>
      <c r="C1001" s="163">
        <v>14048947</v>
      </c>
      <c r="D1001" s="164" t="s">
        <v>968</v>
      </c>
      <c r="E1001" s="165">
        <v>1012500</v>
      </c>
      <c r="F1001" s="165">
        <v>405000</v>
      </c>
      <c r="G1001" s="165">
        <v>607500</v>
      </c>
      <c r="H1001" s="165">
        <v>0</v>
      </c>
      <c r="I1001" s="163"/>
      <c r="J1001" s="166"/>
      <c r="K1001" s="167"/>
      <c r="L1001" s="167">
        <v>730</v>
      </c>
      <c r="M1001" s="168">
        <v>46078</v>
      </c>
      <c r="N1001" s="169" t="s">
        <v>1957</v>
      </c>
      <c r="O1001" s="162">
        <v>207</v>
      </c>
    </row>
    <row r="1002" spans="1:15" x14ac:dyDescent="0.25">
      <c r="A1002" s="154">
        <v>1002</v>
      </c>
      <c r="B1002" s="162" t="s">
        <v>1958</v>
      </c>
      <c r="C1002" s="163">
        <v>30251031</v>
      </c>
      <c r="D1002" s="164" t="s">
        <v>968</v>
      </c>
      <c r="E1002" s="165">
        <v>846160</v>
      </c>
      <c r="F1002" s="165">
        <v>846160</v>
      </c>
      <c r="G1002" s="165">
        <v>0</v>
      </c>
      <c r="H1002" s="165">
        <v>0</v>
      </c>
      <c r="I1002" s="163"/>
      <c r="J1002" s="166"/>
      <c r="K1002" s="167"/>
      <c r="L1002" s="167">
        <v>730</v>
      </c>
      <c r="M1002" s="168">
        <v>46078</v>
      </c>
      <c r="N1002" s="169" t="s">
        <v>1959</v>
      </c>
      <c r="O1002" s="162">
        <v>206</v>
      </c>
    </row>
    <row r="1003" spans="1:15" x14ac:dyDescent="0.25">
      <c r="A1003" s="154">
        <v>1003</v>
      </c>
      <c r="B1003" s="162" t="s">
        <v>1960</v>
      </c>
      <c r="C1003" s="163">
        <v>12040298</v>
      </c>
      <c r="D1003" s="164" t="s">
        <v>968</v>
      </c>
      <c r="E1003" s="165">
        <v>587692</v>
      </c>
      <c r="F1003" s="165">
        <v>587692</v>
      </c>
      <c r="G1003" s="165">
        <v>0</v>
      </c>
      <c r="H1003" s="165">
        <v>0</v>
      </c>
      <c r="I1003" s="163"/>
      <c r="J1003" s="166"/>
      <c r="K1003" s="167"/>
      <c r="L1003" s="167">
        <v>730</v>
      </c>
      <c r="M1003" s="168">
        <v>46078</v>
      </c>
      <c r="N1003" s="169" t="s">
        <v>1961</v>
      </c>
      <c r="O1003" s="162">
        <v>206</v>
      </c>
    </row>
    <row r="1004" spans="1:15" x14ac:dyDescent="0.25">
      <c r="A1004" s="154">
        <v>1004</v>
      </c>
      <c r="B1004" s="162" t="s">
        <v>1962</v>
      </c>
      <c r="C1004" s="163">
        <v>11625800</v>
      </c>
      <c r="D1004" s="164" t="s">
        <v>968</v>
      </c>
      <c r="E1004" s="165">
        <v>1233900</v>
      </c>
      <c r="F1004" s="165">
        <v>0</v>
      </c>
      <c r="G1004" s="165">
        <v>1233900</v>
      </c>
      <c r="H1004" s="165">
        <v>0</v>
      </c>
      <c r="I1004" s="163"/>
      <c r="J1004" s="166"/>
      <c r="K1004" s="167"/>
      <c r="L1004" s="167">
        <v>730</v>
      </c>
      <c r="M1004" s="168">
        <v>46078</v>
      </c>
      <c r="N1004" s="169" t="s">
        <v>1029</v>
      </c>
      <c r="O1004" s="162">
        <v>123</v>
      </c>
    </row>
    <row r="1005" spans="1:15" x14ac:dyDescent="0.25">
      <c r="A1005" s="154">
        <v>1005</v>
      </c>
      <c r="B1005" s="162" t="s">
        <v>1963</v>
      </c>
      <c r="C1005" s="163">
        <v>13937777</v>
      </c>
      <c r="D1005" s="164" t="s">
        <v>968</v>
      </c>
      <c r="E1005" s="165">
        <v>144190</v>
      </c>
      <c r="F1005" s="165">
        <v>144190</v>
      </c>
      <c r="G1005" s="165">
        <v>0</v>
      </c>
      <c r="H1005" s="165">
        <v>0</v>
      </c>
      <c r="I1005" s="163"/>
      <c r="J1005" s="166"/>
      <c r="K1005" s="167"/>
      <c r="L1005" s="167">
        <v>730</v>
      </c>
      <c r="M1005" s="168">
        <v>46078</v>
      </c>
      <c r="N1005" s="169" t="s">
        <v>1964</v>
      </c>
      <c r="O1005" s="162">
        <v>206</v>
      </c>
    </row>
    <row r="1006" spans="1:15" x14ac:dyDescent="0.25">
      <c r="A1006" s="154">
        <v>1006</v>
      </c>
      <c r="B1006" s="162" t="s">
        <v>1965</v>
      </c>
      <c r="C1006" s="163">
        <v>989500</v>
      </c>
      <c r="D1006" s="164" t="s">
        <v>968</v>
      </c>
      <c r="E1006" s="165">
        <v>159800</v>
      </c>
      <c r="F1006" s="165">
        <v>123200</v>
      </c>
      <c r="G1006" s="165">
        <v>36600</v>
      </c>
      <c r="H1006" s="165">
        <v>0</v>
      </c>
      <c r="I1006" s="163"/>
      <c r="J1006" s="166"/>
      <c r="K1006" s="167"/>
      <c r="L1006" s="167">
        <v>730</v>
      </c>
      <c r="M1006" s="168">
        <v>46078</v>
      </c>
      <c r="N1006" s="169" t="s">
        <v>1966</v>
      </c>
      <c r="O1006" s="162">
        <v>608</v>
      </c>
    </row>
    <row r="1007" spans="1:15" x14ac:dyDescent="0.25">
      <c r="A1007" s="154">
        <v>1007</v>
      </c>
      <c r="B1007" s="162" t="s">
        <v>1967</v>
      </c>
      <c r="C1007" s="163">
        <v>28420428</v>
      </c>
      <c r="D1007" s="164" t="s">
        <v>968</v>
      </c>
      <c r="E1007" s="165">
        <v>1147500</v>
      </c>
      <c r="F1007" s="165">
        <v>459000</v>
      </c>
      <c r="G1007" s="165">
        <v>688500</v>
      </c>
      <c r="H1007" s="165">
        <v>0</v>
      </c>
      <c r="I1007" s="163"/>
      <c r="J1007" s="166"/>
      <c r="K1007" s="167"/>
      <c r="L1007" s="167">
        <v>730</v>
      </c>
      <c r="M1007" s="168">
        <v>46078</v>
      </c>
      <c r="N1007" s="169" t="s">
        <v>1968</v>
      </c>
      <c r="O1007" s="162">
        <v>207</v>
      </c>
    </row>
    <row r="1008" spans="1:15" x14ac:dyDescent="0.25">
      <c r="A1008" s="154">
        <v>1008</v>
      </c>
      <c r="B1008" s="162" t="s">
        <v>1969</v>
      </c>
      <c r="C1008" s="163">
        <v>4930100</v>
      </c>
      <c r="D1008" s="164" t="s">
        <v>968</v>
      </c>
      <c r="E1008" s="165">
        <v>720300</v>
      </c>
      <c r="F1008" s="165">
        <v>0</v>
      </c>
      <c r="G1008" s="165">
        <v>720300</v>
      </c>
      <c r="H1008" s="165">
        <v>0</v>
      </c>
      <c r="I1008" s="163"/>
      <c r="J1008" s="166"/>
      <c r="K1008" s="167"/>
      <c r="L1008" s="167">
        <v>730</v>
      </c>
      <c r="M1008" s="168">
        <v>46078</v>
      </c>
      <c r="N1008" s="169" t="s">
        <v>1029</v>
      </c>
      <c r="O1008" s="162">
        <v>201</v>
      </c>
    </row>
    <row r="1009" spans="1:15" x14ac:dyDescent="0.25">
      <c r="A1009" s="154">
        <v>1009</v>
      </c>
      <c r="B1009" s="162" t="s">
        <v>1970</v>
      </c>
      <c r="C1009" s="163">
        <v>18008710</v>
      </c>
      <c r="D1009" s="164" t="s">
        <v>968</v>
      </c>
      <c r="E1009" s="165">
        <v>2040489</v>
      </c>
      <c r="F1009" s="165">
        <v>2040489</v>
      </c>
      <c r="G1009" s="165">
        <v>0</v>
      </c>
      <c r="H1009" s="165">
        <v>0</v>
      </c>
      <c r="I1009" s="163"/>
      <c r="J1009" s="166"/>
      <c r="K1009" s="167"/>
      <c r="L1009" s="167">
        <v>730</v>
      </c>
      <c r="M1009" s="168">
        <v>46078</v>
      </c>
      <c r="N1009" s="169" t="s">
        <v>1971</v>
      </c>
      <c r="O1009" s="162">
        <v>601</v>
      </c>
    </row>
    <row r="1010" spans="1:15" x14ac:dyDescent="0.25">
      <c r="A1010" s="154">
        <v>1010</v>
      </c>
      <c r="B1010" s="162" t="s">
        <v>1972</v>
      </c>
      <c r="C1010" s="163">
        <v>605600</v>
      </c>
      <c r="D1010" s="164" t="s">
        <v>968</v>
      </c>
      <c r="E1010" s="165">
        <v>321900</v>
      </c>
      <c r="F1010" s="165">
        <v>181600</v>
      </c>
      <c r="G1010" s="165">
        <v>140300</v>
      </c>
      <c r="H1010" s="165">
        <v>0</v>
      </c>
      <c r="I1010" s="163"/>
      <c r="J1010" s="166"/>
      <c r="K1010" s="167"/>
      <c r="L1010" s="167">
        <v>730</v>
      </c>
      <c r="M1010" s="168">
        <v>46078</v>
      </c>
      <c r="N1010" s="169" t="s">
        <v>1973</v>
      </c>
      <c r="O1010" s="162">
        <v>601</v>
      </c>
    </row>
    <row r="1011" spans="1:15" x14ac:dyDescent="0.25">
      <c r="A1011" s="154">
        <v>1011</v>
      </c>
      <c r="B1011" s="162" t="s">
        <v>1974</v>
      </c>
      <c r="C1011" s="163">
        <v>7198230</v>
      </c>
      <c r="D1011" s="164" t="s">
        <v>968</v>
      </c>
      <c r="E1011" s="165">
        <v>7198230</v>
      </c>
      <c r="F1011" s="165">
        <v>0</v>
      </c>
      <c r="G1011" s="165">
        <v>0</v>
      </c>
      <c r="H1011" s="165">
        <v>7198230</v>
      </c>
      <c r="I1011" s="163"/>
      <c r="J1011" s="166"/>
      <c r="K1011" s="167"/>
      <c r="L1011" s="167">
        <v>730</v>
      </c>
      <c r="M1011" s="168">
        <v>46078</v>
      </c>
      <c r="N1011" s="169" t="s">
        <v>1975</v>
      </c>
      <c r="O1011" s="162">
        <v>116</v>
      </c>
    </row>
    <row r="1012" spans="1:15" x14ac:dyDescent="0.25">
      <c r="A1012" s="154">
        <v>1012</v>
      </c>
      <c r="B1012" s="162" t="s">
        <v>1976</v>
      </c>
      <c r="C1012" s="163">
        <v>5363556</v>
      </c>
      <c r="D1012" s="164" t="s">
        <v>968</v>
      </c>
      <c r="E1012" s="165">
        <v>5363556</v>
      </c>
      <c r="F1012" s="165">
        <v>5363556</v>
      </c>
      <c r="G1012" s="165">
        <v>0</v>
      </c>
      <c r="H1012" s="165">
        <v>0</v>
      </c>
      <c r="I1012" s="163"/>
      <c r="J1012" s="166"/>
      <c r="K1012" s="167"/>
      <c r="L1012" s="167">
        <v>731</v>
      </c>
      <c r="M1012" s="168">
        <v>46073</v>
      </c>
      <c r="N1012" s="169" t="s">
        <v>1977</v>
      </c>
      <c r="O1012" s="162">
        <v>816</v>
      </c>
    </row>
    <row r="1013" spans="1:15" x14ac:dyDescent="0.25">
      <c r="A1013" s="154">
        <v>1013</v>
      </c>
      <c r="B1013" s="162" t="s">
        <v>1978</v>
      </c>
      <c r="C1013" s="163">
        <v>4375658</v>
      </c>
      <c r="D1013" s="164" t="s">
        <v>968</v>
      </c>
      <c r="E1013" s="165">
        <v>519648</v>
      </c>
      <c r="F1013" s="165">
        <v>21300</v>
      </c>
      <c r="G1013" s="165">
        <v>498348</v>
      </c>
      <c r="H1013" s="165">
        <v>0</v>
      </c>
      <c r="I1013" s="163"/>
      <c r="J1013" s="166"/>
      <c r="K1013" s="167"/>
      <c r="L1013" s="167">
        <v>731</v>
      </c>
      <c r="M1013" s="168">
        <v>46073</v>
      </c>
      <c r="N1013" s="169" t="s">
        <v>1979</v>
      </c>
      <c r="O1013" s="162">
        <v>223</v>
      </c>
    </row>
    <row r="1014" spans="1:15" x14ac:dyDescent="0.25">
      <c r="A1014" s="154">
        <v>1014</v>
      </c>
      <c r="B1014" s="162" t="s">
        <v>1980</v>
      </c>
      <c r="C1014" s="163">
        <v>6430792</v>
      </c>
      <c r="D1014" s="164" t="s">
        <v>968</v>
      </c>
      <c r="E1014" s="165">
        <v>3960792</v>
      </c>
      <c r="F1014" s="165">
        <v>0</v>
      </c>
      <c r="G1014" s="165">
        <v>3960792</v>
      </c>
      <c r="H1014" s="165">
        <v>0</v>
      </c>
      <c r="I1014" s="163"/>
      <c r="J1014" s="166"/>
      <c r="K1014" s="167"/>
      <c r="L1014" s="167">
        <v>731</v>
      </c>
      <c r="M1014" s="168">
        <v>46073</v>
      </c>
      <c r="N1014" s="169" t="s">
        <v>1029</v>
      </c>
      <c r="O1014" s="162">
        <v>223</v>
      </c>
    </row>
    <row r="1015" spans="1:15" x14ac:dyDescent="0.25">
      <c r="A1015" s="154">
        <v>1015</v>
      </c>
      <c r="B1015" s="162" t="s">
        <v>1981</v>
      </c>
      <c r="C1015" s="163">
        <v>3064700</v>
      </c>
      <c r="D1015" s="164" t="s">
        <v>968</v>
      </c>
      <c r="E1015" s="165">
        <v>594700</v>
      </c>
      <c r="F1015" s="165">
        <v>0</v>
      </c>
      <c r="G1015" s="165">
        <v>594700</v>
      </c>
      <c r="H1015" s="165">
        <v>0</v>
      </c>
      <c r="I1015" s="163"/>
      <c r="J1015" s="166"/>
      <c r="K1015" s="167"/>
      <c r="L1015" s="167">
        <v>731</v>
      </c>
      <c r="M1015" s="168">
        <v>46073</v>
      </c>
      <c r="N1015" s="169" t="s">
        <v>1029</v>
      </c>
      <c r="O1015" s="162">
        <v>223</v>
      </c>
    </row>
    <row r="1016" spans="1:15" x14ac:dyDescent="0.25">
      <c r="A1016" s="154">
        <v>1016</v>
      </c>
      <c r="B1016" s="162" t="s">
        <v>1982</v>
      </c>
      <c r="C1016" s="163">
        <v>3230920</v>
      </c>
      <c r="D1016" s="164" t="s">
        <v>968</v>
      </c>
      <c r="E1016" s="165">
        <v>760920</v>
      </c>
      <c r="F1016" s="165">
        <v>0</v>
      </c>
      <c r="G1016" s="165">
        <v>760920</v>
      </c>
      <c r="H1016" s="165">
        <v>0</v>
      </c>
      <c r="I1016" s="163"/>
      <c r="J1016" s="166"/>
      <c r="K1016" s="167"/>
      <c r="L1016" s="167">
        <v>731</v>
      </c>
      <c r="M1016" s="168">
        <v>46073</v>
      </c>
      <c r="N1016" s="169" t="s">
        <v>1029</v>
      </c>
      <c r="O1016" s="162">
        <v>223</v>
      </c>
    </row>
    <row r="1017" spans="1:15" x14ac:dyDescent="0.25">
      <c r="A1017" s="154">
        <v>1017</v>
      </c>
      <c r="B1017" s="162" t="s">
        <v>1983</v>
      </c>
      <c r="C1017" s="163">
        <v>6883012</v>
      </c>
      <c r="D1017" s="164" t="s">
        <v>968</v>
      </c>
      <c r="E1017" s="165">
        <v>3333612</v>
      </c>
      <c r="F1017" s="165">
        <v>0</v>
      </c>
      <c r="G1017" s="165">
        <v>3333612</v>
      </c>
      <c r="H1017" s="165">
        <v>0</v>
      </c>
      <c r="I1017" s="163"/>
      <c r="J1017" s="166"/>
      <c r="K1017" s="167"/>
      <c r="L1017" s="167">
        <v>731</v>
      </c>
      <c r="M1017" s="168">
        <v>46073</v>
      </c>
      <c r="N1017" s="169" t="s">
        <v>1029</v>
      </c>
      <c r="O1017" s="162">
        <v>223</v>
      </c>
    </row>
    <row r="1018" spans="1:15" x14ac:dyDescent="0.25">
      <c r="A1018" s="154">
        <v>1018</v>
      </c>
      <c r="B1018" s="162" t="s">
        <v>1984</v>
      </c>
      <c r="C1018" s="163">
        <v>6568036</v>
      </c>
      <c r="D1018" s="164" t="s">
        <v>968</v>
      </c>
      <c r="E1018" s="165">
        <v>2712026</v>
      </c>
      <c r="F1018" s="165">
        <v>21300</v>
      </c>
      <c r="G1018" s="165">
        <v>2690726</v>
      </c>
      <c r="H1018" s="165">
        <v>0</v>
      </c>
      <c r="I1018" s="163"/>
      <c r="J1018" s="166"/>
      <c r="K1018" s="167"/>
      <c r="L1018" s="167">
        <v>731</v>
      </c>
      <c r="M1018" s="168">
        <v>46073</v>
      </c>
      <c r="N1018" s="169" t="s">
        <v>1979</v>
      </c>
      <c r="O1018" s="162">
        <v>223</v>
      </c>
    </row>
    <row r="1019" spans="1:15" x14ac:dyDescent="0.25">
      <c r="A1019" s="154">
        <v>1019</v>
      </c>
      <c r="B1019" s="162" t="s">
        <v>1985</v>
      </c>
      <c r="C1019" s="163">
        <v>7322766</v>
      </c>
      <c r="D1019" s="164" t="s">
        <v>968</v>
      </c>
      <c r="E1019" s="165">
        <v>3624650</v>
      </c>
      <c r="F1019" s="165">
        <v>21300</v>
      </c>
      <c r="G1019" s="165">
        <v>3603350</v>
      </c>
      <c r="H1019" s="165">
        <v>0</v>
      </c>
      <c r="I1019" s="163"/>
      <c r="J1019" s="166"/>
      <c r="K1019" s="167"/>
      <c r="L1019" s="167">
        <v>731</v>
      </c>
      <c r="M1019" s="168">
        <v>46073</v>
      </c>
      <c r="N1019" s="169" t="s">
        <v>1979</v>
      </c>
      <c r="O1019" s="162">
        <v>223</v>
      </c>
    </row>
    <row r="1020" spans="1:15" x14ac:dyDescent="0.25">
      <c r="A1020" s="154">
        <v>1020</v>
      </c>
      <c r="B1020" s="162" t="s">
        <v>1986</v>
      </c>
      <c r="C1020" s="163">
        <v>6987633</v>
      </c>
      <c r="D1020" s="164" t="s">
        <v>968</v>
      </c>
      <c r="E1020" s="165">
        <v>3279523</v>
      </c>
      <c r="F1020" s="165">
        <v>21300</v>
      </c>
      <c r="G1020" s="165">
        <v>3258223</v>
      </c>
      <c r="H1020" s="165">
        <v>0</v>
      </c>
      <c r="I1020" s="163"/>
      <c r="J1020" s="166"/>
      <c r="K1020" s="167"/>
      <c r="L1020" s="167">
        <v>731</v>
      </c>
      <c r="M1020" s="168">
        <v>46073</v>
      </c>
      <c r="N1020" s="169" t="s">
        <v>1979</v>
      </c>
      <c r="O1020" s="162">
        <v>223</v>
      </c>
    </row>
    <row r="1021" spans="1:15" x14ac:dyDescent="0.25">
      <c r="A1021" s="154">
        <v>1021</v>
      </c>
      <c r="B1021" s="162" t="s">
        <v>1987</v>
      </c>
      <c r="C1021" s="163">
        <v>3462185</v>
      </c>
      <c r="D1021" s="164" t="s">
        <v>968</v>
      </c>
      <c r="E1021" s="165">
        <v>992185</v>
      </c>
      <c r="F1021" s="165">
        <v>0</v>
      </c>
      <c r="G1021" s="165">
        <v>992185</v>
      </c>
      <c r="H1021" s="165">
        <v>0</v>
      </c>
      <c r="I1021" s="163"/>
      <c r="J1021" s="166"/>
      <c r="K1021" s="167"/>
      <c r="L1021" s="167">
        <v>731</v>
      </c>
      <c r="M1021" s="168">
        <v>46073</v>
      </c>
      <c r="N1021" s="169" t="s">
        <v>1029</v>
      </c>
      <c r="O1021" s="162">
        <v>223</v>
      </c>
    </row>
    <row r="1022" spans="1:15" x14ac:dyDescent="0.25">
      <c r="A1022" s="154">
        <v>1022</v>
      </c>
      <c r="B1022" s="162" t="s">
        <v>1988</v>
      </c>
      <c r="C1022" s="163">
        <v>11753279</v>
      </c>
      <c r="D1022" s="164" t="s">
        <v>968</v>
      </c>
      <c r="E1022" s="165">
        <v>8045169</v>
      </c>
      <c r="F1022" s="165">
        <v>21300</v>
      </c>
      <c r="G1022" s="165">
        <v>8023869</v>
      </c>
      <c r="H1022" s="165">
        <v>0</v>
      </c>
      <c r="I1022" s="163"/>
      <c r="J1022" s="166"/>
      <c r="K1022" s="167"/>
      <c r="L1022" s="167">
        <v>731</v>
      </c>
      <c r="M1022" s="168">
        <v>46073</v>
      </c>
      <c r="N1022" s="169" t="s">
        <v>1979</v>
      </c>
      <c r="O1022" s="162">
        <v>223</v>
      </c>
    </row>
    <row r="1023" spans="1:15" x14ac:dyDescent="0.25">
      <c r="A1023" s="154">
        <v>1023</v>
      </c>
      <c r="B1023" s="162" t="s">
        <v>1989</v>
      </c>
      <c r="C1023" s="163">
        <v>3170300</v>
      </c>
      <c r="D1023" s="164" t="s">
        <v>968</v>
      </c>
      <c r="E1023" s="165">
        <v>700300</v>
      </c>
      <c r="F1023" s="165">
        <v>0</v>
      </c>
      <c r="G1023" s="165">
        <v>700300</v>
      </c>
      <c r="H1023" s="165">
        <v>0</v>
      </c>
      <c r="I1023" s="163"/>
      <c r="J1023" s="166"/>
      <c r="K1023" s="167"/>
      <c r="L1023" s="167">
        <v>731</v>
      </c>
      <c r="M1023" s="168">
        <v>46073</v>
      </c>
      <c r="N1023" s="169" t="s">
        <v>1029</v>
      </c>
      <c r="O1023" s="162">
        <v>223</v>
      </c>
    </row>
    <row r="1024" spans="1:15" x14ac:dyDescent="0.25">
      <c r="A1024" s="154">
        <v>1024</v>
      </c>
      <c r="B1024" s="162" t="s">
        <v>1990</v>
      </c>
      <c r="C1024" s="163">
        <v>7271426</v>
      </c>
      <c r="D1024" s="164" t="s">
        <v>968</v>
      </c>
      <c r="E1024" s="165">
        <v>3563316</v>
      </c>
      <c r="F1024" s="165">
        <v>21300</v>
      </c>
      <c r="G1024" s="165">
        <v>3542016</v>
      </c>
      <c r="H1024" s="165">
        <v>0</v>
      </c>
      <c r="I1024" s="163"/>
      <c r="J1024" s="166"/>
      <c r="K1024" s="167"/>
      <c r="L1024" s="167">
        <v>731</v>
      </c>
      <c r="M1024" s="168">
        <v>46073</v>
      </c>
      <c r="N1024" s="169" t="s">
        <v>1979</v>
      </c>
      <c r="O1024" s="162">
        <v>223</v>
      </c>
    </row>
    <row r="1025" spans="1:15" x14ac:dyDescent="0.25">
      <c r="A1025" s="154">
        <v>1025</v>
      </c>
      <c r="B1025" s="162" t="s">
        <v>1991</v>
      </c>
      <c r="C1025" s="163">
        <v>4184196</v>
      </c>
      <c r="D1025" s="164" t="s">
        <v>968</v>
      </c>
      <c r="E1025" s="165">
        <v>328186</v>
      </c>
      <c r="F1025" s="165">
        <v>21300</v>
      </c>
      <c r="G1025" s="165">
        <v>306886</v>
      </c>
      <c r="H1025" s="165">
        <v>0</v>
      </c>
      <c r="I1025" s="163"/>
      <c r="J1025" s="166"/>
      <c r="K1025" s="167"/>
      <c r="L1025" s="167">
        <v>731</v>
      </c>
      <c r="M1025" s="168">
        <v>46073</v>
      </c>
      <c r="N1025" s="169" t="s">
        <v>1979</v>
      </c>
      <c r="O1025" s="162">
        <v>223</v>
      </c>
    </row>
    <row r="1026" spans="1:15" x14ac:dyDescent="0.25">
      <c r="A1026" s="154">
        <v>1026</v>
      </c>
      <c r="B1026" s="162" t="s">
        <v>1992</v>
      </c>
      <c r="C1026" s="163">
        <v>3634076</v>
      </c>
      <c r="D1026" s="164" t="s">
        <v>968</v>
      </c>
      <c r="E1026" s="165">
        <v>1164076</v>
      </c>
      <c r="F1026" s="165">
        <v>0</v>
      </c>
      <c r="G1026" s="165">
        <v>1164076</v>
      </c>
      <c r="H1026" s="165">
        <v>0</v>
      </c>
      <c r="I1026" s="163"/>
      <c r="J1026" s="166"/>
      <c r="K1026" s="167"/>
      <c r="L1026" s="167">
        <v>731</v>
      </c>
      <c r="M1026" s="168">
        <v>46073</v>
      </c>
      <c r="N1026" s="169" t="s">
        <v>1029</v>
      </c>
      <c r="O1026" s="162">
        <v>223</v>
      </c>
    </row>
    <row r="1027" spans="1:15" x14ac:dyDescent="0.25">
      <c r="A1027" s="154">
        <v>1027</v>
      </c>
      <c r="B1027" s="162" t="s">
        <v>1993</v>
      </c>
      <c r="C1027" s="163">
        <v>568800</v>
      </c>
      <c r="D1027" s="164" t="s">
        <v>968</v>
      </c>
      <c r="E1027" s="165">
        <v>61890</v>
      </c>
      <c r="F1027" s="165">
        <v>21300</v>
      </c>
      <c r="G1027" s="165">
        <v>40590</v>
      </c>
      <c r="H1027" s="165">
        <v>0</v>
      </c>
      <c r="I1027" s="163"/>
      <c r="J1027" s="166"/>
      <c r="K1027" s="167"/>
      <c r="L1027" s="167">
        <v>732</v>
      </c>
      <c r="M1027" s="168">
        <v>46073</v>
      </c>
      <c r="N1027" s="169" t="s">
        <v>1979</v>
      </c>
      <c r="O1027" s="162">
        <v>208</v>
      </c>
    </row>
    <row r="1028" spans="1:15" x14ac:dyDescent="0.25">
      <c r="A1028" s="154">
        <v>1028</v>
      </c>
      <c r="B1028" s="162" t="s">
        <v>1994</v>
      </c>
      <c r="C1028" s="163">
        <v>710600</v>
      </c>
      <c r="D1028" s="164" t="s">
        <v>968</v>
      </c>
      <c r="E1028" s="165">
        <v>180500</v>
      </c>
      <c r="F1028" s="165">
        <v>0</v>
      </c>
      <c r="G1028" s="165">
        <v>180500</v>
      </c>
      <c r="H1028" s="165">
        <v>0</v>
      </c>
      <c r="I1028" s="163"/>
      <c r="J1028" s="166"/>
      <c r="K1028" s="167"/>
      <c r="L1028" s="167">
        <v>732</v>
      </c>
      <c r="M1028" s="168">
        <v>46073</v>
      </c>
      <c r="N1028" s="169" t="s">
        <v>1029</v>
      </c>
      <c r="O1028" s="162">
        <v>201</v>
      </c>
    </row>
    <row r="1029" spans="1:15" x14ac:dyDescent="0.25">
      <c r="A1029" s="154">
        <v>1029</v>
      </c>
      <c r="B1029" s="162" t="s">
        <v>1995</v>
      </c>
      <c r="C1029" s="163">
        <v>289900</v>
      </c>
      <c r="D1029" s="164" t="s">
        <v>968</v>
      </c>
      <c r="E1029" s="165">
        <v>10500</v>
      </c>
      <c r="F1029" s="165">
        <v>6000</v>
      </c>
      <c r="G1029" s="165">
        <v>4500</v>
      </c>
      <c r="H1029" s="165">
        <v>0</v>
      </c>
      <c r="I1029" s="163"/>
      <c r="J1029" s="166"/>
      <c r="K1029" s="167"/>
      <c r="L1029" s="167">
        <v>732</v>
      </c>
      <c r="M1029" s="168">
        <v>46073</v>
      </c>
      <c r="N1029" s="169" t="s">
        <v>1996</v>
      </c>
      <c r="O1029" s="162">
        <v>608</v>
      </c>
    </row>
    <row r="1030" spans="1:15" x14ac:dyDescent="0.25">
      <c r="A1030" s="154">
        <v>1030</v>
      </c>
      <c r="B1030" s="162" t="s">
        <v>1997</v>
      </c>
      <c r="C1030" s="163">
        <v>1413300</v>
      </c>
      <c r="D1030" s="164" t="s">
        <v>968</v>
      </c>
      <c r="E1030" s="165">
        <v>61890</v>
      </c>
      <c r="F1030" s="165">
        <v>21300</v>
      </c>
      <c r="G1030" s="165">
        <v>40590</v>
      </c>
      <c r="H1030" s="165">
        <v>0</v>
      </c>
      <c r="I1030" s="163"/>
      <c r="J1030" s="166"/>
      <c r="K1030" s="167"/>
      <c r="L1030" s="167">
        <v>732</v>
      </c>
      <c r="M1030" s="168">
        <v>46073</v>
      </c>
      <c r="N1030" s="169" t="s">
        <v>1979</v>
      </c>
      <c r="O1030" s="162">
        <v>208</v>
      </c>
    </row>
    <row r="1031" spans="1:15" x14ac:dyDescent="0.25">
      <c r="A1031" s="154">
        <v>1031</v>
      </c>
      <c r="B1031" s="162" t="s">
        <v>1998</v>
      </c>
      <c r="C1031" s="163">
        <v>1458703</v>
      </c>
      <c r="D1031" s="164" t="s">
        <v>968</v>
      </c>
      <c r="E1031" s="165">
        <v>61890</v>
      </c>
      <c r="F1031" s="165">
        <v>21300</v>
      </c>
      <c r="G1031" s="165">
        <v>40590</v>
      </c>
      <c r="H1031" s="165">
        <v>0</v>
      </c>
      <c r="I1031" s="163"/>
      <c r="J1031" s="166"/>
      <c r="K1031" s="167"/>
      <c r="L1031" s="167">
        <v>732</v>
      </c>
      <c r="M1031" s="168">
        <v>46073</v>
      </c>
      <c r="N1031" s="169" t="s">
        <v>1979</v>
      </c>
      <c r="O1031" s="162">
        <v>208</v>
      </c>
    </row>
    <row r="1032" spans="1:15" x14ac:dyDescent="0.25">
      <c r="A1032" s="154">
        <v>1032</v>
      </c>
      <c r="B1032" s="162" t="s">
        <v>1999</v>
      </c>
      <c r="C1032" s="163">
        <v>1335400</v>
      </c>
      <c r="D1032" s="164" t="s">
        <v>968</v>
      </c>
      <c r="E1032" s="165">
        <v>61890</v>
      </c>
      <c r="F1032" s="165">
        <v>21300</v>
      </c>
      <c r="G1032" s="165">
        <v>40590</v>
      </c>
      <c r="H1032" s="165">
        <v>0</v>
      </c>
      <c r="I1032" s="163"/>
      <c r="J1032" s="166"/>
      <c r="K1032" s="167"/>
      <c r="L1032" s="167">
        <v>732</v>
      </c>
      <c r="M1032" s="168">
        <v>46073</v>
      </c>
      <c r="N1032" s="169" t="s">
        <v>1979</v>
      </c>
      <c r="O1032" s="162">
        <v>208</v>
      </c>
    </row>
    <row r="1033" spans="1:15" x14ac:dyDescent="0.25">
      <c r="A1033" s="154">
        <v>1033</v>
      </c>
      <c r="B1033" s="162" t="s">
        <v>2000</v>
      </c>
      <c r="C1033" s="163">
        <v>1425800</v>
      </c>
      <c r="D1033" s="164" t="s">
        <v>968</v>
      </c>
      <c r="E1033" s="165">
        <v>61890</v>
      </c>
      <c r="F1033" s="165">
        <v>21300</v>
      </c>
      <c r="G1033" s="165">
        <v>40590</v>
      </c>
      <c r="H1033" s="165">
        <v>0</v>
      </c>
      <c r="I1033" s="163"/>
      <c r="J1033" s="166"/>
      <c r="K1033" s="167"/>
      <c r="L1033" s="167">
        <v>732</v>
      </c>
      <c r="M1033" s="168">
        <v>46073</v>
      </c>
      <c r="N1033" s="169" t="s">
        <v>1979</v>
      </c>
      <c r="O1033" s="162">
        <v>208</v>
      </c>
    </row>
    <row r="1034" spans="1:15" x14ac:dyDescent="0.25">
      <c r="A1034" s="154">
        <v>1034</v>
      </c>
      <c r="B1034" s="162" t="s">
        <v>2001</v>
      </c>
      <c r="C1034" s="163">
        <v>1064200</v>
      </c>
      <c r="D1034" s="164" t="s">
        <v>968</v>
      </c>
      <c r="E1034" s="165">
        <v>61890</v>
      </c>
      <c r="F1034" s="165">
        <v>21300</v>
      </c>
      <c r="G1034" s="165">
        <v>40590</v>
      </c>
      <c r="H1034" s="165">
        <v>0</v>
      </c>
      <c r="I1034" s="163"/>
      <c r="J1034" s="166"/>
      <c r="K1034" s="167"/>
      <c r="L1034" s="167">
        <v>732</v>
      </c>
      <c r="M1034" s="168">
        <v>46073</v>
      </c>
      <c r="N1034" s="169" t="s">
        <v>1979</v>
      </c>
      <c r="O1034" s="162">
        <v>208</v>
      </c>
    </row>
    <row r="1035" spans="1:15" x14ac:dyDescent="0.25">
      <c r="A1035" s="154">
        <v>1035</v>
      </c>
      <c r="B1035" s="162" t="s">
        <v>2002</v>
      </c>
      <c r="C1035" s="163">
        <v>87700</v>
      </c>
      <c r="D1035" s="164" t="s">
        <v>968</v>
      </c>
      <c r="E1035" s="165">
        <v>87700</v>
      </c>
      <c r="F1035" s="165">
        <v>87700</v>
      </c>
      <c r="G1035" s="165">
        <v>0</v>
      </c>
      <c r="H1035" s="165">
        <v>0</v>
      </c>
      <c r="I1035" s="163"/>
      <c r="J1035" s="166"/>
      <c r="K1035" s="167"/>
      <c r="L1035" s="167">
        <v>733</v>
      </c>
      <c r="M1035" s="168">
        <v>46073</v>
      </c>
      <c r="N1035" s="169" t="s">
        <v>2003</v>
      </c>
      <c r="O1035" s="162" t="s">
        <v>2004</v>
      </c>
    </row>
    <row r="1036" spans="1:15" x14ac:dyDescent="0.25">
      <c r="A1036" s="154">
        <v>1036</v>
      </c>
      <c r="B1036" s="162" t="s">
        <v>2005</v>
      </c>
      <c r="C1036" s="163">
        <v>3558021</v>
      </c>
      <c r="D1036" s="164" t="s">
        <v>968</v>
      </c>
      <c r="E1036" s="165">
        <v>1012500</v>
      </c>
      <c r="F1036" s="165">
        <v>405000</v>
      </c>
      <c r="G1036" s="165">
        <v>607500</v>
      </c>
      <c r="H1036" s="165">
        <v>0</v>
      </c>
      <c r="I1036" s="163"/>
      <c r="J1036" s="166"/>
      <c r="K1036" s="167"/>
      <c r="L1036" s="167">
        <v>734</v>
      </c>
      <c r="M1036" s="168">
        <v>46073</v>
      </c>
      <c r="N1036" s="169" t="s">
        <v>2006</v>
      </c>
      <c r="O1036" s="162">
        <v>207</v>
      </c>
    </row>
    <row r="1037" spans="1:15" x14ac:dyDescent="0.25">
      <c r="A1037" s="154">
        <v>1037</v>
      </c>
      <c r="B1037" s="162" t="s">
        <v>2007</v>
      </c>
      <c r="C1037" s="163">
        <v>15098336</v>
      </c>
      <c r="D1037" s="164" t="s">
        <v>968</v>
      </c>
      <c r="E1037" s="165">
        <v>2700000</v>
      </c>
      <c r="F1037" s="165">
        <v>1080000</v>
      </c>
      <c r="G1037" s="165">
        <v>1620000</v>
      </c>
      <c r="H1037" s="165">
        <v>0</v>
      </c>
      <c r="I1037" s="163"/>
      <c r="J1037" s="166"/>
      <c r="K1037" s="167"/>
      <c r="L1037" s="167">
        <v>734</v>
      </c>
      <c r="M1037" s="168">
        <v>46073</v>
      </c>
      <c r="N1037" s="169" t="s">
        <v>2008</v>
      </c>
      <c r="O1037" s="162">
        <v>207</v>
      </c>
    </row>
    <row r="1038" spans="1:15" x14ac:dyDescent="0.25">
      <c r="A1038" s="154">
        <v>1038</v>
      </c>
      <c r="B1038" s="162" t="s">
        <v>2009</v>
      </c>
      <c r="C1038" s="163">
        <v>953700</v>
      </c>
      <c r="D1038" s="164" t="s">
        <v>968</v>
      </c>
      <c r="E1038" s="165">
        <v>953700</v>
      </c>
      <c r="F1038" s="165">
        <v>953700</v>
      </c>
      <c r="G1038" s="165">
        <v>0</v>
      </c>
      <c r="H1038" s="165">
        <v>0</v>
      </c>
      <c r="I1038" s="163"/>
      <c r="J1038" s="166"/>
      <c r="K1038" s="167"/>
      <c r="L1038" s="167">
        <v>734</v>
      </c>
      <c r="M1038" s="168">
        <v>46073</v>
      </c>
      <c r="N1038" s="169" t="s">
        <v>2010</v>
      </c>
      <c r="O1038" s="162">
        <v>816</v>
      </c>
    </row>
    <row r="1039" spans="1:15" x14ac:dyDescent="0.25">
      <c r="A1039" s="154">
        <v>1039</v>
      </c>
      <c r="B1039" s="162" t="s">
        <v>2011</v>
      </c>
      <c r="C1039" s="163">
        <v>49472438</v>
      </c>
      <c r="D1039" s="164" t="s">
        <v>968</v>
      </c>
      <c r="E1039" s="165">
        <v>49472438</v>
      </c>
      <c r="F1039" s="165">
        <v>0</v>
      </c>
      <c r="G1039" s="165">
        <v>0</v>
      </c>
      <c r="H1039" s="165">
        <v>49472438</v>
      </c>
      <c r="I1039" s="163"/>
      <c r="J1039" s="166"/>
      <c r="K1039" s="167"/>
      <c r="L1039" s="167">
        <v>734</v>
      </c>
      <c r="M1039" s="168">
        <v>46073</v>
      </c>
      <c r="N1039" s="169" t="s">
        <v>1908</v>
      </c>
      <c r="O1039" s="162">
        <v>501</v>
      </c>
    </row>
    <row r="1040" spans="1:15" x14ac:dyDescent="0.25">
      <c r="A1040" s="154">
        <v>1040</v>
      </c>
      <c r="B1040" s="162" t="s">
        <v>2012</v>
      </c>
      <c r="C1040" s="163">
        <v>9374860</v>
      </c>
      <c r="D1040" s="164" t="s">
        <v>968</v>
      </c>
      <c r="E1040" s="165">
        <v>18700</v>
      </c>
      <c r="F1040" s="165">
        <v>0</v>
      </c>
      <c r="G1040" s="165">
        <v>18700</v>
      </c>
      <c r="H1040" s="165">
        <v>0</v>
      </c>
      <c r="I1040" s="163"/>
      <c r="J1040" s="166"/>
      <c r="K1040" s="167"/>
      <c r="L1040" s="167">
        <v>734</v>
      </c>
      <c r="M1040" s="168">
        <v>46073</v>
      </c>
      <c r="N1040" s="169" t="s">
        <v>1029</v>
      </c>
      <c r="O1040" s="162">
        <v>102</v>
      </c>
    </row>
    <row r="1041" spans="1:15" x14ac:dyDescent="0.25">
      <c r="A1041" s="154">
        <v>1041</v>
      </c>
      <c r="B1041" s="162" t="s">
        <v>2013</v>
      </c>
      <c r="C1041" s="163">
        <v>9107100</v>
      </c>
      <c r="D1041" s="164" t="s">
        <v>968</v>
      </c>
      <c r="E1041" s="165">
        <v>1404781</v>
      </c>
      <c r="F1041" s="165">
        <v>1165164</v>
      </c>
      <c r="G1041" s="165">
        <v>239617</v>
      </c>
      <c r="H1041" s="165">
        <v>0</v>
      </c>
      <c r="I1041" s="163"/>
      <c r="J1041" s="166"/>
      <c r="K1041" s="167"/>
      <c r="L1041" s="167">
        <v>734</v>
      </c>
      <c r="M1041" s="168">
        <v>46073</v>
      </c>
      <c r="N1041" s="169" t="s">
        <v>2014</v>
      </c>
      <c r="O1041" s="162">
        <v>206</v>
      </c>
    </row>
    <row r="1042" spans="1:15" x14ac:dyDescent="0.25">
      <c r="A1042" s="154">
        <v>1042</v>
      </c>
      <c r="B1042" s="162" t="s">
        <v>2015</v>
      </c>
      <c r="C1042" s="163">
        <v>19644580</v>
      </c>
      <c r="D1042" s="164" t="s">
        <v>968</v>
      </c>
      <c r="E1042" s="165">
        <v>100900</v>
      </c>
      <c r="F1042" s="165">
        <v>100900</v>
      </c>
      <c r="G1042" s="165">
        <v>0</v>
      </c>
      <c r="H1042" s="165">
        <v>0</v>
      </c>
      <c r="I1042" s="163"/>
      <c r="J1042" s="166"/>
      <c r="K1042" s="167"/>
      <c r="L1042" s="167">
        <v>734</v>
      </c>
      <c r="M1042" s="168">
        <v>46073</v>
      </c>
      <c r="N1042" s="169" t="s">
        <v>2016</v>
      </c>
      <c r="O1042" s="162">
        <v>108</v>
      </c>
    </row>
    <row r="1043" spans="1:15" x14ac:dyDescent="0.25">
      <c r="A1043" s="154">
        <v>1043</v>
      </c>
      <c r="B1043" s="162" t="s">
        <v>2017</v>
      </c>
      <c r="C1043" s="163">
        <v>43009347</v>
      </c>
      <c r="D1043" s="164" t="s">
        <v>968</v>
      </c>
      <c r="E1043" s="165">
        <v>12526340</v>
      </c>
      <c r="F1043" s="165">
        <v>7187817</v>
      </c>
      <c r="G1043" s="165">
        <v>5338523</v>
      </c>
      <c r="H1043" s="165">
        <v>0</v>
      </c>
      <c r="I1043" s="163"/>
      <c r="J1043" s="166"/>
      <c r="K1043" s="167"/>
      <c r="L1043" s="167">
        <v>734</v>
      </c>
      <c r="M1043" s="168">
        <v>46073</v>
      </c>
      <c r="N1043" s="169" t="s">
        <v>2018</v>
      </c>
      <c r="O1043" s="162">
        <v>223</v>
      </c>
    </row>
    <row r="1044" spans="1:15" x14ac:dyDescent="0.25">
      <c r="A1044" s="154">
        <v>1044</v>
      </c>
      <c r="B1044" s="162" t="s">
        <v>2019</v>
      </c>
      <c r="C1044" s="163">
        <v>143754386</v>
      </c>
      <c r="D1044" s="164" t="s">
        <v>968</v>
      </c>
      <c r="E1044" s="165">
        <v>2081900</v>
      </c>
      <c r="F1044" s="165">
        <v>2000900</v>
      </c>
      <c r="G1044" s="165">
        <v>81000</v>
      </c>
      <c r="H1044" s="165">
        <v>0</v>
      </c>
      <c r="I1044" s="163"/>
      <c r="J1044" s="166"/>
      <c r="K1044" s="167"/>
      <c r="L1044" s="167">
        <v>734</v>
      </c>
      <c r="M1044" s="168">
        <v>46073</v>
      </c>
      <c r="N1044" s="169" t="s">
        <v>2020</v>
      </c>
      <c r="O1044" s="162">
        <v>108</v>
      </c>
    </row>
    <row r="1045" spans="1:15" x14ac:dyDescent="0.25">
      <c r="A1045" s="154">
        <v>1045</v>
      </c>
      <c r="B1045" s="162" t="s">
        <v>2021</v>
      </c>
      <c r="C1045" s="163">
        <v>26126280</v>
      </c>
      <c r="D1045" s="164" t="s">
        <v>968</v>
      </c>
      <c r="E1045" s="165">
        <v>642080</v>
      </c>
      <c r="F1045" s="165">
        <v>642080</v>
      </c>
      <c r="G1045" s="165">
        <v>0</v>
      </c>
      <c r="H1045" s="165">
        <v>0</v>
      </c>
      <c r="I1045" s="163"/>
      <c r="J1045" s="166"/>
      <c r="K1045" s="167"/>
      <c r="L1045" s="167">
        <v>734</v>
      </c>
      <c r="M1045" s="168">
        <v>46073</v>
      </c>
      <c r="N1045" s="169" t="s">
        <v>2022</v>
      </c>
      <c r="O1045" s="162">
        <v>123</v>
      </c>
    </row>
    <row r="1046" spans="1:15" x14ac:dyDescent="0.25">
      <c r="A1046" s="154">
        <v>1046</v>
      </c>
      <c r="B1046" s="162" t="s">
        <v>2023</v>
      </c>
      <c r="C1046" s="163">
        <v>17234789</v>
      </c>
      <c r="D1046" s="164" t="s">
        <v>968</v>
      </c>
      <c r="E1046" s="165">
        <v>9032410</v>
      </c>
      <c r="F1046" s="165">
        <v>6322687</v>
      </c>
      <c r="G1046" s="165">
        <v>2709723</v>
      </c>
      <c r="H1046" s="165">
        <v>0</v>
      </c>
      <c r="I1046" s="163"/>
      <c r="J1046" s="166"/>
      <c r="K1046" s="167"/>
      <c r="L1046" s="167">
        <v>734</v>
      </c>
      <c r="M1046" s="168">
        <v>46073</v>
      </c>
      <c r="N1046" s="169" t="s">
        <v>2024</v>
      </c>
      <c r="O1046" s="162">
        <v>223</v>
      </c>
    </row>
    <row r="1047" spans="1:15" x14ac:dyDescent="0.25">
      <c r="A1047" s="154">
        <v>1047</v>
      </c>
      <c r="B1047" s="162" t="s">
        <v>2025</v>
      </c>
      <c r="C1047" s="163">
        <v>10614785</v>
      </c>
      <c r="D1047" s="164" t="s">
        <v>968</v>
      </c>
      <c r="E1047" s="165">
        <v>2897100</v>
      </c>
      <c r="F1047" s="165">
        <v>1287600</v>
      </c>
      <c r="G1047" s="165">
        <v>1609500</v>
      </c>
      <c r="H1047" s="165">
        <v>0</v>
      </c>
      <c r="I1047" s="163"/>
      <c r="J1047" s="166"/>
      <c r="K1047" s="167"/>
      <c r="L1047" s="167">
        <v>734</v>
      </c>
      <c r="M1047" s="168">
        <v>46073</v>
      </c>
      <c r="N1047" s="169" t="s">
        <v>2026</v>
      </c>
      <c r="O1047" s="162">
        <v>601</v>
      </c>
    </row>
    <row r="1048" spans="1:15" x14ac:dyDescent="0.25">
      <c r="A1048" s="154">
        <v>1048</v>
      </c>
      <c r="B1048" s="162" t="s">
        <v>2027</v>
      </c>
      <c r="C1048" s="163">
        <v>36083586</v>
      </c>
      <c r="D1048" s="164" t="s">
        <v>968</v>
      </c>
      <c r="E1048" s="165">
        <v>36083586</v>
      </c>
      <c r="F1048" s="165">
        <v>0</v>
      </c>
      <c r="G1048" s="165">
        <v>0</v>
      </c>
      <c r="H1048" s="165">
        <v>36083586</v>
      </c>
      <c r="I1048" s="163"/>
      <c r="J1048" s="166"/>
      <c r="K1048" s="167"/>
      <c r="L1048" s="167">
        <v>734</v>
      </c>
      <c r="M1048" s="168">
        <v>46073</v>
      </c>
      <c r="N1048" s="169" t="s">
        <v>2028</v>
      </c>
      <c r="O1048" s="162">
        <v>501</v>
      </c>
    </row>
    <row r="1049" spans="1:15" x14ac:dyDescent="0.25">
      <c r="A1049" s="154">
        <v>1049</v>
      </c>
      <c r="B1049" s="162" t="s">
        <v>2029</v>
      </c>
      <c r="C1049" s="163">
        <v>15422379</v>
      </c>
      <c r="D1049" s="164" t="s">
        <v>968</v>
      </c>
      <c r="E1049" s="165">
        <v>1828556</v>
      </c>
      <c r="F1049" s="165">
        <v>1719539</v>
      </c>
      <c r="G1049" s="165">
        <v>109017</v>
      </c>
      <c r="H1049" s="165">
        <v>0</v>
      </c>
      <c r="I1049" s="163"/>
      <c r="J1049" s="166"/>
      <c r="K1049" s="167"/>
      <c r="L1049" s="167">
        <v>734</v>
      </c>
      <c r="M1049" s="168">
        <v>46073</v>
      </c>
      <c r="N1049" s="169" t="s">
        <v>2030</v>
      </c>
      <c r="O1049" s="162">
        <v>206</v>
      </c>
    </row>
    <row r="1050" spans="1:15" x14ac:dyDescent="0.25">
      <c r="A1050" s="154">
        <v>1050</v>
      </c>
      <c r="B1050" s="162" t="s">
        <v>2031</v>
      </c>
      <c r="C1050" s="163">
        <v>1076512</v>
      </c>
      <c r="D1050" s="164" t="s">
        <v>968</v>
      </c>
      <c r="E1050" s="165">
        <v>108100</v>
      </c>
      <c r="F1050" s="165">
        <v>0</v>
      </c>
      <c r="G1050" s="165">
        <v>0</v>
      </c>
      <c r="H1050" s="165">
        <v>108100</v>
      </c>
      <c r="I1050" s="163"/>
      <c r="J1050" s="166"/>
      <c r="K1050" s="167"/>
      <c r="L1050" s="167">
        <v>735</v>
      </c>
      <c r="M1050" s="168">
        <v>46073</v>
      </c>
      <c r="N1050" s="169" t="s">
        <v>1432</v>
      </c>
      <c r="O1050" s="162">
        <v>601</v>
      </c>
    </row>
    <row r="1051" spans="1:15" x14ac:dyDescent="0.25">
      <c r="A1051" s="154">
        <v>1051</v>
      </c>
      <c r="B1051" s="162" t="s">
        <v>2032</v>
      </c>
      <c r="C1051" s="163">
        <v>3785060</v>
      </c>
      <c r="D1051" s="164" t="s">
        <v>968</v>
      </c>
      <c r="E1051" s="165">
        <v>166960</v>
      </c>
      <c r="F1051" s="165">
        <v>76760</v>
      </c>
      <c r="G1051" s="165">
        <v>90200</v>
      </c>
      <c r="H1051" s="165">
        <v>0</v>
      </c>
      <c r="I1051" s="163"/>
      <c r="J1051" s="166"/>
      <c r="K1051" s="167"/>
      <c r="L1051" s="167">
        <v>735</v>
      </c>
      <c r="M1051" s="168">
        <v>46073</v>
      </c>
      <c r="N1051" s="169" t="s">
        <v>2033</v>
      </c>
      <c r="O1051" s="162">
        <v>202</v>
      </c>
    </row>
    <row r="1052" spans="1:15" x14ac:dyDescent="0.25">
      <c r="A1052" s="154">
        <v>1052</v>
      </c>
      <c r="B1052" s="162" t="s">
        <v>2034</v>
      </c>
      <c r="C1052" s="163">
        <v>1694537</v>
      </c>
      <c r="D1052" s="164" t="s">
        <v>968</v>
      </c>
      <c r="E1052" s="165">
        <v>63800</v>
      </c>
      <c r="F1052" s="165">
        <v>18700</v>
      </c>
      <c r="G1052" s="165">
        <v>45100</v>
      </c>
      <c r="H1052" s="165">
        <v>0</v>
      </c>
      <c r="I1052" s="163"/>
      <c r="J1052" s="166"/>
      <c r="K1052" s="167"/>
      <c r="L1052" s="167">
        <v>735</v>
      </c>
      <c r="M1052" s="168">
        <v>46073</v>
      </c>
      <c r="N1052" s="169" t="s">
        <v>2035</v>
      </c>
      <c r="O1052" s="162">
        <v>102</v>
      </c>
    </row>
    <row r="1053" spans="1:15" x14ac:dyDescent="0.25">
      <c r="A1053" s="154">
        <v>1053</v>
      </c>
      <c r="B1053" s="162" t="s">
        <v>2036</v>
      </c>
      <c r="C1053" s="163">
        <v>1076724</v>
      </c>
      <c r="D1053" s="164" t="s">
        <v>968</v>
      </c>
      <c r="E1053" s="165">
        <v>108100</v>
      </c>
      <c r="F1053" s="165">
        <v>0</v>
      </c>
      <c r="G1053" s="165">
        <v>0</v>
      </c>
      <c r="H1053" s="165">
        <v>108100</v>
      </c>
      <c r="I1053" s="163"/>
      <c r="J1053" s="166"/>
      <c r="K1053" s="167"/>
      <c r="L1053" s="167">
        <v>735</v>
      </c>
      <c r="M1053" s="168">
        <v>46073</v>
      </c>
      <c r="N1053" s="169" t="s">
        <v>1432</v>
      </c>
      <c r="O1053" s="162">
        <v>601</v>
      </c>
    </row>
    <row r="1054" spans="1:15" x14ac:dyDescent="0.25">
      <c r="A1054" s="154">
        <v>1054</v>
      </c>
      <c r="B1054" s="162" t="s">
        <v>2037</v>
      </c>
      <c r="C1054" s="163">
        <v>20444326</v>
      </c>
      <c r="D1054" s="164" t="s">
        <v>968</v>
      </c>
      <c r="E1054" s="165">
        <v>526900</v>
      </c>
      <c r="F1054" s="165">
        <v>526900</v>
      </c>
      <c r="G1054" s="165">
        <v>0</v>
      </c>
      <c r="H1054" s="165">
        <v>0</v>
      </c>
      <c r="I1054" s="163"/>
      <c r="J1054" s="166"/>
      <c r="K1054" s="167"/>
      <c r="L1054" s="167">
        <v>735</v>
      </c>
      <c r="M1054" s="168">
        <v>46073</v>
      </c>
      <c r="N1054" s="169" t="s">
        <v>2038</v>
      </c>
      <c r="O1054" s="162">
        <v>111</v>
      </c>
    </row>
    <row r="1055" spans="1:15" x14ac:dyDescent="0.25">
      <c r="A1055" s="154">
        <v>1055</v>
      </c>
      <c r="B1055" s="162" t="s">
        <v>2039</v>
      </c>
      <c r="C1055" s="163">
        <v>10279082</v>
      </c>
      <c r="D1055" s="164" t="s">
        <v>968</v>
      </c>
      <c r="E1055" s="165">
        <v>302720</v>
      </c>
      <c r="F1055" s="165">
        <v>302720</v>
      </c>
      <c r="G1055" s="165">
        <v>0</v>
      </c>
      <c r="H1055" s="165">
        <v>0</v>
      </c>
      <c r="I1055" s="163"/>
      <c r="J1055" s="166"/>
      <c r="K1055" s="167"/>
      <c r="L1055" s="167">
        <v>735</v>
      </c>
      <c r="M1055" s="168">
        <v>46073</v>
      </c>
      <c r="N1055" s="169" t="s">
        <v>2040</v>
      </c>
      <c r="O1055" s="162">
        <v>206</v>
      </c>
    </row>
    <row r="1056" spans="1:15" x14ac:dyDescent="0.25">
      <c r="A1056" s="154">
        <v>1056</v>
      </c>
      <c r="B1056" s="162" t="s">
        <v>2041</v>
      </c>
      <c r="C1056" s="163">
        <v>2398939</v>
      </c>
      <c r="D1056" s="164" t="s">
        <v>968</v>
      </c>
      <c r="E1056" s="165">
        <v>11340</v>
      </c>
      <c r="F1056" s="165">
        <v>11340</v>
      </c>
      <c r="G1056" s="165">
        <v>0</v>
      </c>
      <c r="H1056" s="165">
        <v>0</v>
      </c>
      <c r="I1056" s="163"/>
      <c r="J1056" s="166"/>
      <c r="K1056" s="167"/>
      <c r="L1056" s="167">
        <v>735</v>
      </c>
      <c r="M1056" s="168">
        <v>46073</v>
      </c>
      <c r="N1056" s="169" t="s">
        <v>2042</v>
      </c>
      <c r="O1056" s="162">
        <v>111</v>
      </c>
    </row>
    <row r="1057" spans="1:15" x14ac:dyDescent="0.25">
      <c r="A1057" s="154">
        <v>1057</v>
      </c>
      <c r="B1057" s="162" t="s">
        <v>2043</v>
      </c>
      <c r="C1057" s="163">
        <v>3842339</v>
      </c>
      <c r="D1057" s="164" t="s">
        <v>968</v>
      </c>
      <c r="E1057" s="165">
        <v>65162</v>
      </c>
      <c r="F1057" s="165">
        <v>65162</v>
      </c>
      <c r="G1057" s="165">
        <v>0</v>
      </c>
      <c r="H1057" s="165">
        <v>0</v>
      </c>
      <c r="I1057" s="163"/>
      <c r="J1057" s="166"/>
      <c r="K1057" s="167"/>
      <c r="L1057" s="167">
        <v>735</v>
      </c>
      <c r="M1057" s="168">
        <v>46073</v>
      </c>
      <c r="N1057" s="169" t="s">
        <v>2044</v>
      </c>
      <c r="O1057" s="162">
        <v>111</v>
      </c>
    </row>
    <row r="1058" spans="1:15" x14ac:dyDescent="0.25">
      <c r="A1058" s="154">
        <v>1058</v>
      </c>
      <c r="B1058" s="162" t="s">
        <v>2045</v>
      </c>
      <c r="C1058" s="163">
        <v>7309574</v>
      </c>
      <c r="D1058" s="164" t="s">
        <v>968</v>
      </c>
      <c r="E1058" s="165">
        <v>36520</v>
      </c>
      <c r="F1058" s="165">
        <v>36520</v>
      </c>
      <c r="G1058" s="165">
        <v>0</v>
      </c>
      <c r="H1058" s="165">
        <v>0</v>
      </c>
      <c r="I1058" s="163"/>
      <c r="J1058" s="166"/>
      <c r="K1058" s="167"/>
      <c r="L1058" s="167">
        <v>735</v>
      </c>
      <c r="M1058" s="168">
        <v>46073</v>
      </c>
      <c r="N1058" s="169" t="s">
        <v>2046</v>
      </c>
      <c r="O1058" s="162">
        <v>102</v>
      </c>
    </row>
    <row r="1059" spans="1:15" x14ac:dyDescent="0.25">
      <c r="A1059" s="154">
        <v>1059</v>
      </c>
      <c r="B1059" s="162" t="s">
        <v>2047</v>
      </c>
      <c r="C1059" s="163">
        <v>1833280</v>
      </c>
      <c r="D1059" s="164" t="s">
        <v>968</v>
      </c>
      <c r="E1059" s="165">
        <v>326900</v>
      </c>
      <c r="F1059" s="165">
        <v>266500</v>
      </c>
      <c r="G1059" s="165">
        <v>60400</v>
      </c>
      <c r="H1059" s="165">
        <v>0</v>
      </c>
      <c r="I1059" s="163"/>
      <c r="J1059" s="166"/>
      <c r="K1059" s="167"/>
      <c r="L1059" s="167">
        <v>735</v>
      </c>
      <c r="M1059" s="168">
        <v>46073</v>
      </c>
      <c r="N1059" s="169" t="s">
        <v>2048</v>
      </c>
      <c r="O1059" s="162">
        <v>101</v>
      </c>
    </row>
    <row r="1060" spans="1:15" x14ac:dyDescent="0.25">
      <c r="A1060" s="154">
        <v>1060</v>
      </c>
      <c r="B1060" s="162" t="s">
        <v>2049</v>
      </c>
      <c r="C1060" s="163">
        <v>4151659</v>
      </c>
      <c r="D1060" s="164" t="s">
        <v>968</v>
      </c>
      <c r="E1060" s="165">
        <v>20638</v>
      </c>
      <c r="F1060" s="165">
        <v>20638</v>
      </c>
      <c r="G1060" s="165">
        <v>0</v>
      </c>
      <c r="H1060" s="165">
        <v>0</v>
      </c>
      <c r="I1060" s="163"/>
      <c r="J1060" s="166"/>
      <c r="K1060" s="167"/>
      <c r="L1060" s="167">
        <v>735</v>
      </c>
      <c r="M1060" s="168">
        <v>46073</v>
      </c>
      <c r="N1060" s="169" t="s">
        <v>2050</v>
      </c>
      <c r="O1060" s="162">
        <v>102</v>
      </c>
    </row>
    <row r="1061" spans="1:15" x14ac:dyDescent="0.25">
      <c r="A1061" s="154">
        <v>1061</v>
      </c>
      <c r="B1061" s="162" t="s">
        <v>2051</v>
      </c>
      <c r="C1061" s="163">
        <v>4521400</v>
      </c>
      <c r="D1061" s="164" t="s">
        <v>968</v>
      </c>
      <c r="E1061" s="165">
        <v>23560</v>
      </c>
      <c r="F1061" s="165">
        <v>23560</v>
      </c>
      <c r="G1061" s="165">
        <v>0</v>
      </c>
      <c r="H1061" s="165">
        <v>0</v>
      </c>
      <c r="I1061" s="163"/>
      <c r="J1061" s="166"/>
      <c r="K1061" s="167"/>
      <c r="L1061" s="167">
        <v>735</v>
      </c>
      <c r="M1061" s="168">
        <v>46073</v>
      </c>
      <c r="N1061" s="169" t="s">
        <v>2052</v>
      </c>
      <c r="O1061" s="162">
        <v>102</v>
      </c>
    </row>
    <row r="1062" spans="1:15" x14ac:dyDescent="0.25">
      <c r="A1062" s="154">
        <v>1062</v>
      </c>
      <c r="B1062" s="162" t="s">
        <v>2053</v>
      </c>
      <c r="C1062" s="163">
        <v>1664029</v>
      </c>
      <c r="D1062" s="164" t="s">
        <v>968</v>
      </c>
      <c r="E1062" s="165">
        <v>136200</v>
      </c>
      <c r="F1062" s="165">
        <v>136200</v>
      </c>
      <c r="G1062" s="165">
        <v>0</v>
      </c>
      <c r="H1062" s="165">
        <v>0</v>
      </c>
      <c r="I1062" s="163"/>
      <c r="J1062" s="166"/>
      <c r="K1062" s="167"/>
      <c r="L1062" s="167">
        <v>735</v>
      </c>
      <c r="M1062" s="168">
        <v>46073</v>
      </c>
      <c r="N1062" s="169" t="s">
        <v>2054</v>
      </c>
      <c r="O1062" s="162">
        <v>111</v>
      </c>
    </row>
    <row r="1063" spans="1:15" x14ac:dyDescent="0.25">
      <c r="A1063" s="154">
        <v>1063</v>
      </c>
      <c r="B1063" s="162" t="s">
        <v>2055</v>
      </c>
      <c r="C1063" s="163">
        <v>1744079</v>
      </c>
      <c r="D1063" s="164" t="s">
        <v>968</v>
      </c>
      <c r="E1063" s="165">
        <v>9720</v>
      </c>
      <c r="F1063" s="165">
        <v>9720</v>
      </c>
      <c r="G1063" s="165">
        <v>0</v>
      </c>
      <c r="H1063" s="165">
        <v>0</v>
      </c>
      <c r="I1063" s="163"/>
      <c r="J1063" s="166"/>
      <c r="K1063" s="167"/>
      <c r="L1063" s="167">
        <v>735</v>
      </c>
      <c r="M1063" s="168">
        <v>46073</v>
      </c>
      <c r="N1063" s="169" t="s">
        <v>2056</v>
      </c>
      <c r="O1063" s="162">
        <v>111</v>
      </c>
    </row>
    <row r="1064" spans="1:15" x14ac:dyDescent="0.25">
      <c r="A1064" s="154">
        <v>1064</v>
      </c>
      <c r="B1064" s="162" t="s">
        <v>2057</v>
      </c>
      <c r="C1064" s="163">
        <v>5017867</v>
      </c>
      <c r="D1064" s="164" t="s">
        <v>968</v>
      </c>
      <c r="E1064" s="165">
        <v>63800</v>
      </c>
      <c r="F1064" s="165">
        <v>18700</v>
      </c>
      <c r="G1064" s="165">
        <v>45100</v>
      </c>
      <c r="H1064" s="165">
        <v>0</v>
      </c>
      <c r="I1064" s="163"/>
      <c r="J1064" s="166"/>
      <c r="K1064" s="167"/>
      <c r="L1064" s="167">
        <v>735</v>
      </c>
      <c r="M1064" s="168">
        <v>46073</v>
      </c>
      <c r="N1064" s="169" t="s">
        <v>2058</v>
      </c>
      <c r="O1064" s="162">
        <v>102</v>
      </c>
    </row>
    <row r="1065" spans="1:15" x14ac:dyDescent="0.25">
      <c r="A1065" s="154">
        <v>1065</v>
      </c>
      <c r="B1065" s="162" t="s">
        <v>2059</v>
      </c>
      <c r="C1065" s="163">
        <v>2378068</v>
      </c>
      <c r="D1065" s="164" t="s">
        <v>968</v>
      </c>
      <c r="E1065" s="165">
        <v>23560</v>
      </c>
      <c r="F1065" s="165">
        <v>23560</v>
      </c>
      <c r="G1065" s="165">
        <v>0</v>
      </c>
      <c r="H1065" s="165">
        <v>0</v>
      </c>
      <c r="I1065" s="163"/>
      <c r="J1065" s="166"/>
      <c r="K1065" s="167"/>
      <c r="L1065" s="167">
        <v>735</v>
      </c>
      <c r="M1065" s="168">
        <v>46073</v>
      </c>
      <c r="N1065" s="169" t="s">
        <v>2052</v>
      </c>
      <c r="O1065" s="162">
        <v>102</v>
      </c>
    </row>
    <row r="1066" spans="1:15" x14ac:dyDescent="0.25">
      <c r="A1066" s="154">
        <v>1066</v>
      </c>
      <c r="B1066" s="162" t="s">
        <v>2060</v>
      </c>
      <c r="C1066" s="163">
        <v>9816287</v>
      </c>
      <c r="D1066" s="164" t="s">
        <v>968</v>
      </c>
      <c r="E1066" s="165">
        <v>48846</v>
      </c>
      <c r="F1066" s="165">
        <v>48846</v>
      </c>
      <c r="G1066" s="165">
        <v>0</v>
      </c>
      <c r="H1066" s="165">
        <v>0</v>
      </c>
      <c r="I1066" s="163"/>
      <c r="J1066" s="166"/>
      <c r="K1066" s="167"/>
      <c r="L1066" s="167">
        <v>735</v>
      </c>
      <c r="M1066" s="168">
        <v>46073</v>
      </c>
      <c r="N1066" s="169" t="s">
        <v>2061</v>
      </c>
      <c r="O1066" s="162">
        <v>111</v>
      </c>
    </row>
    <row r="1067" spans="1:15" x14ac:dyDescent="0.25">
      <c r="A1067" s="154">
        <v>1067</v>
      </c>
      <c r="B1067" s="162" t="s">
        <v>2062</v>
      </c>
      <c r="C1067" s="163">
        <v>12909001</v>
      </c>
      <c r="D1067" s="164" t="s">
        <v>968</v>
      </c>
      <c r="E1067" s="165">
        <v>27540</v>
      </c>
      <c r="F1067" s="165">
        <v>27540</v>
      </c>
      <c r="G1067" s="165">
        <v>0</v>
      </c>
      <c r="H1067" s="165">
        <v>0</v>
      </c>
      <c r="I1067" s="163"/>
      <c r="J1067" s="166"/>
      <c r="K1067" s="167"/>
      <c r="L1067" s="167">
        <v>735</v>
      </c>
      <c r="M1067" s="168">
        <v>46073</v>
      </c>
      <c r="N1067" s="169" t="s">
        <v>2063</v>
      </c>
      <c r="O1067" s="162">
        <v>111</v>
      </c>
    </row>
    <row r="1068" spans="1:15" x14ac:dyDescent="0.25">
      <c r="A1068" s="154">
        <v>1068</v>
      </c>
      <c r="B1068" s="162" t="s">
        <v>2064</v>
      </c>
      <c r="C1068" s="163">
        <v>7786361</v>
      </c>
      <c r="D1068" s="164" t="s">
        <v>968</v>
      </c>
      <c r="E1068" s="165">
        <v>65376</v>
      </c>
      <c r="F1068" s="165">
        <v>65376</v>
      </c>
      <c r="G1068" s="165">
        <v>0</v>
      </c>
      <c r="H1068" s="165">
        <v>0</v>
      </c>
      <c r="I1068" s="163"/>
      <c r="J1068" s="166"/>
      <c r="K1068" s="167"/>
      <c r="L1068" s="167">
        <v>735</v>
      </c>
      <c r="M1068" s="168">
        <v>46073</v>
      </c>
      <c r="N1068" s="169" t="s">
        <v>2065</v>
      </c>
      <c r="O1068" s="162">
        <v>111</v>
      </c>
    </row>
    <row r="1069" spans="1:15" x14ac:dyDescent="0.25">
      <c r="A1069" s="154">
        <v>1069</v>
      </c>
      <c r="B1069" s="162" t="s">
        <v>2066</v>
      </c>
      <c r="C1069" s="163">
        <v>5213462</v>
      </c>
      <c r="D1069" s="164" t="s">
        <v>968</v>
      </c>
      <c r="E1069" s="165">
        <v>106489</v>
      </c>
      <c r="F1069" s="165">
        <v>82789</v>
      </c>
      <c r="G1069" s="165">
        <v>23700</v>
      </c>
      <c r="H1069" s="165">
        <v>0</v>
      </c>
      <c r="I1069" s="163"/>
      <c r="J1069" s="166"/>
      <c r="K1069" s="167"/>
      <c r="L1069" s="167">
        <v>735</v>
      </c>
      <c r="M1069" s="168">
        <v>46073</v>
      </c>
      <c r="N1069" s="169" t="s">
        <v>2067</v>
      </c>
      <c r="O1069" s="162">
        <v>127</v>
      </c>
    </row>
    <row r="1070" spans="1:15" x14ac:dyDescent="0.25">
      <c r="A1070" s="154">
        <v>1070</v>
      </c>
      <c r="B1070" s="162" t="s">
        <v>2068</v>
      </c>
      <c r="C1070" s="163">
        <v>85008258</v>
      </c>
      <c r="D1070" s="164" t="s">
        <v>968</v>
      </c>
      <c r="E1070" s="165">
        <v>1217731</v>
      </c>
      <c r="F1070" s="165">
        <v>412211</v>
      </c>
      <c r="G1070" s="165">
        <v>805520</v>
      </c>
      <c r="H1070" s="165">
        <v>0</v>
      </c>
      <c r="I1070" s="163"/>
      <c r="J1070" s="166"/>
      <c r="K1070" s="167"/>
      <c r="L1070" s="167">
        <v>735</v>
      </c>
      <c r="M1070" s="168">
        <v>46073</v>
      </c>
      <c r="N1070" s="169" t="s">
        <v>2069</v>
      </c>
      <c r="O1070" s="162">
        <v>111</v>
      </c>
    </row>
    <row r="1071" spans="1:15" x14ac:dyDescent="0.25">
      <c r="A1071" s="154">
        <v>1071</v>
      </c>
      <c r="B1071" s="162" t="s">
        <v>2070</v>
      </c>
      <c r="C1071" s="163">
        <v>12829800</v>
      </c>
      <c r="D1071" s="164" t="s">
        <v>968</v>
      </c>
      <c r="E1071" s="165">
        <v>29160</v>
      </c>
      <c r="F1071" s="165">
        <v>29160</v>
      </c>
      <c r="G1071" s="165">
        <v>0</v>
      </c>
      <c r="H1071" s="165">
        <v>0</v>
      </c>
      <c r="I1071" s="163"/>
      <c r="J1071" s="166"/>
      <c r="K1071" s="167"/>
      <c r="L1071" s="167">
        <v>735</v>
      </c>
      <c r="M1071" s="168">
        <v>46073</v>
      </c>
      <c r="N1071" s="169" t="s">
        <v>2071</v>
      </c>
      <c r="O1071" s="162">
        <v>111</v>
      </c>
    </row>
    <row r="1072" spans="1:15" x14ac:dyDescent="0.25">
      <c r="A1072" s="154">
        <v>1072</v>
      </c>
      <c r="B1072" s="162" t="s">
        <v>2072</v>
      </c>
      <c r="C1072" s="163">
        <v>12187082</v>
      </c>
      <c r="D1072" s="164" t="s">
        <v>968</v>
      </c>
      <c r="E1072" s="165">
        <v>509640</v>
      </c>
      <c r="F1072" s="165">
        <v>27540</v>
      </c>
      <c r="G1072" s="165">
        <v>482100</v>
      </c>
      <c r="H1072" s="165">
        <v>0</v>
      </c>
      <c r="I1072" s="163"/>
      <c r="J1072" s="166"/>
      <c r="K1072" s="167"/>
      <c r="L1072" s="167">
        <v>735</v>
      </c>
      <c r="M1072" s="168">
        <v>46073</v>
      </c>
      <c r="N1072" s="169" t="s">
        <v>2073</v>
      </c>
      <c r="O1072" s="162">
        <v>111</v>
      </c>
    </row>
    <row r="1073" spans="1:15" x14ac:dyDescent="0.25">
      <c r="A1073" s="154">
        <v>1073</v>
      </c>
      <c r="B1073" s="162" t="s">
        <v>2074</v>
      </c>
      <c r="C1073" s="163">
        <v>17801975</v>
      </c>
      <c r="D1073" s="164" t="s">
        <v>968</v>
      </c>
      <c r="E1073" s="165">
        <v>396800</v>
      </c>
      <c r="F1073" s="165">
        <v>373100</v>
      </c>
      <c r="G1073" s="165">
        <v>23700</v>
      </c>
      <c r="H1073" s="165">
        <v>0</v>
      </c>
      <c r="I1073" s="163"/>
      <c r="J1073" s="166"/>
      <c r="K1073" s="167"/>
      <c r="L1073" s="167">
        <v>735</v>
      </c>
      <c r="M1073" s="168">
        <v>46073</v>
      </c>
      <c r="N1073" s="169" t="s">
        <v>2075</v>
      </c>
      <c r="O1073" s="162">
        <v>127</v>
      </c>
    </row>
    <row r="1074" spans="1:15" x14ac:dyDescent="0.25">
      <c r="A1074" s="154">
        <v>1074</v>
      </c>
      <c r="B1074" s="162" t="s">
        <v>2076</v>
      </c>
      <c r="C1074" s="163">
        <v>28407874</v>
      </c>
      <c r="D1074" s="164" t="s">
        <v>968</v>
      </c>
      <c r="E1074" s="165">
        <v>262480</v>
      </c>
      <c r="F1074" s="165">
        <v>238780</v>
      </c>
      <c r="G1074" s="165">
        <v>23700</v>
      </c>
      <c r="H1074" s="165">
        <v>0</v>
      </c>
      <c r="I1074" s="163"/>
      <c r="J1074" s="166"/>
      <c r="K1074" s="167"/>
      <c r="L1074" s="167">
        <v>735</v>
      </c>
      <c r="M1074" s="168">
        <v>46073</v>
      </c>
      <c r="N1074" s="169" t="s">
        <v>2077</v>
      </c>
      <c r="O1074" s="162">
        <v>111</v>
      </c>
    </row>
    <row r="1075" spans="1:15" x14ac:dyDescent="0.25">
      <c r="A1075" s="154">
        <v>1075</v>
      </c>
      <c r="B1075" s="162" t="s">
        <v>2078</v>
      </c>
      <c r="C1075" s="163">
        <v>3676072</v>
      </c>
      <c r="D1075" s="164" t="s">
        <v>968</v>
      </c>
      <c r="E1075" s="165">
        <v>14580</v>
      </c>
      <c r="F1075" s="165">
        <v>14580</v>
      </c>
      <c r="G1075" s="165">
        <v>0</v>
      </c>
      <c r="H1075" s="165">
        <v>0</v>
      </c>
      <c r="I1075" s="163"/>
      <c r="J1075" s="166"/>
      <c r="K1075" s="167"/>
      <c r="L1075" s="167">
        <v>735</v>
      </c>
      <c r="M1075" s="168">
        <v>46073</v>
      </c>
      <c r="N1075" s="169" t="s">
        <v>2079</v>
      </c>
      <c r="O1075" s="162">
        <v>111</v>
      </c>
    </row>
    <row r="1076" spans="1:15" x14ac:dyDescent="0.25">
      <c r="A1076" s="154">
        <v>1076</v>
      </c>
      <c r="B1076" s="162" t="s">
        <v>2080</v>
      </c>
      <c r="C1076" s="163">
        <v>7118385</v>
      </c>
      <c r="D1076" s="164" t="s">
        <v>968</v>
      </c>
      <c r="E1076" s="165">
        <v>22680</v>
      </c>
      <c r="F1076" s="165">
        <v>22680</v>
      </c>
      <c r="G1076" s="165">
        <v>0</v>
      </c>
      <c r="H1076" s="165">
        <v>0</v>
      </c>
      <c r="I1076" s="163"/>
      <c r="J1076" s="166"/>
      <c r="K1076" s="167"/>
      <c r="L1076" s="167">
        <v>735</v>
      </c>
      <c r="M1076" s="168">
        <v>46073</v>
      </c>
      <c r="N1076" s="169" t="s">
        <v>2081</v>
      </c>
      <c r="O1076" s="162">
        <v>111</v>
      </c>
    </row>
    <row r="1077" spans="1:15" x14ac:dyDescent="0.25">
      <c r="A1077" s="154">
        <v>1077</v>
      </c>
      <c r="B1077" s="162" t="s">
        <v>2082</v>
      </c>
      <c r="C1077" s="163">
        <v>19439968</v>
      </c>
      <c r="D1077" s="164" t="s">
        <v>968</v>
      </c>
      <c r="E1077" s="165">
        <v>72640</v>
      </c>
      <c r="F1077" s="165">
        <v>27540</v>
      </c>
      <c r="G1077" s="165">
        <v>45100</v>
      </c>
      <c r="H1077" s="165">
        <v>0</v>
      </c>
      <c r="I1077" s="163"/>
      <c r="J1077" s="166"/>
      <c r="K1077" s="167"/>
      <c r="L1077" s="167">
        <v>735</v>
      </c>
      <c r="M1077" s="168">
        <v>46073</v>
      </c>
      <c r="N1077" s="169" t="s">
        <v>2083</v>
      </c>
      <c r="O1077" s="162">
        <v>111</v>
      </c>
    </row>
    <row r="1078" spans="1:15" x14ac:dyDescent="0.25">
      <c r="A1078" s="154">
        <v>1078</v>
      </c>
      <c r="B1078" s="162" t="s">
        <v>2084</v>
      </c>
      <c r="C1078" s="163">
        <v>4976893</v>
      </c>
      <c r="D1078" s="164" t="s">
        <v>968</v>
      </c>
      <c r="E1078" s="165">
        <v>26265</v>
      </c>
      <c r="F1078" s="165">
        <v>26265</v>
      </c>
      <c r="G1078" s="165">
        <v>0</v>
      </c>
      <c r="H1078" s="165">
        <v>0</v>
      </c>
      <c r="I1078" s="163"/>
      <c r="J1078" s="166"/>
      <c r="K1078" s="167"/>
      <c r="L1078" s="167">
        <v>735</v>
      </c>
      <c r="M1078" s="168">
        <v>46073</v>
      </c>
      <c r="N1078" s="169" t="s">
        <v>2085</v>
      </c>
      <c r="O1078" s="162">
        <v>111</v>
      </c>
    </row>
    <row r="1079" spans="1:15" x14ac:dyDescent="0.25">
      <c r="A1079" s="154">
        <v>1079</v>
      </c>
      <c r="B1079" s="162" t="s">
        <v>2086</v>
      </c>
      <c r="C1079" s="163">
        <v>10985780</v>
      </c>
      <c r="D1079" s="164" t="s">
        <v>968</v>
      </c>
      <c r="E1079" s="165">
        <v>174540</v>
      </c>
      <c r="F1079" s="165">
        <v>51840</v>
      </c>
      <c r="G1079" s="165">
        <v>122700</v>
      </c>
      <c r="H1079" s="165">
        <v>0</v>
      </c>
      <c r="I1079" s="163"/>
      <c r="J1079" s="166"/>
      <c r="K1079" s="167"/>
      <c r="L1079" s="167">
        <v>735</v>
      </c>
      <c r="M1079" s="168">
        <v>46073</v>
      </c>
      <c r="N1079" s="169" t="s">
        <v>2087</v>
      </c>
      <c r="O1079" s="162">
        <v>111</v>
      </c>
    </row>
    <row r="1080" spans="1:15" x14ac:dyDescent="0.25">
      <c r="A1080" s="154">
        <v>1080</v>
      </c>
      <c r="B1080" s="162" t="s">
        <v>2088</v>
      </c>
      <c r="C1080" s="163">
        <v>7860258</v>
      </c>
      <c r="D1080" s="164" t="s">
        <v>968</v>
      </c>
      <c r="E1080" s="165">
        <v>51100</v>
      </c>
      <c r="F1080" s="165">
        <v>51100</v>
      </c>
      <c r="G1080" s="165">
        <v>0</v>
      </c>
      <c r="H1080" s="165">
        <v>0</v>
      </c>
      <c r="I1080" s="163"/>
      <c r="J1080" s="166"/>
      <c r="K1080" s="167"/>
      <c r="L1080" s="167">
        <v>735</v>
      </c>
      <c r="M1080" s="168">
        <v>46073</v>
      </c>
      <c r="N1080" s="169" t="s">
        <v>2089</v>
      </c>
      <c r="O1080" s="162">
        <v>111</v>
      </c>
    </row>
    <row r="1081" spans="1:15" x14ac:dyDescent="0.25">
      <c r="A1081" s="154">
        <v>1081</v>
      </c>
      <c r="B1081" s="162" t="s">
        <v>2090</v>
      </c>
      <c r="C1081" s="163">
        <v>29245141</v>
      </c>
      <c r="D1081" s="164" t="s">
        <v>968</v>
      </c>
      <c r="E1081" s="165">
        <v>1081788</v>
      </c>
      <c r="F1081" s="165">
        <v>307488</v>
      </c>
      <c r="G1081" s="165">
        <v>774300</v>
      </c>
      <c r="H1081" s="165">
        <v>0</v>
      </c>
      <c r="I1081" s="163"/>
      <c r="J1081" s="166"/>
      <c r="K1081" s="167"/>
      <c r="L1081" s="167">
        <v>735</v>
      </c>
      <c r="M1081" s="168">
        <v>46073</v>
      </c>
      <c r="N1081" s="169" t="s">
        <v>2091</v>
      </c>
      <c r="O1081" s="162">
        <v>111</v>
      </c>
    </row>
    <row r="1082" spans="1:15" x14ac:dyDescent="0.25">
      <c r="A1082" s="154">
        <v>1082</v>
      </c>
      <c r="B1082" s="162" t="s">
        <v>2092</v>
      </c>
      <c r="C1082" s="163">
        <v>8614313</v>
      </c>
      <c r="D1082" s="164" t="s">
        <v>968</v>
      </c>
      <c r="E1082" s="165">
        <v>393600</v>
      </c>
      <c r="F1082" s="165">
        <v>393600</v>
      </c>
      <c r="G1082" s="165">
        <v>0</v>
      </c>
      <c r="H1082" s="165">
        <v>0</v>
      </c>
      <c r="I1082" s="163"/>
      <c r="J1082" s="166"/>
      <c r="K1082" s="167"/>
      <c r="L1082" s="167">
        <v>735</v>
      </c>
      <c r="M1082" s="168">
        <v>46073</v>
      </c>
      <c r="N1082" s="169" t="s">
        <v>2093</v>
      </c>
      <c r="O1082" s="162">
        <v>111</v>
      </c>
    </row>
    <row r="1083" spans="1:15" x14ac:dyDescent="0.25">
      <c r="A1083" s="154">
        <v>1083</v>
      </c>
      <c r="B1083" s="162" t="s">
        <v>2094</v>
      </c>
      <c r="C1083" s="163">
        <v>19802419</v>
      </c>
      <c r="D1083" s="164" t="s">
        <v>968</v>
      </c>
      <c r="E1083" s="165">
        <v>201300</v>
      </c>
      <c r="F1083" s="165">
        <v>156200</v>
      </c>
      <c r="G1083" s="165">
        <v>45100</v>
      </c>
      <c r="H1083" s="165">
        <v>0</v>
      </c>
      <c r="I1083" s="163"/>
      <c r="J1083" s="166"/>
      <c r="K1083" s="167"/>
      <c r="L1083" s="167">
        <v>735</v>
      </c>
      <c r="M1083" s="168">
        <v>46073</v>
      </c>
      <c r="N1083" s="169" t="s">
        <v>2095</v>
      </c>
      <c r="O1083" s="162">
        <v>111</v>
      </c>
    </row>
    <row r="1084" spans="1:15" x14ac:dyDescent="0.25">
      <c r="A1084" s="154">
        <v>1084</v>
      </c>
      <c r="B1084" s="162" t="s">
        <v>2096</v>
      </c>
      <c r="C1084" s="163">
        <v>17039230</v>
      </c>
      <c r="D1084" s="164" t="s">
        <v>968</v>
      </c>
      <c r="E1084" s="165">
        <v>1362340</v>
      </c>
      <c r="F1084" s="165">
        <v>957490</v>
      </c>
      <c r="G1084" s="165">
        <v>404850</v>
      </c>
      <c r="H1084" s="165">
        <v>0</v>
      </c>
      <c r="I1084" s="163"/>
      <c r="J1084" s="166"/>
      <c r="K1084" s="167"/>
      <c r="L1084" s="167">
        <v>735</v>
      </c>
      <c r="M1084" s="168">
        <v>46073</v>
      </c>
      <c r="N1084" s="169" t="s">
        <v>2097</v>
      </c>
      <c r="O1084" s="162">
        <v>203</v>
      </c>
    </row>
    <row r="1085" spans="1:15" x14ac:dyDescent="0.25">
      <c r="A1085" s="154">
        <v>1085</v>
      </c>
      <c r="B1085" s="162" t="s">
        <v>2098</v>
      </c>
      <c r="C1085" s="163">
        <v>9050503</v>
      </c>
      <c r="D1085" s="164" t="s">
        <v>968</v>
      </c>
      <c r="E1085" s="165">
        <v>2013180</v>
      </c>
      <c r="F1085" s="165">
        <v>1269780</v>
      </c>
      <c r="G1085" s="165">
        <v>743400</v>
      </c>
      <c r="H1085" s="165">
        <v>0</v>
      </c>
      <c r="I1085" s="163"/>
      <c r="J1085" s="166"/>
      <c r="K1085" s="167"/>
      <c r="L1085" s="167">
        <v>735</v>
      </c>
      <c r="M1085" s="168">
        <v>46073</v>
      </c>
      <c r="N1085" s="169" t="s">
        <v>2099</v>
      </c>
      <c r="O1085" s="162" t="s">
        <v>2100</v>
      </c>
    </row>
    <row r="1086" spans="1:15" x14ac:dyDescent="0.25">
      <c r="A1086" s="154">
        <v>1086</v>
      </c>
      <c r="B1086" s="162" t="s">
        <v>2101</v>
      </c>
      <c r="C1086" s="163">
        <v>8539743</v>
      </c>
      <c r="D1086" s="164" t="s">
        <v>968</v>
      </c>
      <c r="E1086" s="165">
        <v>2505540</v>
      </c>
      <c r="F1086" s="165">
        <v>2257740</v>
      </c>
      <c r="G1086" s="165">
        <v>247800</v>
      </c>
      <c r="H1086" s="165">
        <v>0</v>
      </c>
      <c r="I1086" s="163"/>
      <c r="J1086" s="166"/>
      <c r="K1086" s="167"/>
      <c r="L1086" s="167">
        <v>735</v>
      </c>
      <c r="M1086" s="168">
        <v>46073</v>
      </c>
      <c r="N1086" s="169" t="s">
        <v>2102</v>
      </c>
      <c r="O1086" s="162" t="s">
        <v>2100</v>
      </c>
    </row>
    <row r="1087" spans="1:15" x14ac:dyDescent="0.25">
      <c r="A1087" s="154">
        <v>1087</v>
      </c>
      <c r="B1087" s="162" t="s">
        <v>2103</v>
      </c>
      <c r="C1087" s="163">
        <v>7649201</v>
      </c>
      <c r="D1087" s="164" t="s">
        <v>968</v>
      </c>
      <c r="E1087" s="165">
        <v>34020</v>
      </c>
      <c r="F1087" s="165">
        <v>34020</v>
      </c>
      <c r="G1087" s="165">
        <v>0</v>
      </c>
      <c r="H1087" s="165">
        <v>0</v>
      </c>
      <c r="I1087" s="163"/>
      <c r="J1087" s="166"/>
      <c r="K1087" s="167"/>
      <c r="L1087" s="167">
        <v>735</v>
      </c>
      <c r="M1087" s="168">
        <v>46073</v>
      </c>
      <c r="N1087" s="169" t="s">
        <v>2104</v>
      </c>
      <c r="O1087" s="162">
        <v>111</v>
      </c>
    </row>
    <row r="1088" spans="1:15" x14ac:dyDescent="0.25">
      <c r="A1088" s="154">
        <v>1088</v>
      </c>
      <c r="B1088" s="162" t="s">
        <v>2105</v>
      </c>
      <c r="C1088" s="163">
        <v>6706822</v>
      </c>
      <c r="D1088" s="164" t="s">
        <v>968</v>
      </c>
      <c r="E1088" s="165">
        <v>115400</v>
      </c>
      <c r="F1088" s="165">
        <v>91700</v>
      </c>
      <c r="G1088" s="165">
        <v>23700</v>
      </c>
      <c r="H1088" s="165">
        <v>0</v>
      </c>
      <c r="I1088" s="163"/>
      <c r="J1088" s="166"/>
      <c r="K1088" s="167"/>
      <c r="L1088" s="167">
        <v>735</v>
      </c>
      <c r="M1088" s="168">
        <v>46073</v>
      </c>
      <c r="N1088" s="169" t="s">
        <v>2106</v>
      </c>
      <c r="O1088" s="162">
        <v>111</v>
      </c>
    </row>
    <row r="1089" spans="1:15" x14ac:dyDescent="0.25">
      <c r="A1089" s="154">
        <v>1089</v>
      </c>
      <c r="B1089" s="162" t="s">
        <v>2107</v>
      </c>
      <c r="C1089" s="163">
        <v>6070661</v>
      </c>
      <c r="D1089" s="164" t="s">
        <v>968</v>
      </c>
      <c r="E1089" s="165">
        <v>17748</v>
      </c>
      <c r="F1089" s="165">
        <v>17748</v>
      </c>
      <c r="G1089" s="165">
        <v>0</v>
      </c>
      <c r="H1089" s="165">
        <v>0</v>
      </c>
      <c r="I1089" s="163"/>
      <c r="J1089" s="166"/>
      <c r="K1089" s="167"/>
      <c r="L1089" s="167">
        <v>735</v>
      </c>
      <c r="M1089" s="168">
        <v>46073</v>
      </c>
      <c r="N1089" s="169" t="s">
        <v>2108</v>
      </c>
      <c r="O1089" s="162">
        <v>111</v>
      </c>
    </row>
    <row r="1090" spans="1:15" x14ac:dyDescent="0.25">
      <c r="A1090" s="154">
        <v>1090</v>
      </c>
      <c r="B1090" s="162" t="s">
        <v>2109</v>
      </c>
      <c r="C1090" s="163">
        <v>161195758</v>
      </c>
      <c r="D1090" s="164" t="s">
        <v>968</v>
      </c>
      <c r="E1090" s="165">
        <v>1188244</v>
      </c>
      <c r="F1090" s="165">
        <v>543661</v>
      </c>
      <c r="G1090" s="165">
        <v>644583</v>
      </c>
      <c r="H1090" s="165">
        <v>0</v>
      </c>
      <c r="I1090" s="163"/>
      <c r="J1090" s="166"/>
      <c r="K1090" s="167"/>
      <c r="L1090" s="167">
        <v>735</v>
      </c>
      <c r="M1090" s="168">
        <v>46073</v>
      </c>
      <c r="N1090" s="169" t="s">
        <v>2110</v>
      </c>
      <c r="O1090" s="162">
        <v>111</v>
      </c>
    </row>
    <row r="1091" spans="1:15" x14ac:dyDescent="0.25">
      <c r="A1091" s="154">
        <v>1091</v>
      </c>
      <c r="B1091" s="162" t="s">
        <v>2111</v>
      </c>
      <c r="C1091" s="163">
        <v>13934805</v>
      </c>
      <c r="D1091" s="164" t="s">
        <v>968</v>
      </c>
      <c r="E1091" s="165">
        <v>316208</v>
      </c>
      <c r="F1091" s="165">
        <v>316208</v>
      </c>
      <c r="G1091" s="165">
        <v>0</v>
      </c>
      <c r="H1091" s="165">
        <v>0</v>
      </c>
      <c r="I1091" s="163"/>
      <c r="J1091" s="166"/>
      <c r="K1091" s="167"/>
      <c r="L1091" s="167">
        <v>735</v>
      </c>
      <c r="M1091" s="168">
        <v>46073</v>
      </c>
      <c r="N1091" s="169" t="s">
        <v>2112</v>
      </c>
      <c r="O1091" s="162">
        <v>111</v>
      </c>
    </row>
    <row r="1092" spans="1:15" x14ac:dyDescent="0.25">
      <c r="A1092" s="154">
        <v>1092</v>
      </c>
      <c r="B1092" s="162" t="s">
        <v>2113</v>
      </c>
      <c r="C1092" s="163">
        <v>105283347</v>
      </c>
      <c r="D1092" s="164" t="s">
        <v>968</v>
      </c>
      <c r="E1092" s="165">
        <v>811337</v>
      </c>
      <c r="F1092" s="165">
        <v>811337</v>
      </c>
      <c r="G1092" s="165">
        <v>0</v>
      </c>
      <c r="H1092" s="165">
        <v>0</v>
      </c>
      <c r="I1092" s="163"/>
      <c r="J1092" s="166"/>
      <c r="K1092" s="167"/>
      <c r="L1092" s="167">
        <v>735</v>
      </c>
      <c r="M1092" s="168">
        <v>46073</v>
      </c>
      <c r="N1092" s="169" t="s">
        <v>2114</v>
      </c>
      <c r="O1092" s="162">
        <v>111</v>
      </c>
    </row>
    <row r="1093" spans="1:15" x14ac:dyDescent="0.25">
      <c r="A1093" s="154">
        <v>1093</v>
      </c>
      <c r="B1093" s="162" t="s">
        <v>2115</v>
      </c>
      <c r="C1093" s="163">
        <v>3548275</v>
      </c>
      <c r="D1093" s="164" t="s">
        <v>968</v>
      </c>
      <c r="E1093" s="165">
        <v>43000</v>
      </c>
      <c r="F1093" s="165">
        <v>43000</v>
      </c>
      <c r="G1093" s="165">
        <v>0</v>
      </c>
      <c r="H1093" s="165">
        <v>0</v>
      </c>
      <c r="I1093" s="163"/>
      <c r="J1093" s="166"/>
      <c r="K1093" s="167"/>
      <c r="L1093" s="167">
        <v>735</v>
      </c>
      <c r="M1093" s="168">
        <v>46073</v>
      </c>
      <c r="N1093" s="169" t="s">
        <v>2116</v>
      </c>
      <c r="O1093" s="162">
        <v>111</v>
      </c>
    </row>
    <row r="1094" spans="1:15" x14ac:dyDescent="0.25">
      <c r="A1094" s="154">
        <v>1094</v>
      </c>
      <c r="B1094" s="162" t="s">
        <v>2117</v>
      </c>
      <c r="C1094" s="163">
        <v>3078035</v>
      </c>
      <c r="D1094" s="164" t="s">
        <v>968</v>
      </c>
      <c r="E1094" s="165">
        <v>58500</v>
      </c>
      <c r="F1094" s="165">
        <v>0</v>
      </c>
      <c r="G1094" s="165">
        <v>58500</v>
      </c>
      <c r="H1094" s="165">
        <v>0</v>
      </c>
      <c r="I1094" s="163"/>
      <c r="J1094" s="166"/>
      <c r="K1094" s="167"/>
      <c r="L1094" s="167">
        <v>739</v>
      </c>
      <c r="M1094" s="168">
        <v>46078</v>
      </c>
      <c r="N1094" s="169" t="s">
        <v>1029</v>
      </c>
      <c r="O1094" s="162">
        <v>202</v>
      </c>
    </row>
    <row r="1095" spans="1:15" x14ac:dyDescent="0.25">
      <c r="A1095" s="154">
        <v>1095</v>
      </c>
      <c r="B1095" s="162" t="s">
        <v>2118</v>
      </c>
      <c r="C1095" s="163">
        <v>3315500</v>
      </c>
      <c r="D1095" s="164" t="s">
        <v>968</v>
      </c>
      <c r="E1095" s="165">
        <v>58500</v>
      </c>
      <c r="F1095" s="165">
        <v>0</v>
      </c>
      <c r="G1095" s="165">
        <v>58500</v>
      </c>
      <c r="H1095" s="165">
        <v>0</v>
      </c>
      <c r="I1095" s="163"/>
      <c r="J1095" s="166"/>
      <c r="K1095" s="167"/>
      <c r="L1095" s="167">
        <v>739</v>
      </c>
      <c r="M1095" s="168">
        <v>46078</v>
      </c>
      <c r="N1095" s="169" t="s">
        <v>1029</v>
      </c>
      <c r="O1095" s="162">
        <v>202</v>
      </c>
    </row>
    <row r="1096" spans="1:15" x14ac:dyDescent="0.25">
      <c r="A1096" s="154">
        <v>1096</v>
      </c>
      <c r="B1096" s="162" t="s">
        <v>2119</v>
      </c>
      <c r="C1096" s="163">
        <v>1603245</v>
      </c>
      <c r="D1096" s="164" t="s">
        <v>968</v>
      </c>
      <c r="E1096" s="165">
        <v>58500</v>
      </c>
      <c r="F1096" s="165">
        <v>0</v>
      </c>
      <c r="G1096" s="165">
        <v>58500</v>
      </c>
      <c r="H1096" s="165">
        <v>0</v>
      </c>
      <c r="I1096" s="163"/>
      <c r="J1096" s="166"/>
      <c r="K1096" s="167"/>
      <c r="L1096" s="167">
        <v>739</v>
      </c>
      <c r="M1096" s="168">
        <v>46078</v>
      </c>
      <c r="N1096" s="169" t="s">
        <v>1029</v>
      </c>
      <c r="O1096" s="162">
        <v>202</v>
      </c>
    </row>
    <row r="1097" spans="1:15" x14ac:dyDescent="0.25">
      <c r="A1097" s="154">
        <v>1097</v>
      </c>
      <c r="B1097" s="162" t="s">
        <v>2120</v>
      </c>
      <c r="C1097" s="163">
        <v>8078999</v>
      </c>
      <c r="D1097" s="164" t="s">
        <v>968</v>
      </c>
      <c r="E1097" s="165">
        <v>58500</v>
      </c>
      <c r="F1097" s="165">
        <v>58500</v>
      </c>
      <c r="G1097" s="165">
        <v>0</v>
      </c>
      <c r="H1097" s="165">
        <v>0</v>
      </c>
      <c r="I1097" s="163"/>
      <c r="J1097" s="166"/>
      <c r="K1097" s="167"/>
      <c r="L1097" s="167">
        <v>739</v>
      </c>
      <c r="M1097" s="168">
        <v>46078</v>
      </c>
      <c r="N1097" s="169" t="s">
        <v>2121</v>
      </c>
      <c r="O1097" s="162">
        <v>202</v>
      </c>
    </row>
    <row r="1098" spans="1:15" x14ac:dyDescent="0.25">
      <c r="A1098" s="154">
        <v>1098</v>
      </c>
      <c r="B1098" s="162" t="s">
        <v>2122</v>
      </c>
      <c r="C1098" s="163">
        <v>1664600</v>
      </c>
      <c r="D1098" s="164" t="s">
        <v>968</v>
      </c>
      <c r="E1098" s="165">
        <v>58500</v>
      </c>
      <c r="F1098" s="165">
        <v>0</v>
      </c>
      <c r="G1098" s="165">
        <v>58500</v>
      </c>
      <c r="H1098" s="165">
        <v>0</v>
      </c>
      <c r="I1098" s="163"/>
      <c r="J1098" s="166"/>
      <c r="K1098" s="167"/>
      <c r="L1098" s="167">
        <v>739</v>
      </c>
      <c r="M1098" s="168">
        <v>46078</v>
      </c>
      <c r="N1098" s="169" t="s">
        <v>1029</v>
      </c>
      <c r="O1098" s="162">
        <v>202</v>
      </c>
    </row>
    <row r="1099" spans="1:15" x14ac:dyDescent="0.25">
      <c r="A1099" s="154">
        <v>1099</v>
      </c>
      <c r="B1099" s="162" t="s">
        <v>2123</v>
      </c>
      <c r="C1099" s="163">
        <v>16524164</v>
      </c>
      <c r="D1099" s="164" t="s">
        <v>968</v>
      </c>
      <c r="E1099" s="165">
        <v>681218</v>
      </c>
      <c r="F1099" s="165">
        <v>681218</v>
      </c>
      <c r="G1099" s="165">
        <v>0</v>
      </c>
      <c r="H1099" s="165">
        <v>0</v>
      </c>
      <c r="I1099" s="163"/>
      <c r="J1099" s="166"/>
      <c r="K1099" s="167"/>
      <c r="L1099" s="167">
        <v>739</v>
      </c>
      <c r="M1099" s="168">
        <v>46078</v>
      </c>
      <c r="N1099" s="169" t="s">
        <v>2124</v>
      </c>
      <c r="O1099" s="162">
        <v>206</v>
      </c>
    </row>
    <row r="1100" spans="1:15" x14ac:dyDescent="0.25">
      <c r="A1100" s="154">
        <v>1100</v>
      </c>
      <c r="B1100" s="162" t="s">
        <v>2125</v>
      </c>
      <c r="C1100" s="163">
        <v>17140378</v>
      </c>
      <c r="D1100" s="164" t="s">
        <v>968</v>
      </c>
      <c r="E1100" s="165">
        <v>902026</v>
      </c>
      <c r="F1100" s="165">
        <v>902026</v>
      </c>
      <c r="G1100" s="165">
        <v>0</v>
      </c>
      <c r="H1100" s="165">
        <v>0</v>
      </c>
      <c r="I1100" s="163"/>
      <c r="J1100" s="166"/>
      <c r="K1100" s="167"/>
      <c r="L1100" s="167">
        <v>739</v>
      </c>
      <c r="M1100" s="168">
        <v>46078</v>
      </c>
      <c r="N1100" s="169" t="s">
        <v>2126</v>
      </c>
      <c r="O1100" s="162" t="s">
        <v>2127</v>
      </c>
    </row>
    <row r="1101" spans="1:15" x14ac:dyDescent="0.25">
      <c r="A1101" s="154">
        <v>1101</v>
      </c>
      <c r="B1101" s="162" t="s">
        <v>2128</v>
      </c>
      <c r="C1101" s="163">
        <v>10431450</v>
      </c>
      <c r="D1101" s="164" t="s">
        <v>968</v>
      </c>
      <c r="E1101" s="165">
        <v>446197</v>
      </c>
      <c r="F1101" s="165">
        <v>446197</v>
      </c>
      <c r="G1101" s="165">
        <v>0</v>
      </c>
      <c r="H1101" s="165">
        <v>0</v>
      </c>
      <c r="I1101" s="163"/>
      <c r="J1101" s="166"/>
      <c r="K1101" s="167"/>
      <c r="L1101" s="167">
        <v>739</v>
      </c>
      <c r="M1101" s="168">
        <v>46078</v>
      </c>
      <c r="N1101" s="169" t="s">
        <v>2129</v>
      </c>
      <c r="O1101" s="162">
        <v>206</v>
      </c>
    </row>
    <row r="1102" spans="1:15" x14ac:dyDescent="0.25">
      <c r="A1102" s="154">
        <v>1102</v>
      </c>
      <c r="B1102" s="162" t="s">
        <v>2130</v>
      </c>
      <c r="C1102" s="163">
        <v>2497500</v>
      </c>
      <c r="D1102" s="164" t="s">
        <v>968</v>
      </c>
      <c r="E1102" s="165">
        <v>376800</v>
      </c>
      <c r="F1102" s="165">
        <v>198300</v>
      </c>
      <c r="G1102" s="165">
        <v>178500</v>
      </c>
      <c r="H1102" s="165">
        <v>0</v>
      </c>
      <c r="I1102" s="163"/>
      <c r="J1102" s="166"/>
      <c r="K1102" s="167"/>
      <c r="L1102" s="167">
        <v>739</v>
      </c>
      <c r="M1102" s="168">
        <v>46078</v>
      </c>
      <c r="N1102" s="169" t="s">
        <v>2131</v>
      </c>
      <c r="O1102" s="162">
        <v>127</v>
      </c>
    </row>
    <row r="1103" spans="1:15" x14ac:dyDescent="0.25">
      <c r="A1103" s="154">
        <v>1103</v>
      </c>
      <c r="B1103" s="162" t="s">
        <v>2132</v>
      </c>
      <c r="C1103" s="163">
        <v>5010646</v>
      </c>
      <c r="D1103" s="164" t="s">
        <v>968</v>
      </c>
      <c r="E1103" s="165">
        <v>252000</v>
      </c>
      <c r="F1103" s="165">
        <v>100800</v>
      </c>
      <c r="G1103" s="165">
        <v>151200</v>
      </c>
      <c r="H1103" s="165">
        <v>0</v>
      </c>
      <c r="I1103" s="163"/>
      <c r="J1103" s="166"/>
      <c r="K1103" s="167"/>
      <c r="L1103" s="167">
        <v>739</v>
      </c>
      <c r="M1103" s="168">
        <v>46078</v>
      </c>
      <c r="N1103" s="169" t="s">
        <v>2133</v>
      </c>
      <c r="O1103" s="162">
        <v>207</v>
      </c>
    </row>
    <row r="1104" spans="1:15" x14ac:dyDescent="0.25">
      <c r="A1104" s="154">
        <v>1104</v>
      </c>
      <c r="B1104" s="162" t="s">
        <v>2134</v>
      </c>
      <c r="C1104" s="163">
        <v>2626500</v>
      </c>
      <c r="D1104" s="164" t="s">
        <v>968</v>
      </c>
      <c r="E1104" s="165">
        <v>159400</v>
      </c>
      <c r="F1104" s="165">
        <v>0</v>
      </c>
      <c r="G1104" s="165">
        <v>159400</v>
      </c>
      <c r="H1104" s="165">
        <v>0</v>
      </c>
      <c r="I1104" s="163"/>
      <c r="J1104" s="166"/>
      <c r="K1104" s="167"/>
      <c r="L1104" s="167">
        <v>739</v>
      </c>
      <c r="M1104" s="168">
        <v>46078</v>
      </c>
      <c r="N1104" s="169" t="s">
        <v>1029</v>
      </c>
      <c r="O1104" s="162">
        <v>308</v>
      </c>
    </row>
    <row r="1105" spans="1:15" x14ac:dyDescent="0.25">
      <c r="A1105" s="154">
        <v>1105</v>
      </c>
      <c r="B1105" s="162" t="s">
        <v>2135</v>
      </c>
      <c r="C1105" s="163">
        <v>2732600</v>
      </c>
      <c r="D1105" s="164" t="s">
        <v>968</v>
      </c>
      <c r="E1105" s="165">
        <v>248650</v>
      </c>
      <c r="F1105" s="165">
        <v>89250</v>
      </c>
      <c r="G1105" s="165">
        <v>159400</v>
      </c>
      <c r="H1105" s="165">
        <v>0</v>
      </c>
      <c r="I1105" s="163"/>
      <c r="J1105" s="166"/>
      <c r="K1105" s="167"/>
      <c r="L1105" s="167">
        <v>739</v>
      </c>
      <c r="M1105" s="168">
        <v>46078</v>
      </c>
      <c r="N1105" s="169" t="s">
        <v>2136</v>
      </c>
      <c r="O1105" s="162">
        <v>106</v>
      </c>
    </row>
    <row r="1106" spans="1:15" x14ac:dyDescent="0.25">
      <c r="A1106" s="154">
        <v>1106</v>
      </c>
      <c r="B1106" s="162" t="s">
        <v>2137</v>
      </c>
      <c r="C1106" s="163">
        <v>4259703</v>
      </c>
      <c r="D1106" s="164" t="s">
        <v>968</v>
      </c>
      <c r="E1106" s="165">
        <v>162000</v>
      </c>
      <c r="F1106" s="165">
        <v>64800</v>
      </c>
      <c r="G1106" s="165">
        <v>97200</v>
      </c>
      <c r="H1106" s="165">
        <v>0</v>
      </c>
      <c r="I1106" s="163"/>
      <c r="J1106" s="166"/>
      <c r="K1106" s="167"/>
      <c r="L1106" s="167">
        <v>739</v>
      </c>
      <c r="M1106" s="168">
        <v>46078</v>
      </c>
      <c r="N1106" s="169" t="s">
        <v>2138</v>
      </c>
      <c r="O1106" s="162">
        <v>207</v>
      </c>
    </row>
    <row r="1107" spans="1:15" x14ac:dyDescent="0.25">
      <c r="A1107" s="154">
        <v>1107</v>
      </c>
      <c r="B1107" s="162" t="s">
        <v>2139</v>
      </c>
      <c r="C1107" s="163">
        <v>6968592</v>
      </c>
      <c r="D1107" s="164" t="s">
        <v>968</v>
      </c>
      <c r="E1107" s="165">
        <v>166826</v>
      </c>
      <c r="F1107" s="165">
        <v>66730</v>
      </c>
      <c r="G1107" s="165">
        <v>100096</v>
      </c>
      <c r="H1107" s="165">
        <v>0</v>
      </c>
      <c r="I1107" s="163"/>
      <c r="J1107" s="166"/>
      <c r="K1107" s="167"/>
      <c r="L1107" s="167">
        <v>739</v>
      </c>
      <c r="M1107" s="168">
        <v>46078</v>
      </c>
      <c r="N1107" s="169" t="s">
        <v>2140</v>
      </c>
      <c r="O1107" s="162">
        <v>206</v>
      </c>
    </row>
    <row r="1108" spans="1:15" x14ac:dyDescent="0.25">
      <c r="A1108" s="154">
        <v>1108</v>
      </c>
      <c r="B1108" s="162" t="s">
        <v>2141</v>
      </c>
      <c r="C1108" s="163">
        <v>12988011</v>
      </c>
      <c r="D1108" s="164" t="s">
        <v>968</v>
      </c>
      <c r="E1108" s="165">
        <v>271226</v>
      </c>
      <c r="F1108" s="165">
        <v>108030</v>
      </c>
      <c r="G1108" s="165">
        <v>163196</v>
      </c>
      <c r="H1108" s="165">
        <v>0</v>
      </c>
      <c r="I1108" s="163"/>
      <c r="J1108" s="166"/>
      <c r="K1108" s="167"/>
      <c r="L1108" s="167">
        <v>739</v>
      </c>
      <c r="M1108" s="168">
        <v>46078</v>
      </c>
      <c r="N1108" s="169" t="s">
        <v>2142</v>
      </c>
      <c r="O1108" s="162">
        <v>206</v>
      </c>
    </row>
    <row r="1109" spans="1:15" x14ac:dyDescent="0.25">
      <c r="A1109" s="154">
        <v>1109</v>
      </c>
      <c r="B1109" s="162" t="s">
        <v>2143</v>
      </c>
      <c r="C1109" s="163">
        <v>7566797</v>
      </c>
      <c r="D1109" s="164" t="s">
        <v>968</v>
      </c>
      <c r="E1109" s="165">
        <v>166826</v>
      </c>
      <c r="F1109" s="165">
        <v>66730</v>
      </c>
      <c r="G1109" s="165">
        <v>100096</v>
      </c>
      <c r="H1109" s="165">
        <v>0</v>
      </c>
      <c r="I1109" s="163"/>
      <c r="J1109" s="166"/>
      <c r="K1109" s="167"/>
      <c r="L1109" s="167">
        <v>739</v>
      </c>
      <c r="M1109" s="168">
        <v>46078</v>
      </c>
      <c r="N1109" s="169" t="s">
        <v>2140</v>
      </c>
      <c r="O1109" s="162">
        <v>206</v>
      </c>
    </row>
    <row r="1110" spans="1:15" x14ac:dyDescent="0.25">
      <c r="A1110" s="154">
        <v>1110</v>
      </c>
      <c r="B1110" s="162" t="s">
        <v>2144</v>
      </c>
      <c r="C1110" s="163">
        <v>34372316</v>
      </c>
      <c r="D1110" s="164" t="s">
        <v>968</v>
      </c>
      <c r="E1110" s="165">
        <v>1140394</v>
      </c>
      <c r="F1110" s="165">
        <v>913594</v>
      </c>
      <c r="G1110" s="165">
        <v>226800</v>
      </c>
      <c r="H1110" s="165">
        <v>0</v>
      </c>
      <c r="I1110" s="163"/>
      <c r="J1110" s="166"/>
      <c r="K1110" s="167"/>
      <c r="L1110" s="167">
        <v>739</v>
      </c>
      <c r="M1110" s="168">
        <v>46078</v>
      </c>
      <c r="N1110" s="169" t="s">
        <v>2145</v>
      </c>
      <c r="O1110" s="162">
        <v>206</v>
      </c>
    </row>
    <row r="1111" spans="1:15" x14ac:dyDescent="0.25">
      <c r="A1111" s="154">
        <v>1111</v>
      </c>
      <c r="B1111" s="162" t="s">
        <v>2146</v>
      </c>
      <c r="C1111" s="163">
        <v>67664075</v>
      </c>
      <c r="D1111" s="164" t="s">
        <v>968</v>
      </c>
      <c r="E1111" s="165">
        <v>2242047</v>
      </c>
      <c r="F1111" s="165">
        <v>1404494</v>
      </c>
      <c r="G1111" s="165">
        <v>837553</v>
      </c>
      <c r="H1111" s="165">
        <v>0</v>
      </c>
      <c r="I1111" s="163"/>
      <c r="J1111" s="166"/>
      <c r="K1111" s="167"/>
      <c r="L1111" s="167">
        <v>739</v>
      </c>
      <c r="M1111" s="168">
        <v>46078</v>
      </c>
      <c r="N1111" s="169" t="s">
        <v>2147</v>
      </c>
      <c r="O1111" s="162">
        <v>202</v>
      </c>
    </row>
    <row r="1112" spans="1:15" x14ac:dyDescent="0.25">
      <c r="A1112" s="154">
        <v>1112</v>
      </c>
      <c r="B1112" s="162" t="s">
        <v>2148</v>
      </c>
      <c r="C1112" s="163">
        <v>33773517</v>
      </c>
      <c r="D1112" s="164" t="s">
        <v>968</v>
      </c>
      <c r="E1112" s="165">
        <v>3746926</v>
      </c>
      <c r="F1112" s="165">
        <v>3646830</v>
      </c>
      <c r="G1112" s="165">
        <v>100096</v>
      </c>
      <c r="H1112" s="165">
        <v>0</v>
      </c>
      <c r="I1112" s="163"/>
      <c r="J1112" s="166"/>
      <c r="K1112" s="167"/>
      <c r="L1112" s="167">
        <v>739</v>
      </c>
      <c r="M1112" s="168">
        <v>46078</v>
      </c>
      <c r="N1112" s="169" t="s">
        <v>2149</v>
      </c>
      <c r="O1112" s="162">
        <v>103</v>
      </c>
    </row>
    <row r="1113" spans="1:15" x14ac:dyDescent="0.25">
      <c r="A1113" s="154">
        <v>1113</v>
      </c>
      <c r="B1113" s="162" t="s">
        <v>2150</v>
      </c>
      <c r="C1113" s="163">
        <v>28344455</v>
      </c>
      <c r="D1113" s="164" t="s">
        <v>968</v>
      </c>
      <c r="E1113" s="165">
        <v>146200</v>
      </c>
      <c r="F1113" s="165">
        <v>13200</v>
      </c>
      <c r="G1113" s="165">
        <v>133000</v>
      </c>
      <c r="H1113" s="165">
        <v>0</v>
      </c>
      <c r="I1113" s="163"/>
      <c r="J1113" s="166"/>
      <c r="K1113" s="167"/>
      <c r="L1113" s="167">
        <v>739</v>
      </c>
      <c r="M1113" s="168">
        <v>46078</v>
      </c>
      <c r="N1113" s="169" t="s">
        <v>2151</v>
      </c>
      <c r="O1113" s="162">
        <v>102</v>
      </c>
    </row>
    <row r="1114" spans="1:15" x14ac:dyDescent="0.25">
      <c r="A1114" s="154">
        <v>1114</v>
      </c>
      <c r="B1114" s="162" t="s">
        <v>44</v>
      </c>
      <c r="C1114" s="163">
        <v>82085</v>
      </c>
      <c r="D1114" s="164" t="s">
        <v>836</v>
      </c>
      <c r="E1114" s="165">
        <v>6685</v>
      </c>
      <c r="F1114" s="165">
        <v>0</v>
      </c>
      <c r="G1114" s="165">
        <v>6685</v>
      </c>
      <c r="H1114" s="165">
        <v>0</v>
      </c>
      <c r="I1114" s="163"/>
      <c r="J1114" s="166"/>
      <c r="K1114" s="167"/>
      <c r="L1114" s="167">
        <v>709</v>
      </c>
      <c r="M1114" s="168">
        <v>46050</v>
      </c>
      <c r="N1114" s="169" t="s">
        <v>2152</v>
      </c>
      <c r="O1114" s="162" t="s">
        <v>185</v>
      </c>
    </row>
    <row r="1115" spans="1:15" x14ac:dyDescent="0.25">
      <c r="A1115" s="154">
        <v>1115</v>
      </c>
      <c r="B1115" s="162" t="s">
        <v>45</v>
      </c>
      <c r="C1115" s="163">
        <v>4994737</v>
      </c>
      <c r="D1115" s="164" t="s">
        <v>836</v>
      </c>
      <c r="E1115" s="165">
        <v>129388</v>
      </c>
      <c r="F1115" s="165">
        <v>129388</v>
      </c>
      <c r="G1115" s="165">
        <v>0</v>
      </c>
      <c r="H1115" s="165">
        <v>0</v>
      </c>
      <c r="I1115" s="163"/>
      <c r="J1115" s="166"/>
      <c r="K1115" s="167"/>
      <c r="L1115" s="167">
        <v>709</v>
      </c>
      <c r="M1115" s="168">
        <v>46050</v>
      </c>
      <c r="N1115" s="169" t="s">
        <v>2153</v>
      </c>
      <c r="O1115" s="162" t="s">
        <v>241</v>
      </c>
    </row>
    <row r="1116" spans="1:15" x14ac:dyDescent="0.25">
      <c r="A1116" s="154">
        <v>1116</v>
      </c>
      <c r="B1116" s="162" t="s">
        <v>45</v>
      </c>
      <c r="C1116" s="163">
        <v>4994737</v>
      </c>
      <c r="D1116" s="164" t="s">
        <v>836</v>
      </c>
      <c r="E1116" s="165">
        <v>164858</v>
      </c>
      <c r="F1116" s="165">
        <v>0</v>
      </c>
      <c r="G1116" s="165">
        <v>164858</v>
      </c>
      <c r="H1116" s="165">
        <v>0</v>
      </c>
      <c r="I1116" s="163"/>
      <c r="J1116" s="166"/>
      <c r="K1116" s="167"/>
      <c r="L1116" s="167">
        <v>709</v>
      </c>
      <c r="M1116" s="168">
        <v>46050</v>
      </c>
      <c r="N1116" s="169" t="s">
        <v>2154</v>
      </c>
      <c r="O1116" s="162" t="s">
        <v>237</v>
      </c>
    </row>
    <row r="1117" spans="1:15" x14ac:dyDescent="0.25">
      <c r="A1117" s="154">
        <v>1117</v>
      </c>
      <c r="B1117" s="162" t="s">
        <v>46</v>
      </c>
      <c r="C1117" s="163">
        <v>1514481</v>
      </c>
      <c r="D1117" s="164" t="s">
        <v>836</v>
      </c>
      <c r="E1117" s="165">
        <v>176405</v>
      </c>
      <c r="F1117" s="165">
        <v>0</v>
      </c>
      <c r="G1117" s="165">
        <v>176405</v>
      </c>
      <c r="H1117" s="165">
        <v>0</v>
      </c>
      <c r="I1117" s="163"/>
      <c r="J1117" s="166"/>
      <c r="K1117" s="167"/>
      <c r="L1117" s="167">
        <v>709</v>
      </c>
      <c r="M1117" s="168">
        <v>46050</v>
      </c>
      <c r="N1117" s="169" t="s">
        <v>2155</v>
      </c>
      <c r="O1117" s="162" t="s">
        <v>237</v>
      </c>
    </row>
    <row r="1118" spans="1:15" x14ac:dyDescent="0.25">
      <c r="A1118" s="154">
        <v>1118</v>
      </c>
      <c r="B1118" s="162" t="s">
        <v>47</v>
      </c>
      <c r="C1118" s="163">
        <v>5773764</v>
      </c>
      <c r="D1118" s="164" t="s">
        <v>836</v>
      </c>
      <c r="E1118" s="165">
        <v>73374</v>
      </c>
      <c r="F1118" s="165">
        <v>0</v>
      </c>
      <c r="G1118" s="165">
        <v>73374</v>
      </c>
      <c r="H1118" s="165">
        <v>0</v>
      </c>
      <c r="I1118" s="163"/>
      <c r="J1118" s="166"/>
      <c r="K1118" s="167"/>
      <c r="L1118" s="167">
        <v>709</v>
      </c>
      <c r="M1118" s="168">
        <v>46050</v>
      </c>
      <c r="N1118" s="169" t="s">
        <v>2152</v>
      </c>
      <c r="O1118" s="162" t="s">
        <v>212</v>
      </c>
    </row>
    <row r="1119" spans="1:15" x14ac:dyDescent="0.25">
      <c r="A1119" s="154">
        <v>1119</v>
      </c>
      <c r="B1119" s="162" t="s">
        <v>48</v>
      </c>
      <c r="C1119" s="163">
        <v>6404609</v>
      </c>
      <c r="D1119" s="164" t="s">
        <v>836</v>
      </c>
      <c r="E1119" s="165">
        <v>3826</v>
      </c>
      <c r="F1119" s="165">
        <v>3826</v>
      </c>
      <c r="G1119" s="165">
        <v>0</v>
      </c>
      <c r="H1119" s="165">
        <v>0</v>
      </c>
      <c r="I1119" s="163"/>
      <c r="J1119" s="166"/>
      <c r="K1119" s="167"/>
      <c r="L1119" s="167">
        <v>709</v>
      </c>
      <c r="M1119" s="168">
        <v>46050</v>
      </c>
      <c r="N1119" s="169" t="s">
        <v>2156</v>
      </c>
      <c r="O1119" s="162" t="s">
        <v>212</v>
      </c>
    </row>
    <row r="1120" spans="1:15" x14ac:dyDescent="0.25">
      <c r="A1120" s="154">
        <v>1120</v>
      </c>
      <c r="B1120" s="162" t="s">
        <v>49</v>
      </c>
      <c r="C1120" s="163">
        <v>6913001</v>
      </c>
      <c r="D1120" s="164" t="s">
        <v>836</v>
      </c>
      <c r="E1120" s="165">
        <v>116242</v>
      </c>
      <c r="F1120" s="165">
        <v>116242</v>
      </c>
      <c r="G1120" s="165">
        <v>0</v>
      </c>
      <c r="H1120" s="165">
        <v>0</v>
      </c>
      <c r="I1120" s="163"/>
      <c r="J1120" s="166"/>
      <c r="K1120" s="167"/>
      <c r="L1120" s="167">
        <v>709</v>
      </c>
      <c r="M1120" s="168">
        <v>46050</v>
      </c>
      <c r="N1120" s="169" t="s">
        <v>2157</v>
      </c>
      <c r="O1120" s="162" t="s">
        <v>201</v>
      </c>
    </row>
    <row r="1121" spans="1:15" x14ac:dyDescent="0.25">
      <c r="A1121" s="154">
        <v>1121</v>
      </c>
      <c r="B1121" s="162" t="s">
        <v>50</v>
      </c>
      <c r="C1121" s="163">
        <v>20880710</v>
      </c>
      <c r="D1121" s="164" t="s">
        <v>836</v>
      </c>
      <c r="E1121" s="165">
        <v>55000</v>
      </c>
      <c r="F1121" s="165">
        <v>0</v>
      </c>
      <c r="G1121" s="165">
        <v>55000</v>
      </c>
      <c r="H1121" s="165">
        <v>0</v>
      </c>
      <c r="I1121" s="163"/>
      <c r="J1121" s="166"/>
      <c r="K1121" s="167"/>
      <c r="L1121" s="167">
        <v>709</v>
      </c>
      <c r="M1121" s="168">
        <v>46050</v>
      </c>
      <c r="N1121" s="169" t="s">
        <v>2158</v>
      </c>
      <c r="O1121" s="162" t="s">
        <v>252</v>
      </c>
    </row>
    <row r="1122" spans="1:15" x14ac:dyDescent="0.25">
      <c r="A1122" s="154">
        <v>1122</v>
      </c>
      <c r="B1122" s="162" t="s">
        <v>50</v>
      </c>
      <c r="C1122" s="163">
        <v>20880710</v>
      </c>
      <c r="D1122" s="164" t="s">
        <v>836</v>
      </c>
      <c r="E1122" s="165">
        <v>55000</v>
      </c>
      <c r="F1122" s="165">
        <v>0</v>
      </c>
      <c r="G1122" s="165">
        <v>55000</v>
      </c>
      <c r="H1122" s="165">
        <v>0</v>
      </c>
      <c r="I1122" s="163"/>
      <c r="J1122" s="166"/>
      <c r="K1122" s="167"/>
      <c r="L1122" s="167">
        <v>709</v>
      </c>
      <c r="M1122" s="168">
        <v>46050</v>
      </c>
      <c r="N1122" s="169" t="s">
        <v>2158</v>
      </c>
      <c r="O1122" s="162" t="s">
        <v>252</v>
      </c>
    </row>
    <row r="1123" spans="1:15" x14ac:dyDescent="0.25">
      <c r="A1123" s="154">
        <v>1123</v>
      </c>
      <c r="B1123" s="162" t="s">
        <v>50</v>
      </c>
      <c r="C1123" s="163">
        <v>20880710</v>
      </c>
      <c r="D1123" s="164" t="s">
        <v>836</v>
      </c>
      <c r="E1123" s="165">
        <v>55000</v>
      </c>
      <c r="F1123" s="165">
        <v>0</v>
      </c>
      <c r="G1123" s="165">
        <v>55000</v>
      </c>
      <c r="H1123" s="165">
        <v>0</v>
      </c>
      <c r="I1123" s="163"/>
      <c r="J1123" s="166"/>
      <c r="K1123" s="167"/>
      <c r="L1123" s="167">
        <v>709</v>
      </c>
      <c r="M1123" s="168">
        <v>46050</v>
      </c>
      <c r="N1123" s="169" t="s">
        <v>2158</v>
      </c>
      <c r="O1123" s="162" t="s">
        <v>252</v>
      </c>
    </row>
    <row r="1124" spans="1:15" x14ac:dyDescent="0.25">
      <c r="A1124" s="154">
        <v>1124</v>
      </c>
      <c r="B1124" s="162" t="s">
        <v>50</v>
      </c>
      <c r="C1124" s="163">
        <v>20880710</v>
      </c>
      <c r="D1124" s="164" t="s">
        <v>836</v>
      </c>
      <c r="E1124" s="165">
        <v>55000</v>
      </c>
      <c r="F1124" s="165">
        <v>0</v>
      </c>
      <c r="G1124" s="165">
        <v>55000</v>
      </c>
      <c r="H1124" s="165">
        <v>0</v>
      </c>
      <c r="I1124" s="163"/>
      <c r="J1124" s="166"/>
      <c r="K1124" s="167"/>
      <c r="L1124" s="167">
        <v>709</v>
      </c>
      <c r="M1124" s="168">
        <v>46050</v>
      </c>
      <c r="N1124" s="169" t="s">
        <v>2158</v>
      </c>
      <c r="O1124" s="162" t="s">
        <v>252</v>
      </c>
    </row>
    <row r="1125" spans="1:15" x14ac:dyDescent="0.25">
      <c r="A1125" s="154">
        <v>1125</v>
      </c>
      <c r="B1125" s="162" t="s">
        <v>50</v>
      </c>
      <c r="C1125" s="163">
        <v>20880710</v>
      </c>
      <c r="D1125" s="164" t="s">
        <v>836</v>
      </c>
      <c r="E1125" s="165">
        <v>55000</v>
      </c>
      <c r="F1125" s="165">
        <v>0</v>
      </c>
      <c r="G1125" s="165">
        <v>55000</v>
      </c>
      <c r="H1125" s="165">
        <v>0</v>
      </c>
      <c r="I1125" s="163"/>
      <c r="J1125" s="166"/>
      <c r="K1125" s="167"/>
      <c r="L1125" s="167">
        <v>709</v>
      </c>
      <c r="M1125" s="168">
        <v>46050</v>
      </c>
      <c r="N1125" s="169" t="s">
        <v>2158</v>
      </c>
      <c r="O1125" s="162" t="s">
        <v>252</v>
      </c>
    </row>
    <row r="1126" spans="1:15" x14ac:dyDescent="0.25">
      <c r="A1126" s="154">
        <v>1126</v>
      </c>
      <c r="B1126" s="162" t="s">
        <v>50</v>
      </c>
      <c r="C1126" s="163">
        <v>20880710</v>
      </c>
      <c r="D1126" s="164" t="s">
        <v>836</v>
      </c>
      <c r="E1126" s="165">
        <v>55000</v>
      </c>
      <c r="F1126" s="165">
        <v>0</v>
      </c>
      <c r="G1126" s="165">
        <v>55000</v>
      </c>
      <c r="H1126" s="165">
        <v>0</v>
      </c>
      <c r="I1126" s="163"/>
      <c r="J1126" s="166"/>
      <c r="K1126" s="167"/>
      <c r="L1126" s="167">
        <v>709</v>
      </c>
      <c r="M1126" s="168">
        <v>46050</v>
      </c>
      <c r="N1126" s="169" t="s">
        <v>2158</v>
      </c>
      <c r="O1126" s="162" t="s">
        <v>252</v>
      </c>
    </row>
    <row r="1127" spans="1:15" x14ac:dyDescent="0.25">
      <c r="A1127" s="154">
        <v>1127</v>
      </c>
      <c r="B1127" s="162" t="s">
        <v>50</v>
      </c>
      <c r="C1127" s="163">
        <v>20880710</v>
      </c>
      <c r="D1127" s="164" t="s">
        <v>836</v>
      </c>
      <c r="E1127" s="165">
        <v>55000</v>
      </c>
      <c r="F1127" s="165">
        <v>0</v>
      </c>
      <c r="G1127" s="165">
        <v>55000</v>
      </c>
      <c r="H1127" s="165">
        <v>0</v>
      </c>
      <c r="I1127" s="163"/>
      <c r="J1127" s="166"/>
      <c r="K1127" s="167"/>
      <c r="L1127" s="167">
        <v>709</v>
      </c>
      <c r="M1127" s="168">
        <v>46050</v>
      </c>
      <c r="N1127" s="169" t="s">
        <v>2158</v>
      </c>
      <c r="O1127" s="162" t="s">
        <v>252</v>
      </c>
    </row>
    <row r="1128" spans="1:15" x14ac:dyDescent="0.25">
      <c r="A1128" s="154">
        <v>1128</v>
      </c>
      <c r="B1128" s="162" t="s">
        <v>50</v>
      </c>
      <c r="C1128" s="163">
        <v>20880710</v>
      </c>
      <c r="D1128" s="164" t="s">
        <v>836</v>
      </c>
      <c r="E1128" s="165">
        <v>55000</v>
      </c>
      <c r="F1128" s="165">
        <v>0</v>
      </c>
      <c r="G1128" s="165">
        <v>55000</v>
      </c>
      <c r="H1128" s="165">
        <v>0</v>
      </c>
      <c r="I1128" s="163"/>
      <c r="J1128" s="166"/>
      <c r="K1128" s="167"/>
      <c r="L1128" s="167">
        <v>709</v>
      </c>
      <c r="M1128" s="168">
        <v>46050</v>
      </c>
      <c r="N1128" s="169" t="s">
        <v>2158</v>
      </c>
      <c r="O1128" s="162" t="s">
        <v>252</v>
      </c>
    </row>
    <row r="1129" spans="1:15" x14ac:dyDescent="0.25">
      <c r="A1129" s="154">
        <v>1129</v>
      </c>
      <c r="B1129" s="162" t="s">
        <v>50</v>
      </c>
      <c r="C1129" s="163">
        <v>20880710</v>
      </c>
      <c r="D1129" s="164" t="s">
        <v>836</v>
      </c>
      <c r="E1129" s="165">
        <v>55000</v>
      </c>
      <c r="F1129" s="165">
        <v>0</v>
      </c>
      <c r="G1129" s="165">
        <v>55000</v>
      </c>
      <c r="H1129" s="165">
        <v>0</v>
      </c>
      <c r="I1129" s="163"/>
      <c r="J1129" s="166"/>
      <c r="K1129" s="167"/>
      <c r="L1129" s="167">
        <v>709</v>
      </c>
      <c r="M1129" s="168">
        <v>46050</v>
      </c>
      <c r="N1129" s="169" t="s">
        <v>2158</v>
      </c>
      <c r="O1129" s="162" t="s">
        <v>252</v>
      </c>
    </row>
    <row r="1130" spans="1:15" x14ac:dyDescent="0.25">
      <c r="A1130" s="154">
        <v>1130</v>
      </c>
      <c r="B1130" s="162" t="s">
        <v>50</v>
      </c>
      <c r="C1130" s="163">
        <v>20880710</v>
      </c>
      <c r="D1130" s="164" t="s">
        <v>836</v>
      </c>
      <c r="E1130" s="165">
        <v>55000</v>
      </c>
      <c r="F1130" s="165">
        <v>55000</v>
      </c>
      <c r="G1130" s="165">
        <v>0</v>
      </c>
      <c r="H1130" s="165">
        <v>0</v>
      </c>
      <c r="I1130" s="163"/>
      <c r="J1130" s="166"/>
      <c r="K1130" s="167"/>
      <c r="L1130" s="167">
        <v>709</v>
      </c>
      <c r="M1130" s="168">
        <v>46050</v>
      </c>
      <c r="N1130" s="169" t="s">
        <v>2159</v>
      </c>
      <c r="O1130" s="162" t="s">
        <v>252</v>
      </c>
    </row>
    <row r="1131" spans="1:15" x14ac:dyDescent="0.25">
      <c r="A1131" s="154">
        <v>1131</v>
      </c>
      <c r="B1131" s="162" t="s">
        <v>50</v>
      </c>
      <c r="C1131" s="163">
        <v>20880710</v>
      </c>
      <c r="D1131" s="164" t="s">
        <v>836</v>
      </c>
      <c r="E1131" s="165">
        <v>55000</v>
      </c>
      <c r="F1131" s="165">
        <v>55000</v>
      </c>
      <c r="G1131" s="165">
        <v>0</v>
      </c>
      <c r="H1131" s="165">
        <v>0</v>
      </c>
      <c r="I1131" s="163"/>
      <c r="J1131" s="166"/>
      <c r="K1131" s="167"/>
      <c r="L1131" s="167">
        <v>709</v>
      </c>
      <c r="M1131" s="168">
        <v>46050</v>
      </c>
      <c r="N1131" s="169" t="s">
        <v>2159</v>
      </c>
      <c r="O1131" s="162" t="s">
        <v>252</v>
      </c>
    </row>
    <row r="1132" spans="1:15" x14ac:dyDescent="0.25">
      <c r="A1132" s="154">
        <v>1132</v>
      </c>
      <c r="B1132" s="162" t="s">
        <v>50</v>
      </c>
      <c r="C1132" s="163">
        <v>20880710</v>
      </c>
      <c r="D1132" s="164" t="s">
        <v>836</v>
      </c>
      <c r="E1132" s="165">
        <v>55000</v>
      </c>
      <c r="F1132" s="165">
        <v>55000</v>
      </c>
      <c r="G1132" s="165">
        <v>0</v>
      </c>
      <c r="H1132" s="165">
        <v>0</v>
      </c>
      <c r="I1132" s="163"/>
      <c r="J1132" s="166"/>
      <c r="K1132" s="167"/>
      <c r="L1132" s="167">
        <v>709</v>
      </c>
      <c r="M1132" s="168">
        <v>46050</v>
      </c>
      <c r="N1132" s="169" t="s">
        <v>2159</v>
      </c>
      <c r="O1132" s="162" t="s">
        <v>252</v>
      </c>
    </row>
    <row r="1133" spans="1:15" x14ac:dyDescent="0.25">
      <c r="A1133" s="154">
        <v>1133</v>
      </c>
      <c r="B1133" s="162" t="s">
        <v>50</v>
      </c>
      <c r="C1133" s="163">
        <v>20880710</v>
      </c>
      <c r="D1133" s="164" t="s">
        <v>836</v>
      </c>
      <c r="E1133" s="165">
        <v>131148</v>
      </c>
      <c r="F1133" s="165">
        <v>0</v>
      </c>
      <c r="G1133" s="165">
        <v>131148</v>
      </c>
      <c r="H1133" s="165">
        <v>0</v>
      </c>
      <c r="I1133" s="163"/>
      <c r="J1133" s="166"/>
      <c r="K1133" s="167"/>
      <c r="L1133" s="167">
        <v>709</v>
      </c>
      <c r="M1133" s="168">
        <v>46050</v>
      </c>
      <c r="N1133" s="169" t="s">
        <v>828</v>
      </c>
      <c r="O1133" s="162" t="s">
        <v>212</v>
      </c>
    </row>
    <row r="1134" spans="1:15" x14ac:dyDescent="0.25">
      <c r="A1134" s="154">
        <v>1134</v>
      </c>
      <c r="B1134" s="162" t="s">
        <v>50</v>
      </c>
      <c r="C1134" s="163">
        <v>20880710</v>
      </c>
      <c r="D1134" s="164" t="s">
        <v>836</v>
      </c>
      <c r="E1134" s="165">
        <v>131148</v>
      </c>
      <c r="F1134" s="165">
        <v>0</v>
      </c>
      <c r="G1134" s="165">
        <v>131148</v>
      </c>
      <c r="H1134" s="165">
        <v>0</v>
      </c>
      <c r="I1134" s="163"/>
      <c r="J1134" s="166"/>
      <c r="K1134" s="167"/>
      <c r="L1134" s="167">
        <v>709</v>
      </c>
      <c r="M1134" s="168">
        <v>46050</v>
      </c>
      <c r="N1134" s="169" t="s">
        <v>828</v>
      </c>
      <c r="O1134" s="162" t="s">
        <v>212</v>
      </c>
    </row>
    <row r="1135" spans="1:15" x14ac:dyDescent="0.25">
      <c r="A1135" s="154">
        <v>1135</v>
      </c>
      <c r="B1135" s="162" t="s">
        <v>51</v>
      </c>
      <c r="C1135" s="163">
        <v>11020458</v>
      </c>
      <c r="D1135" s="164" t="s">
        <v>836</v>
      </c>
      <c r="E1135" s="165">
        <v>76988</v>
      </c>
      <c r="F1135" s="165">
        <v>0</v>
      </c>
      <c r="G1135" s="165">
        <v>76988</v>
      </c>
      <c r="H1135" s="165">
        <v>0</v>
      </c>
      <c r="I1135" s="163"/>
      <c r="J1135" s="166"/>
      <c r="K1135" s="167"/>
      <c r="L1135" s="167">
        <v>709</v>
      </c>
      <c r="M1135" s="168">
        <v>46050</v>
      </c>
      <c r="N1135" s="169" t="s">
        <v>829</v>
      </c>
      <c r="O1135" s="162" t="s">
        <v>198</v>
      </c>
    </row>
    <row r="1136" spans="1:15" x14ac:dyDescent="0.25">
      <c r="A1136" s="154">
        <v>1136</v>
      </c>
      <c r="B1136" s="162" t="s">
        <v>51</v>
      </c>
      <c r="C1136" s="163">
        <v>11020458</v>
      </c>
      <c r="D1136" s="164" t="s">
        <v>836</v>
      </c>
      <c r="E1136" s="165">
        <v>131148</v>
      </c>
      <c r="F1136" s="165">
        <v>0</v>
      </c>
      <c r="G1136" s="165">
        <v>131148</v>
      </c>
      <c r="H1136" s="165">
        <v>0</v>
      </c>
      <c r="I1136" s="163"/>
      <c r="J1136" s="166"/>
      <c r="K1136" s="167"/>
      <c r="L1136" s="167">
        <v>709</v>
      </c>
      <c r="M1136" s="168">
        <v>46050</v>
      </c>
      <c r="N1136" s="169" t="s">
        <v>828</v>
      </c>
      <c r="O1136" s="162" t="s">
        <v>212</v>
      </c>
    </row>
    <row r="1137" spans="1:15" x14ac:dyDescent="0.25">
      <c r="A1137" s="154">
        <v>1137</v>
      </c>
      <c r="B1137" s="162" t="s">
        <v>51</v>
      </c>
      <c r="C1137" s="163">
        <v>11020458</v>
      </c>
      <c r="D1137" s="164" t="s">
        <v>836</v>
      </c>
      <c r="E1137" s="165">
        <v>131148</v>
      </c>
      <c r="F1137" s="165">
        <v>0</v>
      </c>
      <c r="G1137" s="165">
        <v>131148</v>
      </c>
      <c r="H1137" s="165">
        <v>0</v>
      </c>
      <c r="I1137" s="163"/>
      <c r="J1137" s="166"/>
      <c r="K1137" s="167"/>
      <c r="L1137" s="167">
        <v>709</v>
      </c>
      <c r="M1137" s="168">
        <v>46050</v>
      </c>
      <c r="N1137" s="169" t="s">
        <v>828</v>
      </c>
      <c r="O1137" s="162" t="s">
        <v>212</v>
      </c>
    </row>
    <row r="1138" spans="1:15" x14ac:dyDescent="0.25">
      <c r="A1138" s="154">
        <v>1138</v>
      </c>
      <c r="B1138" s="162" t="s">
        <v>52</v>
      </c>
      <c r="C1138" s="163">
        <v>20079205</v>
      </c>
      <c r="D1138" s="164" t="s">
        <v>836</v>
      </c>
      <c r="E1138" s="165">
        <v>611651</v>
      </c>
      <c r="F1138" s="165">
        <v>398580</v>
      </c>
      <c r="G1138" s="165">
        <v>213071</v>
      </c>
      <c r="H1138" s="165">
        <v>0</v>
      </c>
      <c r="I1138" s="163"/>
      <c r="J1138" s="166"/>
      <c r="K1138" s="167"/>
      <c r="L1138" s="167">
        <v>709</v>
      </c>
      <c r="M1138" s="168">
        <v>46050</v>
      </c>
      <c r="N1138" s="169" t="s">
        <v>2160</v>
      </c>
      <c r="O1138" s="162" t="s">
        <v>208</v>
      </c>
    </row>
    <row r="1139" spans="1:15" x14ac:dyDescent="0.25">
      <c r="A1139" s="154">
        <v>1139</v>
      </c>
      <c r="B1139" s="162" t="s">
        <v>53</v>
      </c>
      <c r="C1139" s="163">
        <v>11817412</v>
      </c>
      <c r="D1139" s="164" t="s">
        <v>836</v>
      </c>
      <c r="E1139" s="165">
        <v>1077827</v>
      </c>
      <c r="F1139" s="165">
        <v>1077827</v>
      </c>
      <c r="G1139" s="165">
        <v>0</v>
      </c>
      <c r="H1139" s="165">
        <v>0</v>
      </c>
      <c r="I1139" s="163"/>
      <c r="J1139" s="166"/>
      <c r="K1139" s="167"/>
      <c r="L1139" s="167">
        <v>709</v>
      </c>
      <c r="M1139" s="168">
        <v>46050</v>
      </c>
      <c r="N1139" s="169" t="s">
        <v>2161</v>
      </c>
      <c r="O1139" s="162" t="s">
        <v>190</v>
      </c>
    </row>
    <row r="1140" spans="1:15" x14ac:dyDescent="0.25">
      <c r="A1140" s="154">
        <v>1140</v>
      </c>
      <c r="B1140" s="162" t="s">
        <v>54</v>
      </c>
      <c r="C1140" s="163">
        <v>49186014</v>
      </c>
      <c r="D1140" s="164" t="s">
        <v>836</v>
      </c>
      <c r="E1140" s="165">
        <v>4384380</v>
      </c>
      <c r="F1140" s="165">
        <v>0</v>
      </c>
      <c r="G1140" s="165">
        <v>4384380</v>
      </c>
      <c r="H1140" s="165">
        <v>0</v>
      </c>
      <c r="I1140" s="163"/>
      <c r="J1140" s="166"/>
      <c r="K1140" s="167"/>
      <c r="L1140" s="167">
        <v>709</v>
      </c>
      <c r="M1140" s="168">
        <v>46050</v>
      </c>
      <c r="N1140" s="169" t="s">
        <v>830</v>
      </c>
      <c r="O1140" s="162" t="s">
        <v>194</v>
      </c>
    </row>
    <row r="1141" spans="1:15" x14ac:dyDescent="0.25">
      <c r="A1141" s="154">
        <v>1141</v>
      </c>
      <c r="B1141" s="162" t="s">
        <v>55</v>
      </c>
      <c r="C1141" s="163">
        <v>11426409</v>
      </c>
      <c r="D1141" s="164" t="s">
        <v>836</v>
      </c>
      <c r="E1141" s="165">
        <v>1776240</v>
      </c>
      <c r="F1141" s="165">
        <v>1776240</v>
      </c>
      <c r="G1141" s="165">
        <v>0</v>
      </c>
      <c r="H1141" s="165">
        <v>0</v>
      </c>
      <c r="I1141" s="163"/>
      <c r="J1141" s="166"/>
      <c r="K1141" s="167"/>
      <c r="L1141" s="167">
        <v>709</v>
      </c>
      <c r="M1141" s="168">
        <v>46050</v>
      </c>
      <c r="N1141" s="169" t="s">
        <v>2162</v>
      </c>
      <c r="O1141" s="162" t="s">
        <v>336</v>
      </c>
    </row>
    <row r="1142" spans="1:15" x14ac:dyDescent="0.25">
      <c r="A1142" s="154">
        <v>1142</v>
      </c>
      <c r="B1142" s="162" t="s">
        <v>56</v>
      </c>
      <c r="C1142" s="163">
        <v>25481600</v>
      </c>
      <c r="D1142" s="164" t="s">
        <v>836</v>
      </c>
      <c r="E1142" s="165">
        <v>518689</v>
      </c>
      <c r="F1142" s="165">
        <v>0</v>
      </c>
      <c r="G1142" s="165">
        <v>518689</v>
      </c>
      <c r="H1142" s="165">
        <v>0</v>
      </c>
      <c r="I1142" s="163"/>
      <c r="J1142" s="166"/>
      <c r="K1142" s="167"/>
      <c r="L1142" s="167">
        <v>709</v>
      </c>
      <c r="M1142" s="168">
        <v>46050</v>
      </c>
      <c r="N1142" s="169" t="s">
        <v>831</v>
      </c>
      <c r="O1142" s="162" t="s">
        <v>237</v>
      </c>
    </row>
    <row r="1143" spans="1:15" x14ac:dyDescent="0.25">
      <c r="A1143" s="154">
        <v>1143</v>
      </c>
      <c r="B1143" s="162" t="s">
        <v>56</v>
      </c>
      <c r="C1143" s="163">
        <v>25481600</v>
      </c>
      <c r="D1143" s="164" t="s">
        <v>836</v>
      </c>
      <c r="E1143" s="165">
        <v>518689</v>
      </c>
      <c r="F1143" s="165">
        <v>0</v>
      </c>
      <c r="G1143" s="165">
        <v>518689</v>
      </c>
      <c r="H1143" s="165">
        <v>0</v>
      </c>
      <c r="I1143" s="163"/>
      <c r="J1143" s="166"/>
      <c r="K1143" s="167"/>
      <c r="L1143" s="167">
        <v>709</v>
      </c>
      <c r="M1143" s="168">
        <v>46050</v>
      </c>
      <c r="N1143" s="169" t="s">
        <v>831</v>
      </c>
      <c r="O1143" s="162" t="s">
        <v>237</v>
      </c>
    </row>
    <row r="1144" spans="1:15" x14ac:dyDescent="0.25">
      <c r="A1144" s="154">
        <v>1144</v>
      </c>
      <c r="B1144" s="162" t="s">
        <v>56</v>
      </c>
      <c r="C1144" s="163">
        <v>25481600</v>
      </c>
      <c r="D1144" s="164" t="s">
        <v>836</v>
      </c>
      <c r="E1144" s="165">
        <v>1358494</v>
      </c>
      <c r="F1144" s="165">
        <v>0</v>
      </c>
      <c r="G1144" s="165">
        <v>1358494</v>
      </c>
      <c r="H1144" s="165">
        <v>0</v>
      </c>
      <c r="I1144" s="163"/>
      <c r="J1144" s="166"/>
      <c r="K1144" s="167"/>
      <c r="L1144" s="167">
        <v>709</v>
      </c>
      <c r="M1144" s="168">
        <v>46050</v>
      </c>
      <c r="N1144" s="169" t="s">
        <v>832</v>
      </c>
      <c r="O1144" s="162" t="s">
        <v>194</v>
      </c>
    </row>
    <row r="1145" spans="1:15" x14ac:dyDescent="0.25">
      <c r="A1145" s="154">
        <v>1145</v>
      </c>
      <c r="B1145" s="162" t="s">
        <v>56</v>
      </c>
      <c r="C1145" s="163">
        <v>25481600</v>
      </c>
      <c r="D1145" s="164" t="s">
        <v>836</v>
      </c>
      <c r="E1145" s="165">
        <v>924255</v>
      </c>
      <c r="F1145" s="165">
        <v>924255</v>
      </c>
      <c r="G1145" s="165">
        <v>0</v>
      </c>
      <c r="H1145" s="165">
        <v>0</v>
      </c>
      <c r="I1145" s="163"/>
      <c r="J1145" s="166"/>
      <c r="K1145" s="167"/>
      <c r="L1145" s="167">
        <v>709</v>
      </c>
      <c r="M1145" s="168">
        <v>46050</v>
      </c>
      <c r="N1145" s="169" t="s">
        <v>2163</v>
      </c>
      <c r="O1145" s="162" t="s">
        <v>241</v>
      </c>
    </row>
    <row r="1146" spans="1:15" x14ac:dyDescent="0.25">
      <c r="A1146" s="154">
        <v>1146</v>
      </c>
      <c r="B1146" s="162" t="s">
        <v>57</v>
      </c>
      <c r="C1146" s="163">
        <v>16632959</v>
      </c>
      <c r="D1146" s="164" t="s">
        <v>836</v>
      </c>
      <c r="E1146" s="165">
        <v>195411</v>
      </c>
      <c r="F1146" s="165">
        <v>195411</v>
      </c>
      <c r="G1146" s="165">
        <v>0</v>
      </c>
      <c r="H1146" s="165">
        <v>0</v>
      </c>
      <c r="I1146" s="163"/>
      <c r="J1146" s="166"/>
      <c r="K1146" s="167"/>
      <c r="L1146" s="167">
        <v>709</v>
      </c>
      <c r="M1146" s="168">
        <v>46050</v>
      </c>
      <c r="N1146" s="169" t="s">
        <v>2164</v>
      </c>
      <c r="O1146" s="162" t="s">
        <v>234</v>
      </c>
    </row>
    <row r="1147" spans="1:15" x14ac:dyDescent="0.25">
      <c r="A1147" s="154">
        <v>1147</v>
      </c>
      <c r="B1147" s="162" t="s">
        <v>57</v>
      </c>
      <c r="C1147" s="163">
        <v>16632959</v>
      </c>
      <c r="D1147" s="164" t="s">
        <v>836</v>
      </c>
      <c r="E1147" s="165">
        <v>390218</v>
      </c>
      <c r="F1147" s="165">
        <v>0</v>
      </c>
      <c r="G1147" s="165">
        <v>390218</v>
      </c>
      <c r="H1147" s="165">
        <v>0</v>
      </c>
      <c r="I1147" s="163"/>
      <c r="J1147" s="166"/>
      <c r="K1147" s="167"/>
      <c r="L1147" s="167">
        <v>709</v>
      </c>
      <c r="M1147" s="168">
        <v>46050</v>
      </c>
      <c r="N1147" s="169" t="s">
        <v>833</v>
      </c>
      <c r="O1147" s="162" t="s">
        <v>234</v>
      </c>
    </row>
    <row r="1148" spans="1:15" x14ac:dyDescent="0.25">
      <c r="A1148" s="154">
        <v>1148</v>
      </c>
      <c r="B1148" s="162" t="s">
        <v>57</v>
      </c>
      <c r="C1148" s="163">
        <v>16632959</v>
      </c>
      <c r="D1148" s="164" t="s">
        <v>836</v>
      </c>
      <c r="E1148" s="165">
        <v>640800</v>
      </c>
      <c r="F1148" s="165">
        <v>640800</v>
      </c>
      <c r="G1148" s="165">
        <v>0</v>
      </c>
      <c r="H1148" s="165">
        <v>0</v>
      </c>
      <c r="I1148" s="163"/>
      <c r="J1148" s="166"/>
      <c r="K1148" s="167"/>
      <c r="L1148" s="167">
        <v>709</v>
      </c>
      <c r="M1148" s="168">
        <v>46050</v>
      </c>
      <c r="N1148" s="169" t="s">
        <v>2165</v>
      </c>
      <c r="O1148" s="162" t="s">
        <v>224</v>
      </c>
    </row>
    <row r="1149" spans="1:15" x14ac:dyDescent="0.25">
      <c r="A1149" s="154">
        <v>1149</v>
      </c>
      <c r="B1149" s="162" t="s">
        <v>57</v>
      </c>
      <c r="C1149" s="163">
        <v>16632959</v>
      </c>
      <c r="D1149" s="164" t="s">
        <v>836</v>
      </c>
      <c r="E1149" s="165">
        <v>1195740</v>
      </c>
      <c r="F1149" s="165">
        <v>797160</v>
      </c>
      <c r="G1149" s="165">
        <v>398580</v>
      </c>
      <c r="H1149" s="165">
        <v>0</v>
      </c>
      <c r="I1149" s="163"/>
      <c r="J1149" s="166"/>
      <c r="K1149" s="167"/>
      <c r="L1149" s="167">
        <v>709</v>
      </c>
      <c r="M1149" s="168">
        <v>46050</v>
      </c>
      <c r="N1149" s="169" t="s">
        <v>2166</v>
      </c>
      <c r="O1149" s="162" t="s">
        <v>190</v>
      </c>
    </row>
    <row r="1150" spans="1:15" x14ac:dyDescent="0.25">
      <c r="A1150" s="154">
        <v>1150</v>
      </c>
      <c r="B1150" s="162" t="s">
        <v>57</v>
      </c>
      <c r="C1150" s="163">
        <v>16632959</v>
      </c>
      <c r="D1150" s="164" t="s">
        <v>836</v>
      </c>
      <c r="E1150" s="165">
        <v>716800</v>
      </c>
      <c r="F1150" s="165">
        <v>382400</v>
      </c>
      <c r="G1150" s="165">
        <v>334400</v>
      </c>
      <c r="H1150" s="165">
        <v>0</v>
      </c>
      <c r="I1150" s="163"/>
      <c r="J1150" s="166"/>
      <c r="K1150" s="167"/>
      <c r="L1150" s="167">
        <v>709</v>
      </c>
      <c r="M1150" s="168">
        <v>46050</v>
      </c>
      <c r="N1150" s="169" t="s">
        <v>2167</v>
      </c>
      <c r="O1150" s="162" t="s">
        <v>227</v>
      </c>
    </row>
    <row r="1151" spans="1:15" x14ac:dyDescent="0.25">
      <c r="A1151" s="154">
        <v>1151</v>
      </c>
      <c r="B1151" s="162" t="s">
        <v>57</v>
      </c>
      <c r="C1151" s="163">
        <v>16632959</v>
      </c>
      <c r="D1151" s="164" t="s">
        <v>836</v>
      </c>
      <c r="E1151" s="165">
        <v>341600</v>
      </c>
      <c r="F1151" s="165">
        <v>215360</v>
      </c>
      <c r="G1151" s="165">
        <v>126240</v>
      </c>
      <c r="H1151" s="165">
        <v>0</v>
      </c>
      <c r="I1151" s="163"/>
      <c r="J1151" s="166"/>
      <c r="K1151" s="167"/>
      <c r="L1151" s="167">
        <v>709</v>
      </c>
      <c r="M1151" s="168">
        <v>46050</v>
      </c>
      <c r="N1151" s="169" t="s">
        <v>2168</v>
      </c>
      <c r="O1151" s="162" t="s">
        <v>227</v>
      </c>
    </row>
    <row r="1152" spans="1:15" x14ac:dyDescent="0.25">
      <c r="A1152" s="154">
        <v>1152</v>
      </c>
      <c r="B1152" s="162" t="s">
        <v>57</v>
      </c>
      <c r="C1152" s="163">
        <v>16632959</v>
      </c>
      <c r="D1152" s="164" t="s">
        <v>836</v>
      </c>
      <c r="E1152" s="165">
        <v>791800</v>
      </c>
      <c r="F1152" s="165">
        <v>497680</v>
      </c>
      <c r="G1152" s="165">
        <v>294120</v>
      </c>
      <c r="H1152" s="165">
        <v>0</v>
      </c>
      <c r="I1152" s="163"/>
      <c r="J1152" s="166"/>
      <c r="K1152" s="167"/>
      <c r="L1152" s="167">
        <v>709</v>
      </c>
      <c r="M1152" s="168">
        <v>46050</v>
      </c>
      <c r="N1152" s="169" t="s">
        <v>2169</v>
      </c>
      <c r="O1152" s="162" t="s">
        <v>227</v>
      </c>
    </row>
    <row r="1153" spans="1:15" x14ac:dyDescent="0.25">
      <c r="A1153" s="154">
        <v>1153</v>
      </c>
      <c r="B1153" s="162" t="s">
        <v>58</v>
      </c>
      <c r="C1153" s="163">
        <v>8450501</v>
      </c>
      <c r="D1153" s="164" t="s">
        <v>836</v>
      </c>
      <c r="E1153" s="165">
        <v>81018</v>
      </c>
      <c r="F1153" s="165">
        <v>0</v>
      </c>
      <c r="G1153" s="165">
        <v>81018</v>
      </c>
      <c r="H1153" s="165">
        <v>0</v>
      </c>
      <c r="I1153" s="163"/>
      <c r="J1153" s="166"/>
      <c r="K1153" s="167"/>
      <c r="L1153" s="167">
        <v>709</v>
      </c>
      <c r="M1153" s="168">
        <v>46050</v>
      </c>
      <c r="N1153" s="169" t="s">
        <v>834</v>
      </c>
      <c r="O1153" s="162" t="s">
        <v>198</v>
      </c>
    </row>
    <row r="1154" spans="1:15" x14ac:dyDescent="0.25">
      <c r="A1154" s="154">
        <v>1154</v>
      </c>
      <c r="B1154" s="162" t="s">
        <v>59</v>
      </c>
      <c r="C1154" s="163">
        <v>32396282</v>
      </c>
      <c r="D1154" s="164" t="s">
        <v>836</v>
      </c>
      <c r="E1154" s="165">
        <v>1640137</v>
      </c>
      <c r="F1154" s="165">
        <v>0</v>
      </c>
      <c r="G1154" s="165">
        <v>1640137</v>
      </c>
      <c r="H1154" s="165">
        <v>0</v>
      </c>
      <c r="I1154" s="163"/>
      <c r="J1154" s="166"/>
      <c r="K1154" s="167"/>
      <c r="L1154" s="167">
        <v>709</v>
      </c>
      <c r="M1154" s="168">
        <v>46050</v>
      </c>
      <c r="N1154" s="169" t="s">
        <v>828</v>
      </c>
      <c r="O1154" s="162" t="s">
        <v>215</v>
      </c>
    </row>
    <row r="1155" spans="1:15" x14ac:dyDescent="0.25">
      <c r="A1155" s="154">
        <v>1155</v>
      </c>
      <c r="B1155" s="162" t="s">
        <v>59</v>
      </c>
      <c r="C1155" s="163">
        <v>32396282</v>
      </c>
      <c r="D1155" s="164" t="s">
        <v>836</v>
      </c>
      <c r="E1155" s="165">
        <v>1683430</v>
      </c>
      <c r="F1155" s="165">
        <v>0</v>
      </c>
      <c r="G1155" s="165">
        <v>1683430</v>
      </c>
      <c r="H1155" s="165">
        <v>0</v>
      </c>
      <c r="I1155" s="163"/>
      <c r="J1155" s="166"/>
      <c r="K1155" s="167"/>
      <c r="L1155" s="167">
        <v>709</v>
      </c>
      <c r="M1155" s="168">
        <v>46050</v>
      </c>
      <c r="N1155" s="169" t="s">
        <v>828</v>
      </c>
      <c r="O1155" s="162" t="s">
        <v>215</v>
      </c>
    </row>
    <row r="1156" spans="1:15" x14ac:dyDescent="0.25">
      <c r="A1156" s="154">
        <v>1156</v>
      </c>
      <c r="B1156" s="162" t="s">
        <v>60</v>
      </c>
      <c r="C1156" s="163">
        <v>6637772</v>
      </c>
      <c r="D1156" s="164" t="s">
        <v>836</v>
      </c>
      <c r="E1156" s="165">
        <v>108024</v>
      </c>
      <c r="F1156" s="165">
        <v>108024</v>
      </c>
      <c r="G1156" s="165">
        <v>0</v>
      </c>
      <c r="H1156" s="165">
        <v>0</v>
      </c>
      <c r="I1156" s="163"/>
      <c r="J1156" s="166"/>
      <c r="K1156" s="167"/>
      <c r="L1156" s="167">
        <v>709</v>
      </c>
      <c r="M1156" s="168">
        <v>46050</v>
      </c>
      <c r="N1156" s="169" t="s">
        <v>2170</v>
      </c>
      <c r="O1156" s="162" t="s">
        <v>260</v>
      </c>
    </row>
    <row r="1157" spans="1:15" x14ac:dyDescent="0.25">
      <c r="A1157" s="154">
        <v>1157</v>
      </c>
      <c r="B1157" s="162" t="s">
        <v>60</v>
      </c>
      <c r="C1157" s="163">
        <v>6637772</v>
      </c>
      <c r="D1157" s="164" t="s">
        <v>836</v>
      </c>
      <c r="E1157" s="165">
        <v>108024</v>
      </c>
      <c r="F1157" s="165">
        <v>108024</v>
      </c>
      <c r="G1157" s="165">
        <v>0</v>
      </c>
      <c r="H1157" s="165">
        <v>0</v>
      </c>
      <c r="I1157" s="163"/>
      <c r="J1157" s="166"/>
      <c r="K1157" s="167"/>
      <c r="L1157" s="167">
        <v>709</v>
      </c>
      <c r="M1157" s="168">
        <v>46050</v>
      </c>
      <c r="N1157" s="169" t="s">
        <v>2170</v>
      </c>
      <c r="O1157" s="162" t="s">
        <v>260</v>
      </c>
    </row>
    <row r="1158" spans="1:15" x14ac:dyDescent="0.25">
      <c r="A1158" s="154">
        <v>1158</v>
      </c>
      <c r="B1158" s="162" t="s">
        <v>61</v>
      </c>
      <c r="C1158" s="163">
        <v>106697</v>
      </c>
      <c r="D1158" s="164" t="s">
        <v>836</v>
      </c>
      <c r="E1158" s="165">
        <v>31297</v>
      </c>
      <c r="F1158" s="165">
        <v>0</v>
      </c>
      <c r="G1158" s="165">
        <v>31297</v>
      </c>
      <c r="H1158" s="165">
        <v>0</v>
      </c>
      <c r="I1158" s="163"/>
      <c r="J1158" s="166"/>
      <c r="K1158" s="167"/>
      <c r="L1158" s="167">
        <v>709</v>
      </c>
      <c r="M1158" s="168">
        <v>46050</v>
      </c>
      <c r="N1158" s="169" t="s">
        <v>828</v>
      </c>
      <c r="O1158" s="162" t="s">
        <v>185</v>
      </c>
    </row>
    <row r="1159" spans="1:15" x14ac:dyDescent="0.25">
      <c r="A1159" s="154">
        <v>1159</v>
      </c>
      <c r="B1159" s="162" t="s">
        <v>62</v>
      </c>
      <c r="C1159" s="163">
        <v>16131730</v>
      </c>
      <c r="D1159" s="164" t="s">
        <v>836</v>
      </c>
      <c r="E1159" s="165">
        <v>5504859</v>
      </c>
      <c r="F1159" s="165">
        <v>1917639</v>
      </c>
      <c r="G1159" s="165">
        <v>3587220</v>
      </c>
      <c r="H1159" s="165">
        <v>0</v>
      </c>
      <c r="I1159" s="163"/>
      <c r="J1159" s="166"/>
      <c r="K1159" s="167"/>
      <c r="L1159" s="167">
        <v>709</v>
      </c>
      <c r="M1159" s="168">
        <v>46050</v>
      </c>
      <c r="N1159" s="169" t="s">
        <v>2171</v>
      </c>
      <c r="O1159" s="162" t="s">
        <v>194</v>
      </c>
    </row>
    <row r="1160" spans="1:15" x14ac:dyDescent="0.25">
      <c r="A1160" s="154">
        <v>1160</v>
      </c>
      <c r="B1160" s="162" t="s">
        <v>62</v>
      </c>
      <c r="C1160" s="163">
        <v>16131730</v>
      </c>
      <c r="D1160" s="164" t="s">
        <v>836</v>
      </c>
      <c r="E1160" s="165">
        <v>398580</v>
      </c>
      <c r="F1160" s="165">
        <v>0</v>
      </c>
      <c r="G1160" s="165">
        <v>398580</v>
      </c>
      <c r="H1160" s="165">
        <v>0</v>
      </c>
      <c r="I1160" s="163"/>
      <c r="J1160" s="166"/>
      <c r="K1160" s="167"/>
      <c r="L1160" s="167">
        <v>709</v>
      </c>
      <c r="M1160" s="168">
        <v>46050</v>
      </c>
      <c r="N1160" s="169" t="s">
        <v>828</v>
      </c>
      <c r="O1160" s="162" t="s">
        <v>194</v>
      </c>
    </row>
    <row r="1161" spans="1:15" x14ac:dyDescent="0.25">
      <c r="A1161" s="154">
        <v>1161</v>
      </c>
      <c r="B1161" s="162" t="s">
        <v>62</v>
      </c>
      <c r="C1161" s="163">
        <v>16131730</v>
      </c>
      <c r="D1161" s="164" t="s">
        <v>836</v>
      </c>
      <c r="E1161" s="165">
        <v>21600</v>
      </c>
      <c r="F1161" s="165">
        <v>0</v>
      </c>
      <c r="G1161" s="165">
        <v>21600</v>
      </c>
      <c r="H1161" s="165">
        <v>0</v>
      </c>
      <c r="I1161" s="163"/>
      <c r="J1161" s="166"/>
      <c r="K1161" s="167"/>
      <c r="L1161" s="167">
        <v>709</v>
      </c>
      <c r="M1161" s="168">
        <v>46050</v>
      </c>
      <c r="N1161" s="169" t="s">
        <v>828</v>
      </c>
      <c r="O1161" s="162" t="s">
        <v>271</v>
      </c>
    </row>
    <row r="1162" spans="1:15" x14ac:dyDescent="0.25">
      <c r="A1162" s="154">
        <v>1162</v>
      </c>
      <c r="B1162" s="162" t="s">
        <v>62</v>
      </c>
      <c r="C1162" s="163">
        <v>16131730</v>
      </c>
      <c r="D1162" s="164" t="s">
        <v>836</v>
      </c>
      <c r="E1162" s="165">
        <v>43200</v>
      </c>
      <c r="F1162" s="165">
        <v>0</v>
      </c>
      <c r="G1162" s="165">
        <v>43200</v>
      </c>
      <c r="H1162" s="165">
        <v>0</v>
      </c>
      <c r="I1162" s="163"/>
      <c r="J1162" s="166"/>
      <c r="K1162" s="167"/>
      <c r="L1162" s="167">
        <v>709</v>
      </c>
      <c r="M1162" s="168">
        <v>46050</v>
      </c>
      <c r="N1162" s="169" t="s">
        <v>828</v>
      </c>
      <c r="O1162" s="162" t="s">
        <v>271</v>
      </c>
    </row>
    <row r="1163" spans="1:15" x14ac:dyDescent="0.25">
      <c r="A1163" s="154">
        <v>1163</v>
      </c>
      <c r="B1163" s="162" t="s">
        <v>62</v>
      </c>
      <c r="C1163" s="163">
        <v>16131730</v>
      </c>
      <c r="D1163" s="164" t="s">
        <v>836</v>
      </c>
      <c r="E1163" s="165">
        <v>43200</v>
      </c>
      <c r="F1163" s="165">
        <v>0</v>
      </c>
      <c r="G1163" s="165">
        <v>43200</v>
      </c>
      <c r="H1163" s="165">
        <v>0</v>
      </c>
      <c r="I1163" s="163"/>
      <c r="J1163" s="166"/>
      <c r="K1163" s="167"/>
      <c r="L1163" s="167">
        <v>709</v>
      </c>
      <c r="M1163" s="168">
        <v>46050</v>
      </c>
      <c r="N1163" s="169" t="s">
        <v>828</v>
      </c>
      <c r="O1163" s="162" t="s">
        <v>271</v>
      </c>
    </row>
    <row r="1164" spans="1:15" x14ac:dyDescent="0.25">
      <c r="A1164" s="154">
        <v>1164</v>
      </c>
      <c r="B1164" s="162" t="s">
        <v>62</v>
      </c>
      <c r="C1164" s="163">
        <v>16131730</v>
      </c>
      <c r="D1164" s="164" t="s">
        <v>836</v>
      </c>
      <c r="E1164" s="165">
        <v>43200</v>
      </c>
      <c r="F1164" s="165">
        <v>0</v>
      </c>
      <c r="G1164" s="165">
        <v>43200</v>
      </c>
      <c r="H1164" s="165">
        <v>0</v>
      </c>
      <c r="I1164" s="163"/>
      <c r="J1164" s="166"/>
      <c r="K1164" s="167"/>
      <c r="L1164" s="167">
        <v>709</v>
      </c>
      <c r="M1164" s="168">
        <v>46050</v>
      </c>
      <c r="N1164" s="169" t="s">
        <v>828</v>
      </c>
      <c r="O1164" s="162" t="s">
        <v>271</v>
      </c>
    </row>
    <row r="1165" spans="1:15" x14ac:dyDescent="0.25">
      <c r="A1165" s="154">
        <v>1165</v>
      </c>
      <c r="B1165" s="162" t="s">
        <v>62</v>
      </c>
      <c r="C1165" s="163">
        <v>16131730</v>
      </c>
      <c r="D1165" s="164" t="s">
        <v>836</v>
      </c>
      <c r="E1165" s="165">
        <v>43200</v>
      </c>
      <c r="F1165" s="165">
        <v>0</v>
      </c>
      <c r="G1165" s="165">
        <v>43200</v>
      </c>
      <c r="H1165" s="165">
        <v>0</v>
      </c>
      <c r="I1165" s="163"/>
      <c r="J1165" s="166"/>
      <c r="K1165" s="167"/>
      <c r="L1165" s="167">
        <v>709</v>
      </c>
      <c r="M1165" s="168">
        <v>46050</v>
      </c>
      <c r="N1165" s="169" t="s">
        <v>828</v>
      </c>
      <c r="O1165" s="162" t="s">
        <v>271</v>
      </c>
    </row>
    <row r="1166" spans="1:15" x14ac:dyDescent="0.25">
      <c r="A1166" s="154">
        <v>1166</v>
      </c>
      <c r="B1166" s="162" t="s">
        <v>62</v>
      </c>
      <c r="C1166" s="163">
        <v>16131730</v>
      </c>
      <c r="D1166" s="164" t="s">
        <v>836</v>
      </c>
      <c r="E1166" s="165">
        <v>43200</v>
      </c>
      <c r="F1166" s="165">
        <v>0</v>
      </c>
      <c r="G1166" s="165">
        <v>43200</v>
      </c>
      <c r="H1166" s="165">
        <v>0</v>
      </c>
      <c r="I1166" s="163"/>
      <c r="J1166" s="166"/>
      <c r="K1166" s="167"/>
      <c r="L1166" s="167">
        <v>709</v>
      </c>
      <c r="M1166" s="168">
        <v>46050</v>
      </c>
      <c r="N1166" s="169" t="s">
        <v>828</v>
      </c>
      <c r="O1166" s="162" t="s">
        <v>271</v>
      </c>
    </row>
    <row r="1167" spans="1:15" x14ac:dyDescent="0.25">
      <c r="A1167" s="154">
        <v>1167</v>
      </c>
      <c r="B1167" s="162" t="s">
        <v>62</v>
      </c>
      <c r="C1167" s="163">
        <v>16131730</v>
      </c>
      <c r="D1167" s="164" t="s">
        <v>836</v>
      </c>
      <c r="E1167" s="165">
        <v>43200</v>
      </c>
      <c r="F1167" s="165">
        <v>0</v>
      </c>
      <c r="G1167" s="165">
        <v>43200</v>
      </c>
      <c r="H1167" s="165">
        <v>0</v>
      </c>
      <c r="I1167" s="163"/>
      <c r="J1167" s="166"/>
      <c r="K1167" s="167"/>
      <c r="L1167" s="167">
        <v>709</v>
      </c>
      <c r="M1167" s="168">
        <v>46050</v>
      </c>
      <c r="N1167" s="169" t="s">
        <v>828</v>
      </c>
      <c r="O1167" s="162" t="s">
        <v>271</v>
      </c>
    </row>
    <row r="1168" spans="1:15" x14ac:dyDescent="0.25">
      <c r="A1168" s="154">
        <v>1168</v>
      </c>
      <c r="B1168" s="162" t="s">
        <v>62</v>
      </c>
      <c r="C1168" s="163">
        <v>16131730</v>
      </c>
      <c r="D1168" s="164" t="s">
        <v>836</v>
      </c>
      <c r="E1168" s="165">
        <v>43200</v>
      </c>
      <c r="F1168" s="165">
        <v>0</v>
      </c>
      <c r="G1168" s="165">
        <v>43200</v>
      </c>
      <c r="H1168" s="165">
        <v>0</v>
      </c>
      <c r="I1168" s="163"/>
      <c r="J1168" s="166"/>
      <c r="K1168" s="167"/>
      <c r="L1168" s="167">
        <v>709</v>
      </c>
      <c r="M1168" s="168">
        <v>46050</v>
      </c>
      <c r="N1168" s="169" t="s">
        <v>828</v>
      </c>
      <c r="O1168" s="162" t="s">
        <v>271</v>
      </c>
    </row>
    <row r="1169" spans="1:15" x14ac:dyDescent="0.25">
      <c r="A1169" s="154">
        <v>1169</v>
      </c>
      <c r="B1169" s="162" t="s">
        <v>62</v>
      </c>
      <c r="C1169" s="163">
        <v>16131730</v>
      </c>
      <c r="D1169" s="164" t="s">
        <v>836</v>
      </c>
      <c r="E1169" s="165">
        <v>43200</v>
      </c>
      <c r="F1169" s="165">
        <v>0</v>
      </c>
      <c r="G1169" s="165">
        <v>43200</v>
      </c>
      <c r="H1169" s="165">
        <v>0</v>
      </c>
      <c r="I1169" s="163"/>
      <c r="J1169" s="166"/>
      <c r="K1169" s="167"/>
      <c r="L1169" s="167">
        <v>709</v>
      </c>
      <c r="M1169" s="168">
        <v>46050</v>
      </c>
      <c r="N1169" s="169" t="s">
        <v>828</v>
      </c>
      <c r="O1169" s="162" t="s">
        <v>271</v>
      </c>
    </row>
    <row r="1170" spans="1:15" x14ac:dyDescent="0.25">
      <c r="A1170" s="154">
        <v>1170</v>
      </c>
      <c r="B1170" s="162" t="s">
        <v>62</v>
      </c>
      <c r="C1170" s="163">
        <v>16131730</v>
      </c>
      <c r="D1170" s="164" t="s">
        <v>836</v>
      </c>
      <c r="E1170" s="165">
        <v>891198</v>
      </c>
      <c r="F1170" s="165">
        <v>0</v>
      </c>
      <c r="G1170" s="165">
        <v>891198</v>
      </c>
      <c r="H1170" s="165">
        <v>0</v>
      </c>
      <c r="I1170" s="163"/>
      <c r="J1170" s="166"/>
      <c r="K1170" s="167"/>
      <c r="L1170" s="167">
        <v>709</v>
      </c>
      <c r="M1170" s="168">
        <v>46050</v>
      </c>
      <c r="N1170" s="169" t="s">
        <v>828</v>
      </c>
      <c r="O1170" s="162" t="s">
        <v>198</v>
      </c>
    </row>
    <row r="1171" spans="1:15" x14ac:dyDescent="0.25">
      <c r="A1171" s="154">
        <v>1171</v>
      </c>
      <c r="B1171" s="162" t="s">
        <v>62</v>
      </c>
      <c r="C1171" s="163">
        <v>16131730</v>
      </c>
      <c r="D1171" s="164" t="s">
        <v>836</v>
      </c>
      <c r="E1171" s="165">
        <v>1430800</v>
      </c>
      <c r="F1171" s="165">
        <v>1430800</v>
      </c>
      <c r="G1171" s="165">
        <v>0</v>
      </c>
      <c r="H1171" s="165">
        <v>0</v>
      </c>
      <c r="I1171" s="163"/>
      <c r="J1171" s="166"/>
      <c r="K1171" s="167"/>
      <c r="L1171" s="167">
        <v>709</v>
      </c>
      <c r="M1171" s="168">
        <v>46050</v>
      </c>
      <c r="N1171" s="169" t="s">
        <v>2172</v>
      </c>
      <c r="O1171" s="162" t="s">
        <v>224</v>
      </c>
    </row>
    <row r="1172" spans="1:15" x14ac:dyDescent="0.25">
      <c r="A1172" s="154">
        <v>1172</v>
      </c>
      <c r="B1172" s="162" t="s">
        <v>62</v>
      </c>
      <c r="C1172" s="163">
        <v>16131730</v>
      </c>
      <c r="D1172" s="164" t="s">
        <v>836</v>
      </c>
      <c r="E1172" s="165">
        <v>1004799</v>
      </c>
      <c r="F1172" s="165">
        <v>1004799</v>
      </c>
      <c r="G1172" s="165">
        <v>0</v>
      </c>
      <c r="H1172" s="165">
        <v>0</v>
      </c>
      <c r="I1172" s="163"/>
      <c r="J1172" s="166"/>
      <c r="K1172" s="167"/>
      <c r="L1172" s="167">
        <v>709</v>
      </c>
      <c r="M1172" s="168">
        <v>46050</v>
      </c>
      <c r="N1172" s="169" t="s">
        <v>2173</v>
      </c>
      <c r="O1172" s="162" t="s">
        <v>275</v>
      </c>
    </row>
    <row r="1173" spans="1:15" x14ac:dyDescent="0.25">
      <c r="A1173" s="154">
        <v>1173</v>
      </c>
      <c r="B1173" s="162" t="s">
        <v>62</v>
      </c>
      <c r="C1173" s="163">
        <v>16131730</v>
      </c>
      <c r="D1173" s="164" t="s">
        <v>836</v>
      </c>
      <c r="E1173" s="165">
        <v>509405</v>
      </c>
      <c r="F1173" s="165">
        <v>0</v>
      </c>
      <c r="G1173" s="165">
        <v>509405</v>
      </c>
      <c r="H1173" s="165">
        <v>0</v>
      </c>
      <c r="I1173" s="163"/>
      <c r="J1173" s="166"/>
      <c r="K1173" s="167"/>
      <c r="L1173" s="167">
        <v>709</v>
      </c>
      <c r="M1173" s="168">
        <v>46050</v>
      </c>
      <c r="N1173" s="169" t="s">
        <v>828</v>
      </c>
      <c r="O1173" s="162" t="s">
        <v>241</v>
      </c>
    </row>
    <row r="1174" spans="1:15" x14ac:dyDescent="0.25">
      <c r="A1174" s="154">
        <v>1174</v>
      </c>
      <c r="B1174" s="162" t="s">
        <v>62</v>
      </c>
      <c r="C1174" s="163">
        <v>16131730</v>
      </c>
      <c r="D1174" s="164" t="s">
        <v>836</v>
      </c>
      <c r="E1174" s="165">
        <v>156797</v>
      </c>
      <c r="F1174" s="165">
        <v>0</v>
      </c>
      <c r="G1174" s="165">
        <v>156797</v>
      </c>
      <c r="H1174" s="165">
        <v>0</v>
      </c>
      <c r="I1174" s="163"/>
      <c r="J1174" s="166"/>
      <c r="K1174" s="167"/>
      <c r="L1174" s="167">
        <v>709</v>
      </c>
      <c r="M1174" s="168">
        <v>46050</v>
      </c>
      <c r="N1174" s="169" t="s">
        <v>828</v>
      </c>
      <c r="O1174" s="162" t="s">
        <v>241</v>
      </c>
    </row>
    <row r="1175" spans="1:15" x14ac:dyDescent="0.25">
      <c r="A1175" s="154">
        <v>1175</v>
      </c>
      <c r="B1175" s="162" t="s">
        <v>62</v>
      </c>
      <c r="C1175" s="163">
        <v>16131730</v>
      </c>
      <c r="D1175" s="164" t="s">
        <v>836</v>
      </c>
      <c r="E1175" s="165">
        <v>139154</v>
      </c>
      <c r="F1175" s="165">
        <v>0</v>
      </c>
      <c r="G1175" s="165">
        <v>139154</v>
      </c>
      <c r="H1175" s="165">
        <v>0</v>
      </c>
      <c r="I1175" s="163"/>
      <c r="J1175" s="166"/>
      <c r="K1175" s="167"/>
      <c r="L1175" s="167">
        <v>709</v>
      </c>
      <c r="M1175" s="168">
        <v>46050</v>
      </c>
      <c r="N1175" s="169" t="s">
        <v>828</v>
      </c>
      <c r="O1175" s="162" t="s">
        <v>241</v>
      </c>
    </row>
    <row r="1176" spans="1:15" x14ac:dyDescent="0.25">
      <c r="A1176" s="154">
        <v>1176</v>
      </c>
      <c r="B1176" s="162" t="s">
        <v>62</v>
      </c>
      <c r="C1176" s="163">
        <v>16131730</v>
      </c>
      <c r="D1176" s="164" t="s">
        <v>836</v>
      </c>
      <c r="E1176" s="165">
        <v>139154</v>
      </c>
      <c r="F1176" s="165">
        <v>0</v>
      </c>
      <c r="G1176" s="165">
        <v>139154</v>
      </c>
      <c r="H1176" s="165">
        <v>0</v>
      </c>
      <c r="I1176" s="163"/>
      <c r="J1176" s="166"/>
      <c r="K1176" s="167"/>
      <c r="L1176" s="167">
        <v>709</v>
      </c>
      <c r="M1176" s="168">
        <v>46050</v>
      </c>
      <c r="N1176" s="169" t="s">
        <v>828</v>
      </c>
      <c r="O1176" s="162" t="s">
        <v>241</v>
      </c>
    </row>
    <row r="1177" spans="1:15" x14ac:dyDescent="0.25">
      <c r="A1177" s="154">
        <v>1177</v>
      </c>
      <c r="B1177" s="162" t="s">
        <v>62</v>
      </c>
      <c r="C1177" s="163">
        <v>16131730</v>
      </c>
      <c r="D1177" s="164" t="s">
        <v>836</v>
      </c>
      <c r="E1177" s="165">
        <v>139154</v>
      </c>
      <c r="F1177" s="165">
        <v>0</v>
      </c>
      <c r="G1177" s="165">
        <v>139154</v>
      </c>
      <c r="H1177" s="165">
        <v>0</v>
      </c>
      <c r="I1177" s="163"/>
      <c r="J1177" s="166"/>
      <c r="K1177" s="167"/>
      <c r="L1177" s="167">
        <v>709</v>
      </c>
      <c r="M1177" s="168">
        <v>46050</v>
      </c>
      <c r="N1177" s="169" t="s">
        <v>828</v>
      </c>
      <c r="O1177" s="162" t="s">
        <v>241</v>
      </c>
    </row>
    <row r="1178" spans="1:15" x14ac:dyDescent="0.25">
      <c r="A1178" s="154">
        <v>1178</v>
      </c>
      <c r="B1178" s="162" t="s">
        <v>63</v>
      </c>
      <c r="C1178" s="163">
        <v>22175283</v>
      </c>
      <c r="D1178" s="164" t="s">
        <v>836</v>
      </c>
      <c r="E1178" s="165">
        <v>474915</v>
      </c>
      <c r="F1178" s="165">
        <v>0</v>
      </c>
      <c r="G1178" s="165">
        <v>474915</v>
      </c>
      <c r="H1178" s="165">
        <v>0</v>
      </c>
      <c r="I1178" s="163"/>
      <c r="J1178" s="166"/>
      <c r="K1178" s="167"/>
      <c r="L1178" s="167">
        <v>709</v>
      </c>
      <c r="M1178" s="168">
        <v>46050</v>
      </c>
      <c r="N1178" s="169" t="s">
        <v>2174</v>
      </c>
      <c r="O1178" s="162" t="s">
        <v>266</v>
      </c>
    </row>
    <row r="1179" spans="1:15" x14ac:dyDescent="0.25">
      <c r="A1179" s="154">
        <v>1179</v>
      </c>
      <c r="B1179" s="162" t="s">
        <v>63</v>
      </c>
      <c r="C1179" s="163">
        <v>22175283</v>
      </c>
      <c r="D1179" s="164" t="s">
        <v>836</v>
      </c>
      <c r="E1179" s="165">
        <v>213273</v>
      </c>
      <c r="F1179" s="165">
        <v>213273</v>
      </c>
      <c r="G1179" s="165">
        <v>0</v>
      </c>
      <c r="H1179" s="165">
        <v>0</v>
      </c>
      <c r="I1179" s="163"/>
      <c r="J1179" s="166"/>
      <c r="K1179" s="167"/>
      <c r="L1179" s="167">
        <v>709</v>
      </c>
      <c r="M1179" s="168">
        <v>46050</v>
      </c>
      <c r="N1179" s="169" t="s">
        <v>2175</v>
      </c>
      <c r="O1179" s="162" t="s">
        <v>227</v>
      </c>
    </row>
    <row r="1180" spans="1:15" x14ac:dyDescent="0.25">
      <c r="A1180" s="154">
        <v>1180</v>
      </c>
      <c r="B1180" s="162" t="s">
        <v>63</v>
      </c>
      <c r="C1180" s="163">
        <v>22175283</v>
      </c>
      <c r="D1180" s="164" t="s">
        <v>836</v>
      </c>
      <c r="E1180" s="165">
        <v>833465</v>
      </c>
      <c r="F1180" s="165">
        <v>833465</v>
      </c>
      <c r="G1180" s="165">
        <v>0</v>
      </c>
      <c r="H1180" s="165">
        <v>0</v>
      </c>
      <c r="I1180" s="163"/>
      <c r="J1180" s="166"/>
      <c r="K1180" s="167"/>
      <c r="L1180" s="167">
        <v>709</v>
      </c>
      <c r="M1180" s="168">
        <v>46050</v>
      </c>
      <c r="N1180" s="169" t="s">
        <v>2176</v>
      </c>
      <c r="O1180" s="162" t="s">
        <v>227</v>
      </c>
    </row>
    <row r="1181" spans="1:15" x14ac:dyDescent="0.25">
      <c r="A1181" s="154">
        <v>1181</v>
      </c>
      <c r="B1181" s="162" t="s">
        <v>63</v>
      </c>
      <c r="C1181" s="163">
        <v>22175283</v>
      </c>
      <c r="D1181" s="164" t="s">
        <v>836</v>
      </c>
      <c r="E1181" s="165">
        <v>497001</v>
      </c>
      <c r="F1181" s="165">
        <v>497001</v>
      </c>
      <c r="G1181" s="165">
        <v>0</v>
      </c>
      <c r="H1181" s="165">
        <v>0</v>
      </c>
      <c r="I1181" s="163"/>
      <c r="J1181" s="166"/>
      <c r="K1181" s="167"/>
      <c r="L1181" s="167">
        <v>709</v>
      </c>
      <c r="M1181" s="168">
        <v>46050</v>
      </c>
      <c r="N1181" s="169" t="s">
        <v>2177</v>
      </c>
      <c r="O1181" s="162" t="s">
        <v>227</v>
      </c>
    </row>
    <row r="1182" spans="1:15" x14ac:dyDescent="0.25">
      <c r="A1182" s="154">
        <v>1182</v>
      </c>
      <c r="B1182" s="162" t="s">
        <v>63</v>
      </c>
      <c r="C1182" s="163">
        <v>22175283</v>
      </c>
      <c r="D1182" s="164" t="s">
        <v>836</v>
      </c>
      <c r="E1182" s="165">
        <v>598342</v>
      </c>
      <c r="F1182" s="165">
        <v>598342</v>
      </c>
      <c r="G1182" s="165">
        <v>0</v>
      </c>
      <c r="H1182" s="165">
        <v>0</v>
      </c>
      <c r="I1182" s="163"/>
      <c r="J1182" s="166"/>
      <c r="K1182" s="167"/>
      <c r="L1182" s="167">
        <v>709</v>
      </c>
      <c r="M1182" s="168">
        <v>46050</v>
      </c>
      <c r="N1182" s="169" t="s">
        <v>2178</v>
      </c>
      <c r="O1182" s="162" t="s">
        <v>227</v>
      </c>
    </row>
    <row r="1183" spans="1:15" x14ac:dyDescent="0.25">
      <c r="A1183" s="154">
        <v>1183</v>
      </c>
      <c r="B1183" s="162" t="s">
        <v>64</v>
      </c>
      <c r="C1183" s="163">
        <v>85111531</v>
      </c>
      <c r="D1183" s="164" t="s">
        <v>836</v>
      </c>
      <c r="E1183" s="165">
        <v>3188640</v>
      </c>
      <c r="F1183" s="165">
        <v>1594320</v>
      </c>
      <c r="G1183" s="165">
        <v>1594320</v>
      </c>
      <c r="H1183" s="165">
        <v>0</v>
      </c>
      <c r="I1183" s="163"/>
      <c r="J1183" s="166"/>
      <c r="K1183" s="167"/>
      <c r="L1183" s="167">
        <v>709</v>
      </c>
      <c r="M1183" s="168">
        <v>46050</v>
      </c>
      <c r="N1183" s="169" t="s">
        <v>2179</v>
      </c>
      <c r="O1183" s="162" t="s">
        <v>194</v>
      </c>
    </row>
    <row r="1184" spans="1:15" x14ac:dyDescent="0.25">
      <c r="A1184" s="154">
        <v>1184</v>
      </c>
      <c r="B1184" s="162" t="s">
        <v>64</v>
      </c>
      <c r="C1184" s="163">
        <v>85111531</v>
      </c>
      <c r="D1184" s="164" t="s">
        <v>836</v>
      </c>
      <c r="E1184" s="165">
        <v>71200</v>
      </c>
      <c r="F1184" s="165">
        <v>0</v>
      </c>
      <c r="G1184" s="165">
        <v>71200</v>
      </c>
      <c r="H1184" s="165">
        <v>0</v>
      </c>
      <c r="I1184" s="163"/>
      <c r="J1184" s="166"/>
      <c r="K1184" s="167"/>
      <c r="L1184" s="167">
        <v>709</v>
      </c>
      <c r="M1184" s="168">
        <v>46050</v>
      </c>
      <c r="N1184" s="169" t="s">
        <v>2180</v>
      </c>
      <c r="O1184" s="162" t="s">
        <v>230</v>
      </c>
    </row>
    <row r="1185" spans="1:15" x14ac:dyDescent="0.25">
      <c r="A1185" s="154">
        <v>1185</v>
      </c>
      <c r="B1185" s="162" t="s">
        <v>65</v>
      </c>
      <c r="C1185" s="163">
        <v>8154685</v>
      </c>
      <c r="D1185" s="164" t="s">
        <v>836</v>
      </c>
      <c r="E1185" s="165">
        <v>1195740</v>
      </c>
      <c r="F1185" s="165">
        <v>398580</v>
      </c>
      <c r="G1185" s="165">
        <v>797160</v>
      </c>
      <c r="H1185" s="165">
        <v>0</v>
      </c>
      <c r="I1185" s="163"/>
      <c r="J1185" s="166"/>
      <c r="K1185" s="167"/>
      <c r="L1185" s="167">
        <v>709</v>
      </c>
      <c r="M1185" s="168">
        <v>46050</v>
      </c>
      <c r="N1185" s="169" t="s">
        <v>2181</v>
      </c>
      <c r="O1185" s="162" t="s">
        <v>194</v>
      </c>
    </row>
    <row r="1186" spans="1:15" x14ac:dyDescent="0.25">
      <c r="A1186" s="154">
        <v>1186</v>
      </c>
      <c r="B1186" s="162" t="s">
        <v>66</v>
      </c>
      <c r="C1186" s="163">
        <v>20232778</v>
      </c>
      <c r="D1186" s="164" t="s">
        <v>836</v>
      </c>
      <c r="E1186" s="165">
        <v>1992900</v>
      </c>
      <c r="F1186" s="165">
        <v>0</v>
      </c>
      <c r="G1186" s="165">
        <v>1992900</v>
      </c>
      <c r="H1186" s="165">
        <v>0</v>
      </c>
      <c r="I1186" s="163"/>
      <c r="J1186" s="166"/>
      <c r="K1186" s="167"/>
      <c r="L1186" s="167">
        <v>709</v>
      </c>
      <c r="M1186" s="168">
        <v>46050</v>
      </c>
      <c r="N1186" s="169" t="s">
        <v>2182</v>
      </c>
      <c r="O1186" s="162" t="s">
        <v>194</v>
      </c>
    </row>
    <row r="1187" spans="1:15" x14ac:dyDescent="0.25">
      <c r="A1187" s="154">
        <v>1187</v>
      </c>
      <c r="B1187" s="162" t="s">
        <v>67</v>
      </c>
      <c r="C1187" s="163">
        <v>3757260</v>
      </c>
      <c r="D1187" s="164" t="s">
        <v>836</v>
      </c>
      <c r="E1187" s="165">
        <v>79407</v>
      </c>
      <c r="F1187" s="165">
        <v>79407</v>
      </c>
      <c r="G1187" s="165">
        <v>0</v>
      </c>
      <c r="H1187" s="165">
        <v>0</v>
      </c>
      <c r="I1187" s="163"/>
      <c r="J1187" s="166"/>
      <c r="K1187" s="167"/>
      <c r="L1187" s="167">
        <v>709</v>
      </c>
      <c r="M1187" s="168">
        <v>46050</v>
      </c>
      <c r="N1187" s="169" t="s">
        <v>2183</v>
      </c>
      <c r="O1187" s="162" t="s">
        <v>283</v>
      </c>
    </row>
    <row r="1188" spans="1:15" x14ac:dyDescent="0.25">
      <c r="A1188" s="154">
        <v>1188</v>
      </c>
      <c r="B1188" s="162" t="s">
        <v>68</v>
      </c>
      <c r="C1188" s="163">
        <v>3190379</v>
      </c>
      <c r="D1188" s="164" t="s">
        <v>836</v>
      </c>
      <c r="E1188" s="165">
        <v>76988</v>
      </c>
      <c r="F1188" s="165">
        <v>0</v>
      </c>
      <c r="G1188" s="165">
        <v>76988</v>
      </c>
      <c r="H1188" s="165">
        <v>0</v>
      </c>
      <c r="I1188" s="163"/>
      <c r="J1188" s="166"/>
      <c r="K1188" s="167"/>
      <c r="L1188" s="167">
        <v>709</v>
      </c>
      <c r="M1188" s="168">
        <v>46050</v>
      </c>
      <c r="N1188" s="169" t="s">
        <v>2184</v>
      </c>
      <c r="O1188" s="162" t="s">
        <v>198</v>
      </c>
    </row>
    <row r="1189" spans="1:15" x14ac:dyDescent="0.25">
      <c r="A1189" s="154">
        <v>1189</v>
      </c>
      <c r="B1189" s="162" t="s">
        <v>69</v>
      </c>
      <c r="C1189" s="163">
        <v>20627343</v>
      </c>
      <c r="D1189" s="164" t="s">
        <v>836</v>
      </c>
      <c r="E1189" s="165">
        <v>108024</v>
      </c>
      <c r="F1189" s="165">
        <v>108024</v>
      </c>
      <c r="G1189" s="165">
        <v>0</v>
      </c>
      <c r="H1189" s="165">
        <v>0</v>
      </c>
      <c r="I1189" s="163"/>
      <c r="J1189" s="166"/>
      <c r="K1189" s="167"/>
      <c r="L1189" s="167">
        <v>709</v>
      </c>
      <c r="M1189" s="168">
        <v>46050</v>
      </c>
      <c r="N1189" s="169" t="s">
        <v>2185</v>
      </c>
      <c r="O1189" s="162" t="s">
        <v>241</v>
      </c>
    </row>
    <row r="1190" spans="1:15" x14ac:dyDescent="0.25">
      <c r="A1190" s="154">
        <v>1190</v>
      </c>
      <c r="B1190" s="162" t="s">
        <v>69</v>
      </c>
      <c r="C1190" s="163">
        <v>20627343</v>
      </c>
      <c r="D1190" s="164" t="s">
        <v>836</v>
      </c>
      <c r="E1190" s="165">
        <v>2003145</v>
      </c>
      <c r="F1190" s="165">
        <v>0</v>
      </c>
      <c r="G1190" s="165">
        <v>2003145</v>
      </c>
      <c r="H1190" s="165">
        <v>0</v>
      </c>
      <c r="I1190" s="163"/>
      <c r="J1190" s="166"/>
      <c r="K1190" s="167"/>
      <c r="L1190" s="167">
        <v>709</v>
      </c>
      <c r="M1190" s="168">
        <v>46050</v>
      </c>
      <c r="N1190" s="169" t="s">
        <v>828</v>
      </c>
      <c r="O1190" s="162" t="s">
        <v>194</v>
      </c>
    </row>
    <row r="1191" spans="1:15" x14ac:dyDescent="0.25">
      <c r="A1191" s="154">
        <v>1191</v>
      </c>
      <c r="B1191" s="162" t="s">
        <v>70</v>
      </c>
      <c r="C1191" s="163">
        <v>55315347</v>
      </c>
      <c r="D1191" s="164" t="s">
        <v>836</v>
      </c>
      <c r="E1191" s="165">
        <v>8223317</v>
      </c>
      <c r="F1191" s="165">
        <v>0</v>
      </c>
      <c r="G1191" s="165">
        <v>8223317</v>
      </c>
      <c r="H1191" s="165">
        <v>0</v>
      </c>
      <c r="I1191" s="163"/>
      <c r="J1191" s="166"/>
      <c r="K1191" s="167"/>
      <c r="L1191" s="167">
        <v>709</v>
      </c>
      <c r="M1191" s="168">
        <v>46050</v>
      </c>
      <c r="N1191" s="169" t="s">
        <v>2152</v>
      </c>
      <c r="O1191" s="162" t="s">
        <v>201</v>
      </c>
    </row>
    <row r="1192" spans="1:15" x14ac:dyDescent="0.25">
      <c r="A1192" s="154">
        <v>1192</v>
      </c>
      <c r="B1192" s="162" t="s">
        <v>70</v>
      </c>
      <c r="C1192" s="163">
        <v>55315347</v>
      </c>
      <c r="D1192" s="164" t="s">
        <v>836</v>
      </c>
      <c r="E1192" s="165">
        <v>2387410</v>
      </c>
      <c r="F1192" s="165">
        <v>0</v>
      </c>
      <c r="G1192" s="165">
        <v>2387410</v>
      </c>
      <c r="H1192" s="165">
        <v>0</v>
      </c>
      <c r="I1192" s="163"/>
      <c r="J1192" s="166"/>
      <c r="K1192" s="167"/>
      <c r="L1192" s="167">
        <v>709</v>
      </c>
      <c r="M1192" s="168">
        <v>46050</v>
      </c>
      <c r="N1192" s="169" t="s">
        <v>2152</v>
      </c>
      <c r="O1192" s="162" t="s">
        <v>201</v>
      </c>
    </row>
    <row r="1193" spans="1:15" x14ac:dyDescent="0.25">
      <c r="A1193" s="154">
        <v>1193</v>
      </c>
      <c r="B1193" s="162" t="s">
        <v>70</v>
      </c>
      <c r="C1193" s="163">
        <v>55315347</v>
      </c>
      <c r="D1193" s="164" t="s">
        <v>836</v>
      </c>
      <c r="E1193" s="165">
        <v>1207837</v>
      </c>
      <c r="F1193" s="165">
        <v>0</v>
      </c>
      <c r="G1193" s="165">
        <v>1207837</v>
      </c>
      <c r="H1193" s="165">
        <v>0</v>
      </c>
      <c r="I1193" s="163"/>
      <c r="J1193" s="166"/>
      <c r="K1193" s="167"/>
      <c r="L1193" s="167">
        <v>709</v>
      </c>
      <c r="M1193" s="168">
        <v>46050</v>
      </c>
      <c r="N1193" s="169" t="s">
        <v>2152</v>
      </c>
      <c r="O1193" s="162" t="s">
        <v>201</v>
      </c>
    </row>
    <row r="1194" spans="1:15" x14ac:dyDescent="0.25">
      <c r="A1194" s="154">
        <v>1194</v>
      </c>
      <c r="B1194" s="162" t="s">
        <v>71</v>
      </c>
      <c r="C1194" s="163">
        <v>2518999</v>
      </c>
      <c r="D1194" s="164" t="s">
        <v>836</v>
      </c>
      <c r="E1194" s="165">
        <v>797160</v>
      </c>
      <c r="F1194" s="165">
        <v>797160</v>
      </c>
      <c r="G1194" s="165">
        <v>0</v>
      </c>
      <c r="H1194" s="165">
        <v>0</v>
      </c>
      <c r="I1194" s="163"/>
      <c r="J1194" s="166"/>
      <c r="K1194" s="167"/>
      <c r="L1194" s="167">
        <v>709</v>
      </c>
      <c r="M1194" s="168">
        <v>46050</v>
      </c>
      <c r="N1194" s="169" t="s">
        <v>2186</v>
      </c>
      <c r="O1194" s="162" t="s">
        <v>194</v>
      </c>
    </row>
    <row r="1195" spans="1:15" x14ac:dyDescent="0.25">
      <c r="A1195" s="154">
        <v>1195</v>
      </c>
      <c r="B1195" s="162" t="s">
        <v>71</v>
      </c>
      <c r="C1195" s="163">
        <v>2518999</v>
      </c>
      <c r="D1195" s="164" t="s">
        <v>836</v>
      </c>
      <c r="E1195" s="165">
        <v>398580</v>
      </c>
      <c r="F1195" s="165">
        <v>398580</v>
      </c>
      <c r="G1195" s="165">
        <v>0</v>
      </c>
      <c r="H1195" s="165">
        <v>0</v>
      </c>
      <c r="I1195" s="163"/>
      <c r="J1195" s="166"/>
      <c r="K1195" s="167"/>
      <c r="L1195" s="167">
        <v>709</v>
      </c>
      <c r="M1195" s="168">
        <v>46050</v>
      </c>
      <c r="N1195" s="169" t="s">
        <v>2186</v>
      </c>
      <c r="O1195" s="162" t="s">
        <v>194</v>
      </c>
    </row>
    <row r="1196" spans="1:15" x14ac:dyDescent="0.25">
      <c r="A1196" s="154">
        <v>1196</v>
      </c>
      <c r="B1196" s="162" t="s">
        <v>72</v>
      </c>
      <c r="C1196" s="163">
        <v>4170179</v>
      </c>
      <c r="D1196" s="164" t="s">
        <v>836</v>
      </c>
      <c r="E1196" s="165">
        <v>42800</v>
      </c>
      <c r="F1196" s="165">
        <v>42800</v>
      </c>
      <c r="G1196" s="165">
        <v>0</v>
      </c>
      <c r="H1196" s="165">
        <v>0</v>
      </c>
      <c r="I1196" s="163"/>
      <c r="J1196" s="166"/>
      <c r="K1196" s="167"/>
      <c r="L1196" s="167">
        <v>709</v>
      </c>
      <c r="M1196" s="168">
        <v>46050</v>
      </c>
      <c r="N1196" s="169" t="s">
        <v>2187</v>
      </c>
      <c r="O1196" s="162" t="s">
        <v>224</v>
      </c>
    </row>
    <row r="1197" spans="1:15" x14ac:dyDescent="0.25">
      <c r="A1197" s="154">
        <v>1197</v>
      </c>
      <c r="B1197" s="162" t="s">
        <v>73</v>
      </c>
      <c r="C1197" s="163">
        <v>33560952</v>
      </c>
      <c r="D1197" s="164" t="s">
        <v>836</v>
      </c>
      <c r="E1197" s="165">
        <v>895120</v>
      </c>
      <c r="F1197" s="165">
        <v>895120</v>
      </c>
      <c r="G1197" s="165">
        <v>0</v>
      </c>
      <c r="H1197" s="165">
        <v>0</v>
      </c>
      <c r="I1197" s="163"/>
      <c r="J1197" s="166"/>
      <c r="K1197" s="167"/>
      <c r="L1197" s="167">
        <v>709</v>
      </c>
      <c r="M1197" s="168">
        <v>46050</v>
      </c>
      <c r="N1197" s="169" t="s">
        <v>2188</v>
      </c>
      <c r="O1197" s="162" t="s">
        <v>309</v>
      </c>
    </row>
    <row r="1198" spans="1:15" x14ac:dyDescent="0.25">
      <c r="A1198" s="154">
        <v>1198</v>
      </c>
      <c r="B1198" s="162" t="s">
        <v>74</v>
      </c>
      <c r="C1198" s="163">
        <v>62123956</v>
      </c>
      <c r="D1198" s="164" t="s">
        <v>836</v>
      </c>
      <c r="E1198" s="165">
        <v>679300</v>
      </c>
      <c r="F1198" s="165">
        <v>0</v>
      </c>
      <c r="G1198" s="165">
        <v>679300</v>
      </c>
      <c r="H1198" s="165">
        <v>0</v>
      </c>
      <c r="I1198" s="163"/>
      <c r="J1198" s="166"/>
      <c r="K1198" s="167"/>
      <c r="L1198" s="167">
        <v>709</v>
      </c>
      <c r="M1198" s="168">
        <v>46050</v>
      </c>
      <c r="N1198" s="169" t="s">
        <v>2189</v>
      </c>
      <c r="O1198" s="162" t="s">
        <v>194</v>
      </c>
    </row>
    <row r="1199" spans="1:15" x14ac:dyDescent="0.25">
      <c r="A1199" s="154">
        <v>1199</v>
      </c>
      <c r="B1199" s="162" t="s">
        <v>75</v>
      </c>
      <c r="C1199" s="163">
        <v>22099428</v>
      </c>
      <c r="D1199" s="164" t="s">
        <v>836</v>
      </c>
      <c r="E1199" s="165">
        <v>241500</v>
      </c>
      <c r="F1199" s="165">
        <v>53340</v>
      </c>
      <c r="G1199" s="165">
        <v>188160</v>
      </c>
      <c r="H1199" s="165">
        <v>0</v>
      </c>
      <c r="I1199" s="163"/>
      <c r="J1199" s="166"/>
      <c r="K1199" s="167"/>
      <c r="L1199" s="167">
        <v>709</v>
      </c>
      <c r="M1199" s="168">
        <v>46050</v>
      </c>
      <c r="N1199" s="169" t="s">
        <v>2190</v>
      </c>
      <c r="O1199" s="162" t="s">
        <v>309</v>
      </c>
    </row>
    <row r="1200" spans="1:15" x14ac:dyDescent="0.25">
      <c r="A1200" s="154">
        <v>1200</v>
      </c>
      <c r="B1200" s="162" t="s">
        <v>75</v>
      </c>
      <c r="C1200" s="163">
        <v>22099428</v>
      </c>
      <c r="D1200" s="164" t="s">
        <v>836</v>
      </c>
      <c r="E1200" s="165">
        <v>362900</v>
      </c>
      <c r="F1200" s="165">
        <v>79940</v>
      </c>
      <c r="G1200" s="165">
        <v>282960</v>
      </c>
      <c r="H1200" s="165">
        <v>0</v>
      </c>
      <c r="I1200" s="163"/>
      <c r="J1200" s="166"/>
      <c r="K1200" s="167"/>
      <c r="L1200" s="167">
        <v>709</v>
      </c>
      <c r="M1200" s="168">
        <v>46050</v>
      </c>
      <c r="N1200" s="169" t="s">
        <v>2191</v>
      </c>
      <c r="O1200" s="162" t="s">
        <v>309</v>
      </c>
    </row>
    <row r="1201" spans="1:15" x14ac:dyDescent="0.25">
      <c r="A1201" s="154">
        <v>1201</v>
      </c>
      <c r="B1201" s="162" t="s">
        <v>75</v>
      </c>
      <c r="C1201" s="163">
        <v>22099428</v>
      </c>
      <c r="D1201" s="164" t="s">
        <v>836</v>
      </c>
      <c r="E1201" s="165">
        <v>3860500</v>
      </c>
      <c r="F1201" s="165">
        <v>617860</v>
      </c>
      <c r="G1201" s="165">
        <v>3242640</v>
      </c>
      <c r="H1201" s="165">
        <v>0</v>
      </c>
      <c r="I1201" s="163"/>
      <c r="J1201" s="166"/>
      <c r="K1201" s="167"/>
      <c r="L1201" s="167">
        <v>709</v>
      </c>
      <c r="M1201" s="168">
        <v>46050</v>
      </c>
      <c r="N1201" s="169" t="s">
        <v>2192</v>
      </c>
      <c r="O1201" s="162" t="s">
        <v>309</v>
      </c>
    </row>
    <row r="1202" spans="1:15" x14ac:dyDescent="0.25">
      <c r="A1202" s="154">
        <v>1202</v>
      </c>
      <c r="B1202" s="162" t="s">
        <v>75</v>
      </c>
      <c r="C1202" s="163">
        <v>22099428</v>
      </c>
      <c r="D1202" s="164" t="s">
        <v>836</v>
      </c>
      <c r="E1202" s="165">
        <v>966000</v>
      </c>
      <c r="F1202" s="165">
        <v>213360</v>
      </c>
      <c r="G1202" s="165">
        <v>752640</v>
      </c>
      <c r="H1202" s="165">
        <v>0</v>
      </c>
      <c r="I1202" s="163"/>
      <c r="J1202" s="166"/>
      <c r="K1202" s="167"/>
      <c r="L1202" s="167">
        <v>709</v>
      </c>
      <c r="M1202" s="168">
        <v>46050</v>
      </c>
      <c r="N1202" s="169" t="s">
        <v>2193</v>
      </c>
      <c r="O1202" s="162" t="s">
        <v>309</v>
      </c>
    </row>
    <row r="1203" spans="1:15" x14ac:dyDescent="0.25">
      <c r="A1203" s="154">
        <v>1203</v>
      </c>
      <c r="B1203" s="162" t="s">
        <v>75</v>
      </c>
      <c r="C1203" s="163">
        <v>22099428</v>
      </c>
      <c r="D1203" s="164" t="s">
        <v>836</v>
      </c>
      <c r="E1203" s="165">
        <v>1131200</v>
      </c>
      <c r="F1203" s="165">
        <v>248840</v>
      </c>
      <c r="G1203" s="165">
        <v>882360</v>
      </c>
      <c r="H1203" s="165">
        <v>0</v>
      </c>
      <c r="I1203" s="163"/>
      <c r="J1203" s="166"/>
      <c r="K1203" s="167"/>
      <c r="L1203" s="167">
        <v>709</v>
      </c>
      <c r="M1203" s="168">
        <v>46050</v>
      </c>
      <c r="N1203" s="169" t="s">
        <v>2194</v>
      </c>
      <c r="O1203" s="162" t="s">
        <v>309</v>
      </c>
    </row>
    <row r="1204" spans="1:15" x14ac:dyDescent="0.25">
      <c r="A1204" s="154">
        <v>1204</v>
      </c>
      <c r="B1204" s="162" t="s">
        <v>75</v>
      </c>
      <c r="C1204" s="163">
        <v>22099428</v>
      </c>
      <c r="D1204" s="164" t="s">
        <v>836</v>
      </c>
      <c r="E1204" s="165">
        <v>3475900</v>
      </c>
      <c r="F1204" s="165">
        <v>556420</v>
      </c>
      <c r="G1204" s="165">
        <v>2919480</v>
      </c>
      <c r="H1204" s="165">
        <v>0</v>
      </c>
      <c r="I1204" s="163"/>
      <c r="J1204" s="166"/>
      <c r="K1204" s="167"/>
      <c r="L1204" s="167">
        <v>709</v>
      </c>
      <c r="M1204" s="168">
        <v>46050</v>
      </c>
      <c r="N1204" s="169" t="s">
        <v>2195</v>
      </c>
      <c r="O1204" s="162" t="s">
        <v>309</v>
      </c>
    </row>
    <row r="1205" spans="1:15" x14ac:dyDescent="0.25">
      <c r="A1205" s="154">
        <v>1205</v>
      </c>
      <c r="B1205" s="162" t="s">
        <v>75</v>
      </c>
      <c r="C1205" s="163">
        <v>22099428</v>
      </c>
      <c r="D1205" s="164" t="s">
        <v>836</v>
      </c>
      <c r="E1205" s="165">
        <v>5099800</v>
      </c>
      <c r="F1205" s="165">
        <v>815942</v>
      </c>
      <c r="G1205" s="165">
        <v>4283858</v>
      </c>
      <c r="H1205" s="165">
        <v>0</v>
      </c>
      <c r="I1205" s="163"/>
      <c r="J1205" s="166"/>
      <c r="K1205" s="167"/>
      <c r="L1205" s="167">
        <v>709</v>
      </c>
      <c r="M1205" s="168">
        <v>46050</v>
      </c>
      <c r="N1205" s="169" t="s">
        <v>2196</v>
      </c>
      <c r="O1205" s="162" t="s">
        <v>309</v>
      </c>
    </row>
    <row r="1206" spans="1:15" x14ac:dyDescent="0.25">
      <c r="A1206" s="154">
        <v>1206</v>
      </c>
      <c r="B1206" s="162" t="s">
        <v>75</v>
      </c>
      <c r="C1206" s="163">
        <v>22099428</v>
      </c>
      <c r="D1206" s="164" t="s">
        <v>836</v>
      </c>
      <c r="E1206" s="165">
        <v>3860500</v>
      </c>
      <c r="F1206" s="165">
        <v>617860</v>
      </c>
      <c r="G1206" s="165">
        <v>3242640</v>
      </c>
      <c r="H1206" s="165">
        <v>0</v>
      </c>
      <c r="I1206" s="163"/>
      <c r="J1206" s="166"/>
      <c r="K1206" s="167"/>
      <c r="L1206" s="167">
        <v>709</v>
      </c>
      <c r="M1206" s="168">
        <v>46050</v>
      </c>
      <c r="N1206" s="169" t="s">
        <v>2192</v>
      </c>
      <c r="O1206" s="162" t="s">
        <v>309</v>
      </c>
    </row>
    <row r="1207" spans="1:15" x14ac:dyDescent="0.25">
      <c r="A1207" s="154">
        <v>1207</v>
      </c>
      <c r="B1207" s="162" t="s">
        <v>76</v>
      </c>
      <c r="C1207" s="163">
        <v>13449931</v>
      </c>
      <c r="D1207" s="164" t="s">
        <v>836</v>
      </c>
      <c r="E1207" s="165">
        <v>398580</v>
      </c>
      <c r="F1207" s="165">
        <v>398580</v>
      </c>
      <c r="G1207" s="165">
        <v>0</v>
      </c>
      <c r="H1207" s="165">
        <v>0</v>
      </c>
      <c r="I1207" s="163"/>
      <c r="J1207" s="166"/>
      <c r="K1207" s="167"/>
      <c r="L1207" s="167">
        <v>709</v>
      </c>
      <c r="M1207" s="168">
        <v>46050</v>
      </c>
      <c r="N1207" s="169" t="s">
        <v>2197</v>
      </c>
      <c r="O1207" s="162" t="s">
        <v>190</v>
      </c>
    </row>
    <row r="1208" spans="1:15" x14ac:dyDescent="0.25">
      <c r="A1208" s="154">
        <v>1208</v>
      </c>
      <c r="B1208" s="162" t="s">
        <v>77</v>
      </c>
      <c r="C1208" s="163">
        <v>62634156</v>
      </c>
      <c r="D1208" s="164" t="s">
        <v>836</v>
      </c>
      <c r="E1208" s="165">
        <v>141000</v>
      </c>
      <c r="F1208" s="165">
        <v>141000</v>
      </c>
      <c r="G1208" s="165">
        <v>0</v>
      </c>
      <c r="H1208" s="165">
        <v>0</v>
      </c>
      <c r="I1208" s="163"/>
      <c r="J1208" s="166"/>
      <c r="K1208" s="167"/>
      <c r="L1208" s="167">
        <v>709</v>
      </c>
      <c r="M1208" s="168">
        <v>46050</v>
      </c>
      <c r="N1208" s="169" t="s">
        <v>2198</v>
      </c>
      <c r="O1208" s="162" t="s">
        <v>325</v>
      </c>
    </row>
    <row r="1209" spans="1:15" x14ac:dyDescent="0.25">
      <c r="A1209" s="154">
        <v>1209</v>
      </c>
      <c r="B1209" s="162" t="s">
        <v>77</v>
      </c>
      <c r="C1209" s="163">
        <v>62634156</v>
      </c>
      <c r="D1209" s="164" t="s">
        <v>836</v>
      </c>
      <c r="E1209" s="165">
        <v>30400</v>
      </c>
      <c r="F1209" s="165">
        <v>0</v>
      </c>
      <c r="G1209" s="165">
        <v>30400</v>
      </c>
      <c r="H1209" s="165">
        <v>0</v>
      </c>
      <c r="I1209" s="163"/>
      <c r="J1209" s="166"/>
      <c r="K1209" s="167"/>
      <c r="L1209" s="167">
        <v>709</v>
      </c>
      <c r="M1209" s="168">
        <v>46050</v>
      </c>
      <c r="N1209" s="169" t="s">
        <v>2199</v>
      </c>
      <c r="O1209" s="162" t="s">
        <v>325</v>
      </c>
    </row>
    <row r="1210" spans="1:15" x14ac:dyDescent="0.25">
      <c r="A1210" s="154">
        <v>1210</v>
      </c>
      <c r="B1210" s="162" t="s">
        <v>77</v>
      </c>
      <c r="C1210" s="163">
        <v>62634156</v>
      </c>
      <c r="D1210" s="164" t="s">
        <v>836</v>
      </c>
      <c r="E1210" s="165">
        <v>30400</v>
      </c>
      <c r="F1210" s="165">
        <v>0</v>
      </c>
      <c r="G1210" s="165">
        <v>30400</v>
      </c>
      <c r="H1210" s="165">
        <v>0</v>
      </c>
      <c r="I1210" s="163"/>
      <c r="J1210" s="166"/>
      <c r="K1210" s="167"/>
      <c r="L1210" s="167">
        <v>709</v>
      </c>
      <c r="M1210" s="168">
        <v>46050</v>
      </c>
      <c r="N1210" s="169" t="s">
        <v>2199</v>
      </c>
      <c r="O1210" s="162" t="s">
        <v>325</v>
      </c>
    </row>
    <row r="1211" spans="1:15" x14ac:dyDescent="0.25">
      <c r="A1211" s="154">
        <v>1211</v>
      </c>
      <c r="B1211" s="162" t="s">
        <v>77</v>
      </c>
      <c r="C1211" s="163">
        <v>62634156</v>
      </c>
      <c r="D1211" s="164" t="s">
        <v>836</v>
      </c>
      <c r="E1211" s="165">
        <v>30400</v>
      </c>
      <c r="F1211" s="165">
        <v>0</v>
      </c>
      <c r="G1211" s="165">
        <v>30400</v>
      </c>
      <c r="H1211" s="165">
        <v>0</v>
      </c>
      <c r="I1211" s="163"/>
      <c r="J1211" s="166"/>
      <c r="K1211" s="167"/>
      <c r="L1211" s="167">
        <v>709</v>
      </c>
      <c r="M1211" s="168">
        <v>46050</v>
      </c>
      <c r="N1211" s="169" t="s">
        <v>2199</v>
      </c>
      <c r="O1211" s="162" t="s">
        <v>325</v>
      </c>
    </row>
    <row r="1212" spans="1:15" x14ac:dyDescent="0.25">
      <c r="A1212" s="154">
        <v>1212</v>
      </c>
      <c r="B1212" s="162" t="s">
        <v>78</v>
      </c>
      <c r="C1212" s="163">
        <v>45083083</v>
      </c>
      <c r="D1212" s="164" t="s">
        <v>836</v>
      </c>
      <c r="E1212" s="165">
        <v>1221600</v>
      </c>
      <c r="F1212" s="165">
        <v>269040</v>
      </c>
      <c r="G1212" s="165">
        <v>952560</v>
      </c>
      <c r="H1212" s="165">
        <v>0</v>
      </c>
      <c r="I1212" s="163"/>
      <c r="J1212" s="166"/>
      <c r="K1212" s="167"/>
      <c r="L1212" s="167">
        <v>709</v>
      </c>
      <c r="M1212" s="168">
        <v>46050</v>
      </c>
      <c r="N1212" s="169" t="s">
        <v>2200</v>
      </c>
      <c r="O1212" s="162" t="s">
        <v>227</v>
      </c>
    </row>
    <row r="1213" spans="1:15" x14ac:dyDescent="0.25">
      <c r="A1213" s="154">
        <v>1213</v>
      </c>
      <c r="B1213" s="162" t="s">
        <v>78</v>
      </c>
      <c r="C1213" s="163">
        <v>45083083</v>
      </c>
      <c r="D1213" s="164" t="s">
        <v>836</v>
      </c>
      <c r="E1213" s="165">
        <v>3732300</v>
      </c>
      <c r="F1213" s="165">
        <v>597300</v>
      </c>
      <c r="G1213" s="165">
        <v>3135000</v>
      </c>
      <c r="H1213" s="165">
        <v>0</v>
      </c>
      <c r="I1213" s="163"/>
      <c r="J1213" s="166"/>
      <c r="K1213" s="167"/>
      <c r="L1213" s="167">
        <v>709</v>
      </c>
      <c r="M1213" s="168">
        <v>46050</v>
      </c>
      <c r="N1213" s="169" t="s">
        <v>2201</v>
      </c>
      <c r="O1213" s="162" t="s">
        <v>227</v>
      </c>
    </row>
    <row r="1214" spans="1:15" x14ac:dyDescent="0.25">
      <c r="A1214" s="154">
        <v>1214</v>
      </c>
      <c r="B1214" s="162" t="s">
        <v>78</v>
      </c>
      <c r="C1214" s="163">
        <v>45083083</v>
      </c>
      <c r="D1214" s="164" t="s">
        <v>836</v>
      </c>
      <c r="E1214" s="165">
        <v>14913</v>
      </c>
      <c r="F1214" s="165">
        <v>0</v>
      </c>
      <c r="G1214" s="165">
        <v>14913</v>
      </c>
      <c r="H1214" s="165">
        <v>0</v>
      </c>
      <c r="I1214" s="163"/>
      <c r="J1214" s="166"/>
      <c r="K1214" s="167"/>
      <c r="L1214" s="167">
        <v>709</v>
      </c>
      <c r="M1214" s="168">
        <v>46050</v>
      </c>
      <c r="N1214" s="169" t="s">
        <v>2202</v>
      </c>
      <c r="O1214" s="162" t="s">
        <v>321</v>
      </c>
    </row>
    <row r="1215" spans="1:15" x14ac:dyDescent="0.25">
      <c r="A1215" s="154">
        <v>1215</v>
      </c>
      <c r="B1215" s="162" t="s">
        <v>78</v>
      </c>
      <c r="C1215" s="163">
        <v>45083083</v>
      </c>
      <c r="D1215" s="164" t="s">
        <v>836</v>
      </c>
      <c r="E1215" s="165">
        <v>14913</v>
      </c>
      <c r="F1215" s="165">
        <v>0</v>
      </c>
      <c r="G1215" s="165">
        <v>14913</v>
      </c>
      <c r="H1215" s="165">
        <v>0</v>
      </c>
      <c r="I1215" s="163"/>
      <c r="J1215" s="166"/>
      <c r="K1215" s="167"/>
      <c r="L1215" s="167">
        <v>709</v>
      </c>
      <c r="M1215" s="168">
        <v>46050</v>
      </c>
      <c r="N1215" s="169" t="s">
        <v>2202</v>
      </c>
      <c r="O1215" s="162" t="s">
        <v>321</v>
      </c>
    </row>
    <row r="1216" spans="1:15" x14ac:dyDescent="0.25">
      <c r="A1216" s="154">
        <v>1216</v>
      </c>
      <c r="B1216" s="162" t="s">
        <v>78</v>
      </c>
      <c r="C1216" s="163">
        <v>45083083</v>
      </c>
      <c r="D1216" s="164" t="s">
        <v>836</v>
      </c>
      <c r="E1216" s="165">
        <v>14913</v>
      </c>
      <c r="F1216" s="165">
        <v>0</v>
      </c>
      <c r="G1216" s="165">
        <v>14913</v>
      </c>
      <c r="H1216" s="165">
        <v>0</v>
      </c>
      <c r="I1216" s="163"/>
      <c r="J1216" s="166"/>
      <c r="K1216" s="167"/>
      <c r="L1216" s="167">
        <v>709</v>
      </c>
      <c r="M1216" s="168">
        <v>46050</v>
      </c>
      <c r="N1216" s="169" t="s">
        <v>2202</v>
      </c>
      <c r="O1216" s="162" t="s">
        <v>321</v>
      </c>
    </row>
    <row r="1217" spans="1:15" x14ac:dyDescent="0.25">
      <c r="A1217" s="154">
        <v>1217</v>
      </c>
      <c r="B1217" s="162" t="s">
        <v>78</v>
      </c>
      <c r="C1217" s="163">
        <v>45083083</v>
      </c>
      <c r="D1217" s="164" t="s">
        <v>836</v>
      </c>
      <c r="E1217" s="165">
        <v>1201800</v>
      </c>
      <c r="F1217" s="165">
        <v>264840</v>
      </c>
      <c r="G1217" s="165">
        <v>936960</v>
      </c>
      <c r="H1217" s="165">
        <v>0</v>
      </c>
      <c r="I1217" s="163"/>
      <c r="J1217" s="166"/>
      <c r="K1217" s="167"/>
      <c r="L1217" s="167">
        <v>709</v>
      </c>
      <c r="M1217" s="168">
        <v>46050</v>
      </c>
      <c r="N1217" s="169" t="s">
        <v>2203</v>
      </c>
      <c r="O1217" s="162" t="s">
        <v>227</v>
      </c>
    </row>
    <row r="1218" spans="1:15" x14ac:dyDescent="0.25">
      <c r="A1218" s="154">
        <v>1218</v>
      </c>
      <c r="B1218" s="162" t="s">
        <v>79</v>
      </c>
      <c r="C1218" s="163">
        <v>13888066</v>
      </c>
      <c r="D1218" s="164" t="s">
        <v>836</v>
      </c>
      <c r="E1218" s="165">
        <v>3644048</v>
      </c>
      <c r="F1218" s="165">
        <v>0</v>
      </c>
      <c r="G1218" s="165">
        <v>3644048</v>
      </c>
      <c r="H1218" s="165">
        <v>0</v>
      </c>
      <c r="I1218" s="163"/>
      <c r="J1218" s="166"/>
      <c r="K1218" s="167"/>
      <c r="L1218" s="167">
        <v>709</v>
      </c>
      <c r="M1218" s="168">
        <v>46050</v>
      </c>
      <c r="N1218" s="169" t="s">
        <v>2152</v>
      </c>
      <c r="O1218" s="162" t="s">
        <v>201</v>
      </c>
    </row>
    <row r="1219" spans="1:15" x14ac:dyDescent="0.25">
      <c r="A1219" s="154">
        <v>1219</v>
      </c>
      <c r="B1219" s="162" t="s">
        <v>79</v>
      </c>
      <c r="C1219" s="163">
        <v>13888066</v>
      </c>
      <c r="D1219" s="164" t="s">
        <v>836</v>
      </c>
      <c r="E1219" s="165">
        <v>666435</v>
      </c>
      <c r="F1219" s="165">
        <v>0</v>
      </c>
      <c r="G1219" s="165">
        <v>666435</v>
      </c>
      <c r="H1219" s="165">
        <v>0</v>
      </c>
      <c r="I1219" s="163"/>
      <c r="J1219" s="166"/>
      <c r="K1219" s="167"/>
      <c r="L1219" s="167">
        <v>709</v>
      </c>
      <c r="M1219" s="168">
        <v>46050</v>
      </c>
      <c r="N1219" s="169" t="s">
        <v>2204</v>
      </c>
      <c r="O1219" s="162" t="s">
        <v>333</v>
      </c>
    </row>
    <row r="1220" spans="1:15" x14ac:dyDescent="0.25">
      <c r="A1220" s="154">
        <v>1220</v>
      </c>
      <c r="B1220" s="162" t="s">
        <v>79</v>
      </c>
      <c r="C1220" s="163">
        <v>13888066</v>
      </c>
      <c r="D1220" s="164" t="s">
        <v>836</v>
      </c>
      <c r="E1220" s="165">
        <v>2065650</v>
      </c>
      <c r="F1220" s="165">
        <v>0</v>
      </c>
      <c r="G1220" s="165">
        <v>2065650</v>
      </c>
      <c r="H1220" s="165">
        <v>0</v>
      </c>
      <c r="I1220" s="163"/>
      <c r="J1220" s="166"/>
      <c r="K1220" s="167"/>
      <c r="L1220" s="167">
        <v>709</v>
      </c>
      <c r="M1220" s="168">
        <v>46050</v>
      </c>
      <c r="N1220" s="169" t="s">
        <v>2152</v>
      </c>
      <c r="O1220" s="162" t="s">
        <v>212</v>
      </c>
    </row>
    <row r="1221" spans="1:15" x14ac:dyDescent="0.25">
      <c r="A1221" s="154">
        <v>1221</v>
      </c>
      <c r="B1221" s="162" t="s">
        <v>80</v>
      </c>
      <c r="C1221" s="163">
        <v>34668018</v>
      </c>
      <c r="D1221" s="164" t="s">
        <v>836</v>
      </c>
      <c r="E1221" s="165">
        <v>3757721</v>
      </c>
      <c r="F1221" s="165">
        <v>0</v>
      </c>
      <c r="G1221" s="165">
        <v>3757721</v>
      </c>
      <c r="H1221" s="165">
        <v>0</v>
      </c>
      <c r="I1221" s="163"/>
      <c r="J1221" s="166"/>
      <c r="K1221" s="167"/>
      <c r="L1221" s="167">
        <v>709</v>
      </c>
      <c r="M1221" s="168">
        <v>46050</v>
      </c>
      <c r="N1221" s="169" t="s">
        <v>2152</v>
      </c>
      <c r="O1221" s="162" t="s">
        <v>201</v>
      </c>
    </row>
    <row r="1222" spans="1:15" x14ac:dyDescent="0.25">
      <c r="A1222" s="154">
        <v>1222</v>
      </c>
      <c r="B1222" s="162" t="s">
        <v>80</v>
      </c>
      <c r="C1222" s="163">
        <v>34668018</v>
      </c>
      <c r="D1222" s="164" t="s">
        <v>836</v>
      </c>
      <c r="E1222" s="165">
        <v>1206000</v>
      </c>
      <c r="F1222" s="165">
        <v>0</v>
      </c>
      <c r="G1222" s="165">
        <v>1206000</v>
      </c>
      <c r="H1222" s="165">
        <v>0</v>
      </c>
      <c r="I1222" s="163"/>
      <c r="J1222" s="166"/>
      <c r="K1222" s="167"/>
      <c r="L1222" s="167">
        <v>709</v>
      </c>
      <c r="M1222" s="168">
        <v>46050</v>
      </c>
      <c r="N1222" s="169" t="s">
        <v>2205</v>
      </c>
      <c r="O1222" s="162" t="s">
        <v>336</v>
      </c>
    </row>
    <row r="1223" spans="1:15" x14ac:dyDescent="0.25">
      <c r="A1223" s="154">
        <v>1223</v>
      </c>
      <c r="B1223" s="162" t="s">
        <v>80</v>
      </c>
      <c r="C1223" s="163">
        <v>34668018</v>
      </c>
      <c r="D1223" s="164" t="s">
        <v>836</v>
      </c>
      <c r="E1223" s="165">
        <v>804000</v>
      </c>
      <c r="F1223" s="165">
        <v>0</v>
      </c>
      <c r="G1223" s="165">
        <v>804000</v>
      </c>
      <c r="H1223" s="165">
        <v>0</v>
      </c>
      <c r="I1223" s="163"/>
      <c r="J1223" s="166"/>
      <c r="K1223" s="167"/>
      <c r="L1223" s="167">
        <v>709</v>
      </c>
      <c r="M1223" s="168">
        <v>46050</v>
      </c>
      <c r="N1223" s="169" t="s">
        <v>2205</v>
      </c>
      <c r="O1223" s="162" t="s">
        <v>336</v>
      </c>
    </row>
    <row r="1224" spans="1:15" x14ac:dyDescent="0.25">
      <c r="A1224" s="154">
        <v>1224</v>
      </c>
      <c r="B1224" s="162" t="s">
        <v>82</v>
      </c>
      <c r="C1224" s="163">
        <v>26179912</v>
      </c>
      <c r="D1224" s="164" t="s">
        <v>836</v>
      </c>
      <c r="E1224" s="165">
        <v>257185</v>
      </c>
      <c r="F1224" s="165">
        <v>0</v>
      </c>
      <c r="G1224" s="165">
        <v>257185</v>
      </c>
      <c r="H1224" s="165">
        <v>0</v>
      </c>
      <c r="I1224" s="163"/>
      <c r="J1224" s="166"/>
      <c r="K1224" s="167"/>
      <c r="L1224" s="167">
        <v>709</v>
      </c>
      <c r="M1224" s="168">
        <v>46050</v>
      </c>
      <c r="N1224" s="169" t="s">
        <v>2205</v>
      </c>
      <c r="O1224" s="162" t="s">
        <v>303</v>
      </c>
    </row>
    <row r="1225" spans="1:15" x14ac:dyDescent="0.25">
      <c r="A1225" s="154">
        <v>1225</v>
      </c>
      <c r="B1225" s="162" t="s">
        <v>82</v>
      </c>
      <c r="C1225" s="163">
        <v>26179912</v>
      </c>
      <c r="D1225" s="164" t="s">
        <v>836</v>
      </c>
      <c r="E1225" s="165">
        <v>79000</v>
      </c>
      <c r="F1225" s="165">
        <v>0</v>
      </c>
      <c r="G1225" s="165">
        <v>79000</v>
      </c>
      <c r="H1225" s="165">
        <v>0</v>
      </c>
      <c r="I1225" s="163"/>
      <c r="J1225" s="166"/>
      <c r="K1225" s="167"/>
      <c r="L1225" s="167">
        <v>709</v>
      </c>
      <c r="M1225" s="168">
        <v>46050</v>
      </c>
      <c r="N1225" s="169" t="s">
        <v>2205</v>
      </c>
      <c r="O1225" s="162" t="s">
        <v>303</v>
      </c>
    </row>
    <row r="1226" spans="1:15" x14ac:dyDescent="0.25">
      <c r="A1226" s="154">
        <v>1226</v>
      </c>
      <c r="B1226" s="162" t="s">
        <v>83</v>
      </c>
      <c r="C1226" s="163">
        <v>24829939</v>
      </c>
      <c r="D1226" s="164" t="s">
        <v>836</v>
      </c>
      <c r="E1226" s="165">
        <v>961200</v>
      </c>
      <c r="F1226" s="165">
        <v>961200</v>
      </c>
      <c r="G1226" s="165">
        <v>0</v>
      </c>
      <c r="H1226" s="165">
        <v>0</v>
      </c>
      <c r="I1226" s="163"/>
      <c r="J1226" s="166"/>
      <c r="K1226" s="167"/>
      <c r="L1226" s="167">
        <v>709</v>
      </c>
      <c r="M1226" s="168">
        <v>46050</v>
      </c>
      <c r="N1226" s="169" t="s">
        <v>2206</v>
      </c>
      <c r="O1226" s="162" t="s">
        <v>336</v>
      </c>
    </row>
    <row r="1227" spans="1:15" x14ac:dyDescent="0.25">
      <c r="A1227" s="154">
        <v>1227</v>
      </c>
      <c r="B1227" s="162" t="s">
        <v>83</v>
      </c>
      <c r="C1227" s="163">
        <v>24829939</v>
      </c>
      <c r="D1227" s="164" t="s">
        <v>836</v>
      </c>
      <c r="E1227" s="165">
        <v>2777604</v>
      </c>
      <c r="F1227" s="165">
        <v>2777604</v>
      </c>
      <c r="G1227" s="165">
        <v>0</v>
      </c>
      <c r="H1227" s="165">
        <v>0</v>
      </c>
      <c r="I1227" s="163"/>
      <c r="J1227" s="166"/>
      <c r="K1227" s="167"/>
      <c r="L1227" s="167">
        <v>709</v>
      </c>
      <c r="M1227" s="168">
        <v>46050</v>
      </c>
      <c r="N1227" s="169" t="s">
        <v>2207</v>
      </c>
      <c r="O1227" s="162" t="s">
        <v>194</v>
      </c>
    </row>
    <row r="1228" spans="1:15" x14ac:dyDescent="0.25">
      <c r="A1228" s="154">
        <v>1228</v>
      </c>
      <c r="B1228" s="162" t="s">
        <v>84</v>
      </c>
      <c r="C1228" s="163">
        <v>101352213</v>
      </c>
      <c r="D1228" s="164" t="s">
        <v>836</v>
      </c>
      <c r="E1228" s="165">
        <v>8947000</v>
      </c>
      <c r="F1228" s="165">
        <v>895120</v>
      </c>
      <c r="G1228" s="165">
        <v>8051880</v>
      </c>
      <c r="H1228" s="165">
        <v>0</v>
      </c>
      <c r="I1228" s="163"/>
      <c r="J1228" s="166"/>
      <c r="K1228" s="167"/>
      <c r="L1228" s="167">
        <v>709</v>
      </c>
      <c r="M1228" s="168">
        <v>46050</v>
      </c>
      <c r="N1228" s="169" t="s">
        <v>2208</v>
      </c>
      <c r="O1228" s="162" t="s">
        <v>227</v>
      </c>
    </row>
    <row r="1229" spans="1:15" x14ac:dyDescent="0.25">
      <c r="A1229" s="154">
        <v>1229</v>
      </c>
      <c r="B1229" s="162" t="s">
        <v>84</v>
      </c>
      <c r="C1229" s="163">
        <v>101352213</v>
      </c>
      <c r="D1229" s="164" t="s">
        <v>836</v>
      </c>
      <c r="E1229" s="165">
        <v>3507245</v>
      </c>
      <c r="F1229" s="165">
        <v>140289</v>
      </c>
      <c r="G1229" s="165">
        <v>3366956</v>
      </c>
      <c r="H1229" s="165">
        <v>0</v>
      </c>
      <c r="I1229" s="163"/>
      <c r="J1229" s="166"/>
      <c r="K1229" s="167"/>
      <c r="L1229" s="167">
        <v>709</v>
      </c>
      <c r="M1229" s="168">
        <v>46050</v>
      </c>
      <c r="N1229" s="169" t="s">
        <v>2209</v>
      </c>
      <c r="O1229" s="162" t="s">
        <v>227</v>
      </c>
    </row>
    <row r="1230" spans="1:15" x14ac:dyDescent="0.25">
      <c r="A1230" s="154">
        <v>1230</v>
      </c>
      <c r="B1230" s="162" t="s">
        <v>84</v>
      </c>
      <c r="C1230" s="163">
        <v>101352213</v>
      </c>
      <c r="D1230" s="164" t="s">
        <v>836</v>
      </c>
      <c r="E1230" s="165">
        <v>7031500</v>
      </c>
      <c r="F1230" s="165">
        <v>703300</v>
      </c>
      <c r="G1230" s="165">
        <v>6328200</v>
      </c>
      <c r="H1230" s="165">
        <v>0</v>
      </c>
      <c r="I1230" s="163"/>
      <c r="J1230" s="166"/>
      <c r="K1230" s="167"/>
      <c r="L1230" s="167">
        <v>709</v>
      </c>
      <c r="M1230" s="168">
        <v>46050</v>
      </c>
      <c r="N1230" s="169" t="s">
        <v>2210</v>
      </c>
      <c r="O1230" s="162" t="s">
        <v>227</v>
      </c>
    </row>
    <row r="1231" spans="1:15" x14ac:dyDescent="0.25">
      <c r="A1231" s="154">
        <v>1231</v>
      </c>
      <c r="B1231" s="162" t="s">
        <v>84</v>
      </c>
      <c r="C1231" s="163">
        <v>101352213</v>
      </c>
      <c r="D1231" s="164" t="s">
        <v>836</v>
      </c>
      <c r="E1231" s="165">
        <v>243795</v>
      </c>
      <c r="F1231" s="165">
        <v>59727</v>
      </c>
      <c r="G1231" s="165">
        <v>184068</v>
      </c>
      <c r="H1231" s="165">
        <v>0</v>
      </c>
      <c r="I1231" s="163"/>
      <c r="J1231" s="166"/>
      <c r="K1231" s="167"/>
      <c r="L1231" s="167">
        <v>709</v>
      </c>
      <c r="M1231" s="168">
        <v>46050</v>
      </c>
      <c r="N1231" s="169" t="s">
        <v>2211</v>
      </c>
      <c r="O1231" s="162" t="s">
        <v>227</v>
      </c>
    </row>
    <row r="1232" spans="1:15" x14ac:dyDescent="0.25">
      <c r="A1232" s="154">
        <v>1232</v>
      </c>
      <c r="B1232" s="162" t="s">
        <v>84</v>
      </c>
      <c r="C1232" s="163">
        <v>101352213</v>
      </c>
      <c r="D1232" s="164" t="s">
        <v>836</v>
      </c>
      <c r="E1232" s="165">
        <v>831144</v>
      </c>
      <c r="F1232" s="165">
        <v>831144</v>
      </c>
      <c r="G1232" s="165">
        <v>0</v>
      </c>
      <c r="H1232" s="165">
        <v>0</v>
      </c>
      <c r="I1232" s="163"/>
      <c r="J1232" s="166"/>
      <c r="K1232" s="167"/>
      <c r="L1232" s="167">
        <v>709</v>
      </c>
      <c r="M1232" s="168">
        <v>46050</v>
      </c>
      <c r="N1232" s="169" t="s">
        <v>2212</v>
      </c>
      <c r="O1232" s="162" t="s">
        <v>241</v>
      </c>
    </row>
    <row r="1233" spans="1:15" x14ac:dyDescent="0.25">
      <c r="A1233" s="154">
        <v>1233</v>
      </c>
      <c r="B1233" s="162" t="s">
        <v>84</v>
      </c>
      <c r="C1233" s="163">
        <v>101352213</v>
      </c>
      <c r="D1233" s="164" t="s">
        <v>836</v>
      </c>
      <c r="E1233" s="165">
        <v>345516</v>
      </c>
      <c r="F1233" s="165">
        <v>0</v>
      </c>
      <c r="G1233" s="165">
        <v>345516</v>
      </c>
      <c r="H1233" s="165">
        <v>0</v>
      </c>
      <c r="I1233" s="163"/>
      <c r="J1233" s="166"/>
      <c r="K1233" s="167"/>
      <c r="L1233" s="167">
        <v>709</v>
      </c>
      <c r="M1233" s="168">
        <v>46050</v>
      </c>
      <c r="N1233" s="169" t="s">
        <v>2213</v>
      </c>
      <c r="O1233" s="162" t="s">
        <v>224</v>
      </c>
    </row>
    <row r="1234" spans="1:15" x14ac:dyDescent="0.25">
      <c r="A1234" s="154">
        <v>1234</v>
      </c>
      <c r="B1234" s="162" t="s">
        <v>84</v>
      </c>
      <c r="C1234" s="163">
        <v>101352213</v>
      </c>
      <c r="D1234" s="164" t="s">
        <v>836</v>
      </c>
      <c r="E1234" s="165">
        <v>345516</v>
      </c>
      <c r="F1234" s="165">
        <v>0</v>
      </c>
      <c r="G1234" s="165">
        <v>345516</v>
      </c>
      <c r="H1234" s="165">
        <v>0</v>
      </c>
      <c r="I1234" s="163"/>
      <c r="J1234" s="166"/>
      <c r="K1234" s="167"/>
      <c r="L1234" s="167">
        <v>709</v>
      </c>
      <c r="M1234" s="168">
        <v>46050</v>
      </c>
      <c r="N1234" s="169" t="s">
        <v>2213</v>
      </c>
      <c r="O1234" s="162" t="s">
        <v>224</v>
      </c>
    </row>
    <row r="1235" spans="1:15" x14ac:dyDescent="0.25">
      <c r="A1235" s="154">
        <v>1235</v>
      </c>
      <c r="B1235" s="162" t="s">
        <v>84</v>
      </c>
      <c r="C1235" s="163">
        <v>101352213</v>
      </c>
      <c r="D1235" s="164" t="s">
        <v>836</v>
      </c>
      <c r="E1235" s="165">
        <v>345516</v>
      </c>
      <c r="F1235" s="165">
        <v>0</v>
      </c>
      <c r="G1235" s="165">
        <v>345516</v>
      </c>
      <c r="H1235" s="165">
        <v>0</v>
      </c>
      <c r="I1235" s="163"/>
      <c r="J1235" s="166"/>
      <c r="K1235" s="167"/>
      <c r="L1235" s="167">
        <v>709</v>
      </c>
      <c r="M1235" s="168">
        <v>46050</v>
      </c>
      <c r="N1235" s="169" t="s">
        <v>2213</v>
      </c>
      <c r="O1235" s="162" t="s">
        <v>224</v>
      </c>
    </row>
    <row r="1236" spans="1:15" x14ac:dyDescent="0.25">
      <c r="A1236" s="154">
        <v>1236</v>
      </c>
      <c r="B1236" s="162" t="s">
        <v>84</v>
      </c>
      <c r="C1236" s="163">
        <v>101352213</v>
      </c>
      <c r="D1236" s="164" t="s">
        <v>836</v>
      </c>
      <c r="E1236" s="165">
        <v>172758</v>
      </c>
      <c r="F1236" s="165">
        <v>0</v>
      </c>
      <c r="G1236" s="165">
        <v>172758</v>
      </c>
      <c r="H1236" s="165">
        <v>0</v>
      </c>
      <c r="I1236" s="163"/>
      <c r="J1236" s="166"/>
      <c r="K1236" s="167"/>
      <c r="L1236" s="167">
        <v>709</v>
      </c>
      <c r="M1236" s="168">
        <v>46050</v>
      </c>
      <c r="N1236" s="169" t="s">
        <v>2213</v>
      </c>
      <c r="O1236" s="162" t="s">
        <v>224</v>
      </c>
    </row>
    <row r="1237" spans="1:15" x14ac:dyDescent="0.25">
      <c r="A1237" s="154">
        <v>1237</v>
      </c>
      <c r="B1237" s="162" t="s">
        <v>85</v>
      </c>
      <c r="C1237" s="163">
        <v>2083997</v>
      </c>
      <c r="D1237" s="164" t="s">
        <v>836</v>
      </c>
      <c r="E1237" s="165">
        <v>1927200</v>
      </c>
      <c r="F1237" s="165">
        <v>0</v>
      </c>
      <c r="G1237" s="165">
        <v>1927200</v>
      </c>
      <c r="H1237" s="165">
        <v>0</v>
      </c>
      <c r="I1237" s="163"/>
      <c r="J1237" s="166"/>
      <c r="K1237" s="167"/>
      <c r="L1237" s="167">
        <v>709</v>
      </c>
      <c r="M1237" s="168">
        <v>46050</v>
      </c>
      <c r="N1237" s="169" t="s">
        <v>2205</v>
      </c>
      <c r="O1237" s="162" t="s">
        <v>215</v>
      </c>
    </row>
    <row r="1238" spans="1:15" x14ac:dyDescent="0.25">
      <c r="A1238" s="154">
        <v>1238</v>
      </c>
      <c r="B1238" s="162" t="s">
        <v>86</v>
      </c>
      <c r="C1238" s="163">
        <v>82085</v>
      </c>
      <c r="D1238" s="164" t="s">
        <v>836</v>
      </c>
      <c r="E1238" s="165">
        <v>6685</v>
      </c>
      <c r="F1238" s="165">
        <v>0</v>
      </c>
      <c r="G1238" s="165">
        <v>6685</v>
      </c>
      <c r="H1238" s="165">
        <v>0</v>
      </c>
      <c r="I1238" s="163"/>
      <c r="J1238" s="166"/>
      <c r="K1238" s="167"/>
      <c r="L1238" s="167">
        <v>709</v>
      </c>
      <c r="M1238" s="168">
        <v>46050</v>
      </c>
      <c r="N1238" s="169" t="s">
        <v>2152</v>
      </c>
      <c r="O1238" s="162" t="s">
        <v>185</v>
      </c>
    </row>
    <row r="1239" spans="1:15" x14ac:dyDescent="0.25">
      <c r="A1239" s="154">
        <v>1239</v>
      </c>
      <c r="B1239" s="162" t="s">
        <v>87</v>
      </c>
      <c r="C1239" s="163">
        <v>106697</v>
      </c>
      <c r="D1239" s="164" t="s">
        <v>836</v>
      </c>
      <c r="E1239" s="165">
        <v>31297</v>
      </c>
      <c r="F1239" s="165">
        <v>0</v>
      </c>
      <c r="G1239" s="165">
        <v>31297</v>
      </c>
      <c r="H1239" s="165">
        <v>0</v>
      </c>
      <c r="I1239" s="163"/>
      <c r="J1239" s="166"/>
      <c r="K1239" s="167"/>
      <c r="L1239" s="167">
        <v>709</v>
      </c>
      <c r="M1239" s="168">
        <v>46050</v>
      </c>
      <c r="N1239" s="169" t="s">
        <v>2152</v>
      </c>
      <c r="O1239" s="162" t="s">
        <v>185</v>
      </c>
    </row>
    <row r="1240" spans="1:15" x14ac:dyDescent="0.25">
      <c r="A1240" s="154">
        <v>1240</v>
      </c>
      <c r="B1240" s="162" t="s">
        <v>88</v>
      </c>
      <c r="C1240" s="163">
        <v>82085</v>
      </c>
      <c r="D1240" s="164" t="s">
        <v>836</v>
      </c>
      <c r="E1240" s="165">
        <v>6685</v>
      </c>
      <c r="F1240" s="165">
        <v>0</v>
      </c>
      <c r="G1240" s="165">
        <v>6685</v>
      </c>
      <c r="H1240" s="165">
        <v>0</v>
      </c>
      <c r="I1240" s="163"/>
      <c r="J1240" s="166"/>
      <c r="K1240" s="167"/>
      <c r="L1240" s="167">
        <v>709</v>
      </c>
      <c r="M1240" s="168">
        <v>46050</v>
      </c>
      <c r="N1240" s="169" t="s">
        <v>2152</v>
      </c>
      <c r="O1240" s="162" t="s">
        <v>185</v>
      </c>
    </row>
    <row r="1241" spans="1:15" x14ac:dyDescent="0.25">
      <c r="A1241" s="154">
        <v>1241</v>
      </c>
      <c r="B1241" s="162" t="s">
        <v>89</v>
      </c>
      <c r="C1241" s="163">
        <v>106697</v>
      </c>
      <c r="D1241" s="164" t="s">
        <v>836</v>
      </c>
      <c r="E1241" s="165">
        <v>31297</v>
      </c>
      <c r="F1241" s="165">
        <v>0</v>
      </c>
      <c r="G1241" s="165">
        <v>31297</v>
      </c>
      <c r="H1241" s="165">
        <v>0</v>
      </c>
      <c r="I1241" s="163"/>
      <c r="J1241" s="166"/>
      <c r="K1241" s="167"/>
      <c r="L1241" s="167">
        <v>709</v>
      </c>
      <c r="M1241" s="168">
        <v>46050</v>
      </c>
      <c r="N1241" s="169" t="s">
        <v>2152</v>
      </c>
      <c r="O1241" s="162" t="s">
        <v>185</v>
      </c>
    </row>
    <row r="1242" spans="1:15" x14ac:dyDescent="0.25">
      <c r="A1242" s="154">
        <v>1242</v>
      </c>
      <c r="B1242" s="162" t="s">
        <v>90</v>
      </c>
      <c r="C1242" s="163">
        <v>231405</v>
      </c>
      <c r="D1242" s="164" t="s">
        <v>836</v>
      </c>
      <c r="E1242" s="165">
        <v>31297</v>
      </c>
      <c r="F1242" s="165">
        <v>0</v>
      </c>
      <c r="G1242" s="165">
        <v>31297</v>
      </c>
      <c r="H1242" s="165">
        <v>0</v>
      </c>
      <c r="I1242" s="163"/>
      <c r="J1242" s="166"/>
      <c r="K1242" s="167"/>
      <c r="L1242" s="167">
        <v>709</v>
      </c>
      <c r="M1242" s="168">
        <v>46050</v>
      </c>
      <c r="N1242" s="169" t="s">
        <v>2152</v>
      </c>
      <c r="O1242" s="162" t="s">
        <v>185</v>
      </c>
    </row>
    <row r="1243" spans="1:15" x14ac:dyDescent="0.25">
      <c r="A1243" s="154">
        <v>1243</v>
      </c>
      <c r="B1243" s="162" t="s">
        <v>91</v>
      </c>
      <c r="C1243" s="163">
        <v>17268985</v>
      </c>
      <c r="D1243" s="164" t="s">
        <v>836</v>
      </c>
      <c r="E1243" s="165">
        <v>1788600</v>
      </c>
      <c r="F1243" s="165">
        <v>1125000</v>
      </c>
      <c r="G1243" s="165">
        <v>663600</v>
      </c>
      <c r="H1243" s="165">
        <v>0</v>
      </c>
      <c r="I1243" s="163"/>
      <c r="J1243" s="166"/>
      <c r="K1243" s="167"/>
      <c r="L1243" s="167">
        <v>709</v>
      </c>
      <c r="M1243" s="168">
        <v>46050</v>
      </c>
      <c r="N1243" s="169" t="s">
        <v>2214</v>
      </c>
      <c r="O1243" s="162" t="s">
        <v>309</v>
      </c>
    </row>
    <row r="1244" spans="1:15" x14ac:dyDescent="0.25">
      <c r="A1244" s="154">
        <v>1244</v>
      </c>
      <c r="B1244" s="162" t="s">
        <v>91</v>
      </c>
      <c r="C1244" s="163">
        <v>17268985</v>
      </c>
      <c r="D1244" s="164" t="s">
        <v>836</v>
      </c>
      <c r="E1244" s="165">
        <v>899300</v>
      </c>
      <c r="F1244" s="165">
        <v>479700</v>
      </c>
      <c r="G1244" s="165">
        <v>419600</v>
      </c>
      <c r="H1244" s="165">
        <v>0</v>
      </c>
      <c r="I1244" s="163"/>
      <c r="J1244" s="166"/>
      <c r="K1244" s="167"/>
      <c r="L1244" s="167">
        <v>709</v>
      </c>
      <c r="M1244" s="168">
        <v>46050</v>
      </c>
      <c r="N1244" s="169" t="s">
        <v>2215</v>
      </c>
      <c r="O1244" s="162" t="s">
        <v>309</v>
      </c>
    </row>
    <row r="1245" spans="1:15" x14ac:dyDescent="0.25">
      <c r="A1245" s="154">
        <v>1245</v>
      </c>
      <c r="B1245" s="162" t="s">
        <v>91</v>
      </c>
      <c r="C1245" s="163">
        <v>17268985</v>
      </c>
      <c r="D1245" s="164" t="s">
        <v>836</v>
      </c>
      <c r="E1245" s="165">
        <v>127100</v>
      </c>
      <c r="F1245" s="165">
        <v>79940</v>
      </c>
      <c r="G1245" s="165">
        <v>47160</v>
      </c>
      <c r="H1245" s="165">
        <v>0</v>
      </c>
      <c r="I1245" s="163"/>
      <c r="J1245" s="166"/>
      <c r="K1245" s="167"/>
      <c r="L1245" s="167">
        <v>709</v>
      </c>
      <c r="M1245" s="168">
        <v>46050</v>
      </c>
      <c r="N1245" s="169" t="s">
        <v>2216</v>
      </c>
      <c r="O1245" s="162" t="s">
        <v>309</v>
      </c>
    </row>
    <row r="1246" spans="1:15" x14ac:dyDescent="0.25">
      <c r="A1246" s="154">
        <v>1246</v>
      </c>
      <c r="B1246" s="162" t="s">
        <v>92</v>
      </c>
      <c r="C1246" s="163">
        <v>105004293</v>
      </c>
      <c r="D1246" s="164" t="s">
        <v>836</v>
      </c>
      <c r="E1246" s="165">
        <v>145677</v>
      </c>
      <c r="F1246" s="165">
        <v>64646</v>
      </c>
      <c r="G1246" s="165">
        <v>81031</v>
      </c>
      <c r="H1246" s="165">
        <v>0</v>
      </c>
      <c r="I1246" s="163"/>
      <c r="J1246" s="166"/>
      <c r="K1246" s="167"/>
      <c r="L1246" s="167">
        <v>709</v>
      </c>
      <c r="M1246" s="168">
        <v>46050</v>
      </c>
      <c r="N1246" s="169" t="s">
        <v>2217</v>
      </c>
      <c r="O1246" s="162" t="s">
        <v>198</v>
      </c>
    </row>
    <row r="1247" spans="1:15" x14ac:dyDescent="0.25">
      <c r="A1247" s="154">
        <v>1247</v>
      </c>
      <c r="B1247" s="162" t="s">
        <v>92</v>
      </c>
      <c r="C1247" s="163">
        <v>105004293</v>
      </c>
      <c r="D1247" s="164" t="s">
        <v>836</v>
      </c>
      <c r="E1247" s="165">
        <v>145677</v>
      </c>
      <c r="F1247" s="165">
        <v>64646</v>
      </c>
      <c r="G1247" s="165">
        <v>81031</v>
      </c>
      <c r="H1247" s="165">
        <v>0</v>
      </c>
      <c r="I1247" s="163"/>
      <c r="J1247" s="166"/>
      <c r="K1247" s="167"/>
      <c r="L1247" s="167">
        <v>709</v>
      </c>
      <c r="M1247" s="168">
        <v>46050</v>
      </c>
      <c r="N1247" s="169" t="s">
        <v>2217</v>
      </c>
      <c r="O1247" s="162" t="s">
        <v>198</v>
      </c>
    </row>
    <row r="1248" spans="1:15" x14ac:dyDescent="0.25">
      <c r="A1248" s="154">
        <v>1248</v>
      </c>
      <c r="B1248" s="162" t="s">
        <v>92</v>
      </c>
      <c r="C1248" s="163">
        <v>105004293</v>
      </c>
      <c r="D1248" s="164" t="s">
        <v>836</v>
      </c>
      <c r="E1248" s="165">
        <v>145677</v>
      </c>
      <c r="F1248" s="165">
        <v>64646</v>
      </c>
      <c r="G1248" s="165">
        <v>81031</v>
      </c>
      <c r="H1248" s="165">
        <v>0</v>
      </c>
      <c r="I1248" s="163"/>
      <c r="J1248" s="166"/>
      <c r="K1248" s="167"/>
      <c r="L1248" s="167">
        <v>709</v>
      </c>
      <c r="M1248" s="168">
        <v>46050</v>
      </c>
      <c r="N1248" s="169" t="s">
        <v>2217</v>
      </c>
      <c r="O1248" s="162" t="s">
        <v>198</v>
      </c>
    </row>
    <row r="1249" spans="1:15" x14ac:dyDescent="0.25">
      <c r="A1249" s="154">
        <v>1249</v>
      </c>
      <c r="B1249" s="162" t="s">
        <v>92</v>
      </c>
      <c r="C1249" s="163">
        <v>105004293</v>
      </c>
      <c r="D1249" s="164" t="s">
        <v>836</v>
      </c>
      <c r="E1249" s="165">
        <v>145677</v>
      </c>
      <c r="F1249" s="165">
        <v>64646</v>
      </c>
      <c r="G1249" s="165">
        <v>81031</v>
      </c>
      <c r="H1249" s="165">
        <v>0</v>
      </c>
      <c r="I1249" s="163"/>
      <c r="J1249" s="166"/>
      <c r="K1249" s="167"/>
      <c r="L1249" s="167">
        <v>709</v>
      </c>
      <c r="M1249" s="168">
        <v>46050</v>
      </c>
      <c r="N1249" s="169" t="s">
        <v>2217</v>
      </c>
      <c r="O1249" s="162" t="s">
        <v>198</v>
      </c>
    </row>
    <row r="1250" spans="1:15" x14ac:dyDescent="0.25">
      <c r="A1250" s="154">
        <v>1250</v>
      </c>
      <c r="B1250" s="162" t="s">
        <v>92</v>
      </c>
      <c r="C1250" s="163">
        <v>105004293</v>
      </c>
      <c r="D1250" s="164" t="s">
        <v>836</v>
      </c>
      <c r="E1250" s="165">
        <v>145677</v>
      </c>
      <c r="F1250" s="165">
        <v>64646</v>
      </c>
      <c r="G1250" s="165">
        <v>81031</v>
      </c>
      <c r="H1250" s="165">
        <v>0</v>
      </c>
      <c r="I1250" s="163"/>
      <c r="J1250" s="166"/>
      <c r="K1250" s="167"/>
      <c r="L1250" s="167">
        <v>709</v>
      </c>
      <c r="M1250" s="168">
        <v>46050</v>
      </c>
      <c r="N1250" s="169" t="s">
        <v>2217</v>
      </c>
      <c r="O1250" s="162" t="s">
        <v>198</v>
      </c>
    </row>
    <row r="1251" spans="1:15" x14ac:dyDescent="0.25">
      <c r="A1251" s="154">
        <v>1251</v>
      </c>
      <c r="B1251" s="162" t="s">
        <v>92</v>
      </c>
      <c r="C1251" s="163">
        <v>105004293</v>
      </c>
      <c r="D1251" s="164" t="s">
        <v>836</v>
      </c>
      <c r="E1251" s="165">
        <v>562692</v>
      </c>
      <c r="F1251" s="165">
        <v>0</v>
      </c>
      <c r="G1251" s="165">
        <v>562692</v>
      </c>
      <c r="H1251" s="165">
        <v>0</v>
      </c>
      <c r="I1251" s="163"/>
      <c r="J1251" s="166"/>
      <c r="K1251" s="167"/>
      <c r="L1251" s="167">
        <v>709</v>
      </c>
      <c r="M1251" s="168">
        <v>46050</v>
      </c>
      <c r="N1251" s="169" t="s">
        <v>2218</v>
      </c>
      <c r="O1251" s="162" t="s">
        <v>372</v>
      </c>
    </row>
    <row r="1252" spans="1:15" x14ac:dyDescent="0.25">
      <c r="A1252" s="154">
        <v>1252</v>
      </c>
      <c r="B1252" s="162" t="s">
        <v>92</v>
      </c>
      <c r="C1252" s="163">
        <v>105004293</v>
      </c>
      <c r="D1252" s="164" t="s">
        <v>836</v>
      </c>
      <c r="E1252" s="165">
        <v>611651</v>
      </c>
      <c r="F1252" s="165">
        <v>611651</v>
      </c>
      <c r="G1252" s="165">
        <v>0</v>
      </c>
      <c r="H1252" s="165">
        <v>0</v>
      </c>
      <c r="I1252" s="163"/>
      <c r="J1252" s="166"/>
      <c r="K1252" s="167"/>
      <c r="L1252" s="167">
        <v>709</v>
      </c>
      <c r="M1252" s="168">
        <v>46050</v>
      </c>
      <c r="N1252" s="169" t="s">
        <v>2219</v>
      </c>
      <c r="O1252" s="162" t="s">
        <v>208</v>
      </c>
    </row>
    <row r="1253" spans="1:15" x14ac:dyDescent="0.25">
      <c r="A1253" s="154">
        <v>1253</v>
      </c>
      <c r="B1253" s="162" t="s">
        <v>93</v>
      </c>
      <c r="C1253" s="163">
        <v>21659339</v>
      </c>
      <c r="D1253" s="164" t="s">
        <v>836</v>
      </c>
      <c r="E1253" s="165">
        <v>76988</v>
      </c>
      <c r="F1253" s="165">
        <v>0</v>
      </c>
      <c r="G1253" s="165">
        <v>76988</v>
      </c>
      <c r="H1253" s="165">
        <v>0</v>
      </c>
      <c r="I1253" s="163"/>
      <c r="J1253" s="166"/>
      <c r="K1253" s="167"/>
      <c r="L1253" s="167">
        <v>709</v>
      </c>
      <c r="M1253" s="168">
        <v>46050</v>
      </c>
      <c r="N1253" s="169" t="s">
        <v>2220</v>
      </c>
      <c r="O1253" s="162" t="s">
        <v>198</v>
      </c>
    </row>
    <row r="1254" spans="1:15" x14ac:dyDescent="0.25">
      <c r="A1254" s="154">
        <v>1254</v>
      </c>
      <c r="B1254" s="162" t="s">
        <v>93</v>
      </c>
      <c r="C1254" s="163">
        <v>21659339</v>
      </c>
      <c r="D1254" s="164" t="s">
        <v>836</v>
      </c>
      <c r="E1254" s="165">
        <v>534000</v>
      </c>
      <c r="F1254" s="165">
        <v>0</v>
      </c>
      <c r="G1254" s="165">
        <v>534000</v>
      </c>
      <c r="H1254" s="165">
        <v>0</v>
      </c>
      <c r="I1254" s="163"/>
      <c r="J1254" s="166"/>
      <c r="K1254" s="167"/>
      <c r="L1254" s="167">
        <v>709</v>
      </c>
      <c r="M1254" s="168">
        <v>46050</v>
      </c>
      <c r="N1254" s="169" t="s">
        <v>2152</v>
      </c>
      <c r="O1254" s="162" t="s">
        <v>201</v>
      </c>
    </row>
    <row r="1255" spans="1:15" x14ac:dyDescent="0.25">
      <c r="A1255" s="154">
        <v>1255</v>
      </c>
      <c r="B1255" s="162" t="s">
        <v>93</v>
      </c>
      <c r="C1255" s="163">
        <v>21659339</v>
      </c>
      <c r="D1255" s="164" t="s">
        <v>836</v>
      </c>
      <c r="E1255" s="165">
        <v>131148</v>
      </c>
      <c r="F1255" s="165">
        <v>0</v>
      </c>
      <c r="G1255" s="165">
        <v>131148</v>
      </c>
      <c r="H1255" s="165">
        <v>0</v>
      </c>
      <c r="I1255" s="163"/>
      <c r="J1255" s="166"/>
      <c r="K1255" s="167"/>
      <c r="L1255" s="167">
        <v>709</v>
      </c>
      <c r="M1255" s="168">
        <v>46050</v>
      </c>
      <c r="N1255" s="169" t="s">
        <v>2152</v>
      </c>
      <c r="O1255" s="162" t="s">
        <v>212</v>
      </c>
    </row>
    <row r="1256" spans="1:15" x14ac:dyDescent="0.25">
      <c r="A1256" s="154">
        <v>1256</v>
      </c>
      <c r="B1256" s="162" t="s">
        <v>93</v>
      </c>
      <c r="C1256" s="163">
        <v>21659339</v>
      </c>
      <c r="D1256" s="164" t="s">
        <v>836</v>
      </c>
      <c r="E1256" s="165">
        <v>131148</v>
      </c>
      <c r="F1256" s="165">
        <v>0</v>
      </c>
      <c r="G1256" s="165">
        <v>131148</v>
      </c>
      <c r="H1256" s="165">
        <v>0</v>
      </c>
      <c r="I1256" s="163"/>
      <c r="J1256" s="166"/>
      <c r="K1256" s="167"/>
      <c r="L1256" s="167">
        <v>709</v>
      </c>
      <c r="M1256" s="168">
        <v>46050</v>
      </c>
      <c r="N1256" s="169" t="s">
        <v>2152</v>
      </c>
      <c r="O1256" s="162" t="s">
        <v>212</v>
      </c>
    </row>
    <row r="1257" spans="1:15" x14ac:dyDescent="0.25">
      <c r="A1257" s="154">
        <v>1257</v>
      </c>
      <c r="B1257" s="162" t="s">
        <v>94</v>
      </c>
      <c r="C1257" s="163">
        <v>10128740</v>
      </c>
      <c r="D1257" s="164" t="s">
        <v>836</v>
      </c>
      <c r="E1257" s="165">
        <v>100000</v>
      </c>
      <c r="F1257" s="165">
        <v>0</v>
      </c>
      <c r="G1257" s="165">
        <v>100000</v>
      </c>
      <c r="H1257" s="165">
        <v>0</v>
      </c>
      <c r="I1257" s="163"/>
      <c r="J1257" s="166"/>
      <c r="K1257" s="167"/>
      <c r="L1257" s="167">
        <v>709</v>
      </c>
      <c r="M1257" s="168">
        <v>46050</v>
      </c>
      <c r="N1257" s="169" t="s">
        <v>2152</v>
      </c>
      <c r="O1257" s="162" t="s">
        <v>212</v>
      </c>
    </row>
    <row r="1258" spans="1:15" x14ac:dyDescent="0.25">
      <c r="A1258" s="154">
        <v>1258</v>
      </c>
      <c r="B1258" s="162" t="s">
        <v>95</v>
      </c>
      <c r="C1258" s="163">
        <v>38909145</v>
      </c>
      <c r="D1258" s="164" t="s">
        <v>836</v>
      </c>
      <c r="E1258" s="165">
        <v>3188640</v>
      </c>
      <c r="F1258" s="165">
        <v>0</v>
      </c>
      <c r="G1258" s="165">
        <v>3188640</v>
      </c>
      <c r="H1258" s="165">
        <v>0</v>
      </c>
      <c r="I1258" s="163"/>
      <c r="J1258" s="166"/>
      <c r="K1258" s="167"/>
      <c r="L1258" s="167">
        <v>709</v>
      </c>
      <c r="M1258" s="168">
        <v>46050</v>
      </c>
      <c r="N1258" s="169" t="s">
        <v>2221</v>
      </c>
      <c r="O1258" s="162" t="s">
        <v>194</v>
      </c>
    </row>
    <row r="1259" spans="1:15" x14ac:dyDescent="0.25">
      <c r="A1259" s="154">
        <v>1259</v>
      </c>
      <c r="B1259" s="162" t="s">
        <v>96</v>
      </c>
      <c r="C1259" s="163">
        <v>134660649</v>
      </c>
      <c r="D1259" s="164" t="s">
        <v>836</v>
      </c>
      <c r="E1259" s="165">
        <v>121948</v>
      </c>
      <c r="F1259" s="165">
        <v>0</v>
      </c>
      <c r="G1259" s="165">
        <v>121948</v>
      </c>
      <c r="H1259" s="165">
        <v>0</v>
      </c>
      <c r="I1259" s="163"/>
      <c r="J1259" s="166"/>
      <c r="K1259" s="167"/>
      <c r="L1259" s="167">
        <v>709</v>
      </c>
      <c r="M1259" s="168">
        <v>46050</v>
      </c>
      <c r="N1259" s="169" t="s">
        <v>2152</v>
      </c>
      <c r="O1259" s="162" t="s">
        <v>212</v>
      </c>
    </row>
    <row r="1260" spans="1:15" x14ac:dyDescent="0.25">
      <c r="A1260" s="154">
        <v>1260</v>
      </c>
      <c r="B1260" s="162" t="s">
        <v>96</v>
      </c>
      <c r="C1260" s="163">
        <v>134660649</v>
      </c>
      <c r="D1260" s="164" t="s">
        <v>836</v>
      </c>
      <c r="E1260" s="165">
        <v>121948</v>
      </c>
      <c r="F1260" s="165">
        <v>0</v>
      </c>
      <c r="G1260" s="165">
        <v>121948</v>
      </c>
      <c r="H1260" s="165">
        <v>0</v>
      </c>
      <c r="I1260" s="163"/>
      <c r="J1260" s="166"/>
      <c r="K1260" s="167"/>
      <c r="L1260" s="167">
        <v>709</v>
      </c>
      <c r="M1260" s="168">
        <v>46050</v>
      </c>
      <c r="N1260" s="169" t="s">
        <v>2152</v>
      </c>
      <c r="O1260" s="162" t="s">
        <v>212</v>
      </c>
    </row>
    <row r="1261" spans="1:15" x14ac:dyDescent="0.25">
      <c r="A1261" s="154">
        <v>1261</v>
      </c>
      <c r="B1261" s="162" t="s">
        <v>96</v>
      </c>
      <c r="C1261" s="163">
        <v>134660649</v>
      </c>
      <c r="D1261" s="164" t="s">
        <v>836</v>
      </c>
      <c r="E1261" s="165">
        <v>121948</v>
      </c>
      <c r="F1261" s="165">
        <v>0</v>
      </c>
      <c r="G1261" s="165">
        <v>121948</v>
      </c>
      <c r="H1261" s="165">
        <v>0</v>
      </c>
      <c r="I1261" s="163"/>
      <c r="J1261" s="166"/>
      <c r="K1261" s="167"/>
      <c r="L1261" s="167">
        <v>709</v>
      </c>
      <c r="M1261" s="168">
        <v>46050</v>
      </c>
      <c r="N1261" s="169" t="s">
        <v>2152</v>
      </c>
      <c r="O1261" s="162" t="s">
        <v>212</v>
      </c>
    </row>
    <row r="1262" spans="1:15" x14ac:dyDescent="0.25">
      <c r="A1262" s="154">
        <v>1262</v>
      </c>
      <c r="B1262" s="162" t="s">
        <v>96</v>
      </c>
      <c r="C1262" s="163">
        <v>134660649</v>
      </c>
      <c r="D1262" s="164" t="s">
        <v>836</v>
      </c>
      <c r="E1262" s="165">
        <v>121948</v>
      </c>
      <c r="F1262" s="165">
        <v>0</v>
      </c>
      <c r="G1262" s="165">
        <v>121948</v>
      </c>
      <c r="H1262" s="165">
        <v>0</v>
      </c>
      <c r="I1262" s="163"/>
      <c r="J1262" s="166"/>
      <c r="K1262" s="167"/>
      <c r="L1262" s="167">
        <v>709</v>
      </c>
      <c r="M1262" s="168">
        <v>46050</v>
      </c>
      <c r="N1262" s="169" t="s">
        <v>2152</v>
      </c>
      <c r="O1262" s="162" t="s">
        <v>212</v>
      </c>
    </row>
    <row r="1263" spans="1:15" x14ac:dyDescent="0.25">
      <c r="A1263" s="154">
        <v>1263</v>
      </c>
      <c r="B1263" s="162" t="s">
        <v>96</v>
      </c>
      <c r="C1263" s="163">
        <v>134660649</v>
      </c>
      <c r="D1263" s="164" t="s">
        <v>836</v>
      </c>
      <c r="E1263" s="165">
        <v>121948</v>
      </c>
      <c r="F1263" s="165">
        <v>0</v>
      </c>
      <c r="G1263" s="165">
        <v>121948</v>
      </c>
      <c r="H1263" s="165">
        <v>0</v>
      </c>
      <c r="I1263" s="163"/>
      <c r="J1263" s="166"/>
      <c r="K1263" s="167"/>
      <c r="L1263" s="167">
        <v>709</v>
      </c>
      <c r="M1263" s="168">
        <v>46050</v>
      </c>
      <c r="N1263" s="169" t="s">
        <v>2152</v>
      </c>
      <c r="O1263" s="162" t="s">
        <v>212</v>
      </c>
    </row>
    <row r="1264" spans="1:15" x14ac:dyDescent="0.25">
      <c r="A1264" s="154">
        <v>1264</v>
      </c>
      <c r="B1264" s="162" t="s">
        <v>96</v>
      </c>
      <c r="C1264" s="163">
        <v>134660649</v>
      </c>
      <c r="D1264" s="164" t="s">
        <v>836</v>
      </c>
      <c r="E1264" s="165">
        <v>121948</v>
      </c>
      <c r="F1264" s="165">
        <v>0</v>
      </c>
      <c r="G1264" s="165">
        <v>121948</v>
      </c>
      <c r="H1264" s="165">
        <v>0</v>
      </c>
      <c r="I1264" s="163"/>
      <c r="J1264" s="166"/>
      <c r="K1264" s="167"/>
      <c r="L1264" s="167">
        <v>709</v>
      </c>
      <c r="M1264" s="168">
        <v>46050</v>
      </c>
      <c r="N1264" s="169" t="s">
        <v>2152</v>
      </c>
      <c r="O1264" s="162" t="s">
        <v>212</v>
      </c>
    </row>
    <row r="1265" spans="1:15" x14ac:dyDescent="0.25">
      <c r="A1265" s="154">
        <v>1265</v>
      </c>
      <c r="B1265" s="162" t="s">
        <v>96</v>
      </c>
      <c r="C1265" s="163">
        <v>134660649</v>
      </c>
      <c r="D1265" s="164" t="s">
        <v>836</v>
      </c>
      <c r="E1265" s="165">
        <v>57426</v>
      </c>
      <c r="F1265" s="165">
        <v>0</v>
      </c>
      <c r="G1265" s="165">
        <v>57426</v>
      </c>
      <c r="H1265" s="165">
        <v>0</v>
      </c>
      <c r="I1265" s="163"/>
      <c r="J1265" s="166"/>
      <c r="K1265" s="167"/>
      <c r="L1265" s="167">
        <v>709</v>
      </c>
      <c r="M1265" s="168">
        <v>46050</v>
      </c>
      <c r="N1265" s="169" t="s">
        <v>2152</v>
      </c>
      <c r="O1265" s="162" t="s">
        <v>212</v>
      </c>
    </row>
    <row r="1266" spans="1:15" x14ac:dyDescent="0.25">
      <c r="A1266" s="154">
        <v>1266</v>
      </c>
      <c r="B1266" s="162" t="s">
        <v>97</v>
      </c>
      <c r="C1266" s="163">
        <v>87702</v>
      </c>
      <c r="D1266" s="164" t="s">
        <v>836</v>
      </c>
      <c r="E1266" s="165">
        <v>87702</v>
      </c>
      <c r="F1266" s="165">
        <v>0</v>
      </c>
      <c r="G1266" s="165">
        <v>87702</v>
      </c>
      <c r="H1266" s="165">
        <v>0</v>
      </c>
      <c r="I1266" s="163"/>
      <c r="J1266" s="166"/>
      <c r="K1266" s="167"/>
      <c r="L1266" s="167">
        <v>709</v>
      </c>
      <c r="M1266" s="168">
        <v>46050</v>
      </c>
      <c r="N1266" s="169" t="s">
        <v>2222</v>
      </c>
      <c r="O1266" s="162" t="s">
        <v>237</v>
      </c>
    </row>
    <row r="1267" spans="1:15" x14ac:dyDescent="0.25">
      <c r="A1267" s="154">
        <v>1267</v>
      </c>
      <c r="B1267" s="162" t="s">
        <v>98</v>
      </c>
      <c r="C1267" s="163">
        <v>401149</v>
      </c>
      <c r="D1267" s="164" t="s">
        <v>836</v>
      </c>
      <c r="E1267" s="165">
        <v>65926</v>
      </c>
      <c r="F1267" s="165">
        <v>0</v>
      </c>
      <c r="G1267" s="165">
        <v>65926</v>
      </c>
      <c r="H1267" s="165">
        <v>0</v>
      </c>
      <c r="I1267" s="163"/>
      <c r="J1267" s="166"/>
      <c r="K1267" s="167"/>
      <c r="L1267" s="167">
        <v>709</v>
      </c>
      <c r="M1267" s="168">
        <v>46050</v>
      </c>
      <c r="N1267" s="169" t="s">
        <v>2222</v>
      </c>
      <c r="O1267" s="162" t="s">
        <v>212</v>
      </c>
    </row>
    <row r="1268" spans="1:15" x14ac:dyDescent="0.25">
      <c r="A1268" s="154">
        <v>1268</v>
      </c>
      <c r="B1268" s="162" t="s">
        <v>99</v>
      </c>
      <c r="C1268" s="163">
        <v>9298784</v>
      </c>
      <c r="D1268" s="164" t="s">
        <v>836</v>
      </c>
      <c r="E1268" s="165">
        <v>309000</v>
      </c>
      <c r="F1268" s="165">
        <v>309000</v>
      </c>
      <c r="G1268" s="165">
        <v>0</v>
      </c>
      <c r="H1268" s="165">
        <v>0</v>
      </c>
      <c r="I1268" s="163"/>
      <c r="J1268" s="166"/>
      <c r="K1268" s="167"/>
      <c r="L1268" s="167">
        <v>709</v>
      </c>
      <c r="M1268" s="168">
        <v>46050</v>
      </c>
      <c r="N1268" s="169" t="s">
        <v>2223</v>
      </c>
      <c r="O1268" s="162" t="s">
        <v>303</v>
      </c>
    </row>
    <row r="1269" spans="1:15" x14ac:dyDescent="0.25">
      <c r="A1269" s="154">
        <v>1269</v>
      </c>
      <c r="B1269" s="162" t="s">
        <v>99</v>
      </c>
      <c r="C1269" s="163">
        <v>9298784</v>
      </c>
      <c r="D1269" s="164" t="s">
        <v>836</v>
      </c>
      <c r="E1269" s="165">
        <v>30200</v>
      </c>
      <c r="F1269" s="165">
        <v>30200</v>
      </c>
      <c r="G1269" s="165">
        <v>0</v>
      </c>
      <c r="H1269" s="165">
        <v>0</v>
      </c>
      <c r="I1269" s="163"/>
      <c r="J1269" s="166"/>
      <c r="K1269" s="167"/>
      <c r="L1269" s="167">
        <v>709</v>
      </c>
      <c r="M1269" s="168">
        <v>46050</v>
      </c>
      <c r="N1269" s="169" t="s">
        <v>2224</v>
      </c>
      <c r="O1269" s="162" t="s">
        <v>303</v>
      </c>
    </row>
    <row r="1270" spans="1:15" x14ac:dyDescent="0.25">
      <c r="A1270" s="154">
        <v>1270</v>
      </c>
      <c r="B1270" s="162" t="s">
        <v>100</v>
      </c>
      <c r="C1270" s="163">
        <v>110200305</v>
      </c>
      <c r="D1270" s="164" t="s">
        <v>836</v>
      </c>
      <c r="E1270" s="165">
        <v>108024</v>
      </c>
      <c r="F1270" s="165">
        <v>108024</v>
      </c>
      <c r="G1270" s="165">
        <v>0</v>
      </c>
      <c r="H1270" s="165">
        <v>0</v>
      </c>
      <c r="I1270" s="163"/>
      <c r="J1270" s="166"/>
      <c r="K1270" s="167"/>
      <c r="L1270" s="167">
        <v>709</v>
      </c>
      <c r="M1270" s="168">
        <v>46050</v>
      </c>
      <c r="N1270" s="169" t="s">
        <v>2225</v>
      </c>
      <c r="O1270" s="162" t="s">
        <v>260</v>
      </c>
    </row>
    <row r="1271" spans="1:15" x14ac:dyDescent="0.25">
      <c r="A1271" s="154">
        <v>1271</v>
      </c>
      <c r="B1271" s="162" t="s">
        <v>100</v>
      </c>
      <c r="C1271" s="163">
        <v>110200305</v>
      </c>
      <c r="D1271" s="164" t="s">
        <v>836</v>
      </c>
      <c r="E1271" s="165">
        <v>2727142</v>
      </c>
      <c r="F1271" s="165">
        <v>0</v>
      </c>
      <c r="G1271" s="165">
        <v>2727142</v>
      </c>
      <c r="H1271" s="165">
        <v>0</v>
      </c>
      <c r="I1271" s="163"/>
      <c r="J1271" s="166"/>
      <c r="K1271" s="167"/>
      <c r="L1271" s="167">
        <v>709</v>
      </c>
      <c r="M1271" s="168">
        <v>46050</v>
      </c>
      <c r="N1271" s="169" t="s">
        <v>2205</v>
      </c>
      <c r="O1271" s="162" t="s">
        <v>383</v>
      </c>
    </row>
    <row r="1272" spans="1:15" x14ac:dyDescent="0.25">
      <c r="A1272" s="154">
        <v>1272</v>
      </c>
      <c r="B1272" s="162" t="s">
        <v>100</v>
      </c>
      <c r="C1272" s="163">
        <v>110200305</v>
      </c>
      <c r="D1272" s="164" t="s">
        <v>836</v>
      </c>
      <c r="E1272" s="165">
        <v>108024</v>
      </c>
      <c r="F1272" s="165">
        <v>108024</v>
      </c>
      <c r="G1272" s="165">
        <v>0</v>
      </c>
      <c r="H1272" s="165">
        <v>0</v>
      </c>
      <c r="I1272" s="163"/>
      <c r="J1272" s="166"/>
      <c r="K1272" s="167"/>
      <c r="L1272" s="167">
        <v>709</v>
      </c>
      <c r="M1272" s="168">
        <v>46050</v>
      </c>
      <c r="N1272" s="169" t="s">
        <v>2226</v>
      </c>
      <c r="O1272" s="162" t="s">
        <v>260</v>
      </c>
    </row>
    <row r="1273" spans="1:15" x14ac:dyDescent="0.25">
      <c r="A1273" s="154">
        <v>1273</v>
      </c>
      <c r="B1273" s="162" t="s">
        <v>100</v>
      </c>
      <c r="C1273" s="163">
        <v>110200305</v>
      </c>
      <c r="D1273" s="164" t="s">
        <v>836</v>
      </c>
      <c r="E1273" s="165">
        <v>108024</v>
      </c>
      <c r="F1273" s="165">
        <v>108024</v>
      </c>
      <c r="G1273" s="165">
        <v>0</v>
      </c>
      <c r="H1273" s="165">
        <v>0</v>
      </c>
      <c r="I1273" s="163"/>
      <c r="J1273" s="166"/>
      <c r="K1273" s="167"/>
      <c r="L1273" s="167">
        <v>709</v>
      </c>
      <c r="M1273" s="168">
        <v>46050</v>
      </c>
      <c r="N1273" s="169" t="s">
        <v>2227</v>
      </c>
      <c r="O1273" s="162" t="s">
        <v>260</v>
      </c>
    </row>
    <row r="1274" spans="1:15" x14ac:dyDescent="0.25">
      <c r="A1274" s="154">
        <v>1274</v>
      </c>
      <c r="B1274" s="162" t="s">
        <v>100</v>
      </c>
      <c r="C1274" s="163">
        <v>110200305</v>
      </c>
      <c r="D1274" s="164" t="s">
        <v>836</v>
      </c>
      <c r="E1274" s="165">
        <v>61268</v>
      </c>
      <c r="F1274" s="165">
        <v>61268</v>
      </c>
      <c r="G1274" s="165">
        <v>0</v>
      </c>
      <c r="H1274" s="165">
        <v>0</v>
      </c>
      <c r="I1274" s="163"/>
      <c r="J1274" s="166"/>
      <c r="K1274" s="167"/>
      <c r="L1274" s="167">
        <v>709</v>
      </c>
      <c r="M1274" s="168">
        <v>46050</v>
      </c>
      <c r="N1274" s="169" t="s">
        <v>2228</v>
      </c>
      <c r="O1274" s="162" t="s">
        <v>260</v>
      </c>
    </row>
    <row r="1275" spans="1:15" x14ac:dyDescent="0.25">
      <c r="A1275" s="154">
        <v>1275</v>
      </c>
      <c r="B1275" s="162" t="s">
        <v>100</v>
      </c>
      <c r="C1275" s="163">
        <v>110200305</v>
      </c>
      <c r="D1275" s="164" t="s">
        <v>836</v>
      </c>
      <c r="E1275" s="165">
        <v>61268</v>
      </c>
      <c r="F1275" s="165">
        <v>61268</v>
      </c>
      <c r="G1275" s="165">
        <v>0</v>
      </c>
      <c r="H1275" s="165">
        <v>0</v>
      </c>
      <c r="I1275" s="163"/>
      <c r="J1275" s="166"/>
      <c r="K1275" s="167"/>
      <c r="L1275" s="167">
        <v>709</v>
      </c>
      <c r="M1275" s="168">
        <v>46050</v>
      </c>
      <c r="N1275" s="169" t="s">
        <v>2229</v>
      </c>
      <c r="O1275" s="162" t="s">
        <v>260</v>
      </c>
    </row>
    <row r="1276" spans="1:15" x14ac:dyDescent="0.25">
      <c r="A1276" s="154">
        <v>1276</v>
      </c>
      <c r="B1276" s="162" t="s">
        <v>100</v>
      </c>
      <c r="C1276" s="163">
        <v>110200305</v>
      </c>
      <c r="D1276" s="164" t="s">
        <v>836</v>
      </c>
      <c r="E1276" s="165">
        <v>61268</v>
      </c>
      <c r="F1276" s="165">
        <v>61268</v>
      </c>
      <c r="G1276" s="165">
        <v>0</v>
      </c>
      <c r="H1276" s="165">
        <v>0</v>
      </c>
      <c r="I1276" s="163"/>
      <c r="J1276" s="166"/>
      <c r="K1276" s="167"/>
      <c r="L1276" s="167">
        <v>709</v>
      </c>
      <c r="M1276" s="168">
        <v>46050</v>
      </c>
      <c r="N1276" s="169" t="s">
        <v>2230</v>
      </c>
      <c r="O1276" s="162" t="s">
        <v>260</v>
      </c>
    </row>
    <row r="1277" spans="1:15" x14ac:dyDescent="0.25">
      <c r="A1277" s="154">
        <v>1277</v>
      </c>
      <c r="B1277" s="162" t="s">
        <v>100</v>
      </c>
      <c r="C1277" s="163">
        <v>110200305</v>
      </c>
      <c r="D1277" s="164" t="s">
        <v>836</v>
      </c>
      <c r="E1277" s="165">
        <v>61268</v>
      </c>
      <c r="F1277" s="165">
        <v>61268</v>
      </c>
      <c r="G1277" s="165">
        <v>0</v>
      </c>
      <c r="H1277" s="165">
        <v>0</v>
      </c>
      <c r="I1277" s="163"/>
      <c r="J1277" s="166"/>
      <c r="K1277" s="167"/>
      <c r="L1277" s="167">
        <v>709</v>
      </c>
      <c r="M1277" s="168">
        <v>46050</v>
      </c>
      <c r="N1277" s="169" t="s">
        <v>2230</v>
      </c>
      <c r="O1277" s="162" t="s">
        <v>260</v>
      </c>
    </row>
    <row r="1278" spans="1:15" x14ac:dyDescent="0.25">
      <c r="A1278" s="154">
        <v>1278</v>
      </c>
      <c r="B1278" s="162" t="s">
        <v>100</v>
      </c>
      <c r="C1278" s="163">
        <v>110200305</v>
      </c>
      <c r="D1278" s="164" t="s">
        <v>836</v>
      </c>
      <c r="E1278" s="165">
        <v>108024</v>
      </c>
      <c r="F1278" s="165">
        <v>108024</v>
      </c>
      <c r="G1278" s="165">
        <v>0</v>
      </c>
      <c r="H1278" s="165">
        <v>0</v>
      </c>
      <c r="I1278" s="163"/>
      <c r="J1278" s="166"/>
      <c r="K1278" s="167"/>
      <c r="L1278" s="167">
        <v>709</v>
      </c>
      <c r="M1278" s="168">
        <v>46050</v>
      </c>
      <c r="N1278" s="169" t="s">
        <v>2231</v>
      </c>
      <c r="O1278" s="162" t="s">
        <v>260</v>
      </c>
    </row>
    <row r="1279" spans="1:15" x14ac:dyDescent="0.25">
      <c r="A1279" s="154">
        <v>1279</v>
      </c>
      <c r="B1279" s="162" t="s">
        <v>100</v>
      </c>
      <c r="C1279" s="163">
        <v>110200305</v>
      </c>
      <c r="D1279" s="164" t="s">
        <v>836</v>
      </c>
      <c r="E1279" s="165">
        <v>2727142</v>
      </c>
      <c r="F1279" s="165">
        <v>0</v>
      </c>
      <c r="G1279" s="165">
        <v>2727142</v>
      </c>
      <c r="H1279" s="165">
        <v>0</v>
      </c>
      <c r="I1279" s="163"/>
      <c r="J1279" s="166"/>
      <c r="K1279" s="167"/>
      <c r="L1279" s="167">
        <v>709</v>
      </c>
      <c r="M1279" s="168">
        <v>46050</v>
      </c>
      <c r="N1279" s="169" t="s">
        <v>2205</v>
      </c>
      <c r="O1279" s="162" t="s">
        <v>383</v>
      </c>
    </row>
    <row r="1280" spans="1:15" x14ac:dyDescent="0.25">
      <c r="A1280" s="154">
        <v>1280</v>
      </c>
      <c r="B1280" s="162" t="s">
        <v>100</v>
      </c>
      <c r="C1280" s="163">
        <v>110200305</v>
      </c>
      <c r="D1280" s="164" t="s">
        <v>836</v>
      </c>
      <c r="E1280" s="165">
        <v>1068175</v>
      </c>
      <c r="F1280" s="165">
        <v>0</v>
      </c>
      <c r="G1280" s="165">
        <v>1068175</v>
      </c>
      <c r="H1280" s="165">
        <v>0</v>
      </c>
      <c r="I1280" s="163"/>
      <c r="J1280" s="166"/>
      <c r="K1280" s="167"/>
      <c r="L1280" s="167">
        <v>709</v>
      </c>
      <c r="M1280" s="168">
        <v>46050</v>
      </c>
      <c r="N1280" s="169" t="s">
        <v>2205</v>
      </c>
      <c r="O1280" s="162" t="s">
        <v>383</v>
      </c>
    </row>
    <row r="1281" spans="1:15" x14ac:dyDescent="0.25">
      <c r="A1281" s="154">
        <v>1281</v>
      </c>
      <c r="B1281" s="162" t="s">
        <v>100</v>
      </c>
      <c r="C1281" s="163">
        <v>110200305</v>
      </c>
      <c r="D1281" s="164" t="s">
        <v>836</v>
      </c>
      <c r="E1281" s="165">
        <v>1068175</v>
      </c>
      <c r="F1281" s="165">
        <v>0</v>
      </c>
      <c r="G1281" s="165">
        <v>1068175</v>
      </c>
      <c r="H1281" s="165">
        <v>0</v>
      </c>
      <c r="I1281" s="163"/>
      <c r="J1281" s="166"/>
      <c r="K1281" s="167"/>
      <c r="L1281" s="167">
        <v>709</v>
      </c>
      <c r="M1281" s="168">
        <v>46050</v>
      </c>
      <c r="N1281" s="169" t="s">
        <v>2205</v>
      </c>
      <c r="O1281" s="162" t="s">
        <v>383</v>
      </c>
    </row>
    <row r="1282" spans="1:15" x14ac:dyDescent="0.25">
      <c r="A1282" s="154">
        <v>1282</v>
      </c>
      <c r="B1282" s="162" t="s">
        <v>101</v>
      </c>
      <c r="C1282" s="163">
        <v>68409212</v>
      </c>
      <c r="D1282" s="164" t="s">
        <v>836</v>
      </c>
      <c r="E1282" s="165">
        <v>108024</v>
      </c>
      <c r="F1282" s="165">
        <v>108024</v>
      </c>
      <c r="G1282" s="165">
        <v>0</v>
      </c>
      <c r="H1282" s="165">
        <v>0</v>
      </c>
      <c r="I1282" s="163"/>
      <c r="J1282" s="166"/>
      <c r="K1282" s="167"/>
      <c r="L1282" s="167">
        <v>709</v>
      </c>
      <c r="M1282" s="168">
        <v>46050</v>
      </c>
      <c r="N1282" s="169" t="s">
        <v>2231</v>
      </c>
      <c r="O1282" s="162" t="s">
        <v>260</v>
      </c>
    </row>
    <row r="1283" spans="1:15" x14ac:dyDescent="0.25">
      <c r="A1283" s="154">
        <v>1283</v>
      </c>
      <c r="B1283" s="162" t="s">
        <v>101</v>
      </c>
      <c r="C1283" s="163">
        <v>68409212</v>
      </c>
      <c r="D1283" s="164" t="s">
        <v>836</v>
      </c>
      <c r="E1283" s="165">
        <v>61268</v>
      </c>
      <c r="F1283" s="165">
        <v>61268</v>
      </c>
      <c r="G1283" s="165">
        <v>0</v>
      </c>
      <c r="H1283" s="165">
        <v>0</v>
      </c>
      <c r="I1283" s="163"/>
      <c r="J1283" s="166"/>
      <c r="K1283" s="167"/>
      <c r="L1283" s="167">
        <v>709</v>
      </c>
      <c r="M1283" s="168">
        <v>46050</v>
      </c>
      <c r="N1283" s="169" t="s">
        <v>2232</v>
      </c>
      <c r="O1283" s="162" t="s">
        <v>260</v>
      </c>
    </row>
    <row r="1284" spans="1:15" x14ac:dyDescent="0.25">
      <c r="A1284" s="154">
        <v>1284</v>
      </c>
      <c r="B1284" s="162" t="s">
        <v>101</v>
      </c>
      <c r="C1284" s="163">
        <v>68409212</v>
      </c>
      <c r="D1284" s="164" t="s">
        <v>836</v>
      </c>
      <c r="E1284" s="165">
        <v>108024</v>
      </c>
      <c r="F1284" s="165">
        <v>108024</v>
      </c>
      <c r="G1284" s="165">
        <v>0</v>
      </c>
      <c r="H1284" s="165">
        <v>0</v>
      </c>
      <c r="I1284" s="163"/>
      <c r="J1284" s="166"/>
      <c r="K1284" s="167"/>
      <c r="L1284" s="167">
        <v>709</v>
      </c>
      <c r="M1284" s="168">
        <v>46050</v>
      </c>
      <c r="N1284" s="169" t="s">
        <v>2233</v>
      </c>
      <c r="O1284" s="162" t="s">
        <v>260</v>
      </c>
    </row>
    <row r="1285" spans="1:15" x14ac:dyDescent="0.25">
      <c r="A1285" s="154">
        <v>1285</v>
      </c>
      <c r="B1285" s="162" t="s">
        <v>101</v>
      </c>
      <c r="C1285" s="163">
        <v>68409212</v>
      </c>
      <c r="D1285" s="164" t="s">
        <v>836</v>
      </c>
      <c r="E1285" s="165">
        <v>108024</v>
      </c>
      <c r="F1285" s="165">
        <v>108024</v>
      </c>
      <c r="G1285" s="165">
        <v>0</v>
      </c>
      <c r="H1285" s="165">
        <v>0</v>
      </c>
      <c r="I1285" s="163"/>
      <c r="J1285" s="166"/>
      <c r="K1285" s="167"/>
      <c r="L1285" s="167">
        <v>709</v>
      </c>
      <c r="M1285" s="168">
        <v>46050</v>
      </c>
      <c r="N1285" s="169" t="s">
        <v>2231</v>
      </c>
      <c r="O1285" s="162" t="s">
        <v>260</v>
      </c>
    </row>
    <row r="1286" spans="1:15" x14ac:dyDescent="0.25">
      <c r="A1286" s="154">
        <v>1286</v>
      </c>
      <c r="B1286" s="162" t="s">
        <v>101</v>
      </c>
      <c r="C1286" s="163">
        <v>68409212</v>
      </c>
      <c r="D1286" s="164" t="s">
        <v>836</v>
      </c>
      <c r="E1286" s="165">
        <v>108024</v>
      </c>
      <c r="F1286" s="165">
        <v>108024</v>
      </c>
      <c r="G1286" s="165">
        <v>0</v>
      </c>
      <c r="H1286" s="165">
        <v>0</v>
      </c>
      <c r="I1286" s="163"/>
      <c r="J1286" s="166"/>
      <c r="K1286" s="167"/>
      <c r="L1286" s="167">
        <v>709</v>
      </c>
      <c r="M1286" s="168">
        <v>46050</v>
      </c>
      <c r="N1286" s="169" t="s">
        <v>2231</v>
      </c>
      <c r="O1286" s="162" t="s">
        <v>260</v>
      </c>
    </row>
    <row r="1287" spans="1:15" x14ac:dyDescent="0.25">
      <c r="A1287" s="154">
        <v>1287</v>
      </c>
      <c r="B1287" s="162" t="s">
        <v>101</v>
      </c>
      <c r="C1287" s="163">
        <v>68409212</v>
      </c>
      <c r="D1287" s="164" t="s">
        <v>836</v>
      </c>
      <c r="E1287" s="165">
        <v>61268</v>
      </c>
      <c r="F1287" s="165">
        <v>61268</v>
      </c>
      <c r="G1287" s="165">
        <v>0</v>
      </c>
      <c r="H1287" s="165">
        <v>0</v>
      </c>
      <c r="I1287" s="163"/>
      <c r="J1287" s="166"/>
      <c r="K1287" s="167"/>
      <c r="L1287" s="167">
        <v>709</v>
      </c>
      <c r="M1287" s="168">
        <v>46050</v>
      </c>
      <c r="N1287" s="169" t="s">
        <v>2232</v>
      </c>
      <c r="O1287" s="162" t="s">
        <v>260</v>
      </c>
    </row>
    <row r="1288" spans="1:15" x14ac:dyDescent="0.25">
      <c r="A1288" s="154">
        <v>1288</v>
      </c>
      <c r="B1288" s="162" t="s">
        <v>101</v>
      </c>
      <c r="C1288" s="163">
        <v>68409212</v>
      </c>
      <c r="D1288" s="164" t="s">
        <v>836</v>
      </c>
      <c r="E1288" s="165">
        <v>108024</v>
      </c>
      <c r="F1288" s="165">
        <v>108024</v>
      </c>
      <c r="G1288" s="165">
        <v>0</v>
      </c>
      <c r="H1288" s="165">
        <v>0</v>
      </c>
      <c r="I1288" s="163"/>
      <c r="J1288" s="166"/>
      <c r="K1288" s="167"/>
      <c r="L1288" s="167">
        <v>709</v>
      </c>
      <c r="M1288" s="168">
        <v>46050</v>
      </c>
      <c r="N1288" s="169" t="s">
        <v>2231</v>
      </c>
      <c r="O1288" s="162" t="s">
        <v>260</v>
      </c>
    </row>
    <row r="1289" spans="1:15" x14ac:dyDescent="0.25">
      <c r="A1289" s="154">
        <v>1289</v>
      </c>
      <c r="B1289" s="162" t="s">
        <v>101</v>
      </c>
      <c r="C1289" s="163">
        <v>68409212</v>
      </c>
      <c r="D1289" s="164" t="s">
        <v>836</v>
      </c>
      <c r="E1289" s="165">
        <v>108024</v>
      </c>
      <c r="F1289" s="165">
        <v>108024</v>
      </c>
      <c r="G1289" s="165">
        <v>0</v>
      </c>
      <c r="H1289" s="165">
        <v>0</v>
      </c>
      <c r="I1289" s="163"/>
      <c r="J1289" s="166"/>
      <c r="K1289" s="167"/>
      <c r="L1289" s="167">
        <v>709</v>
      </c>
      <c r="M1289" s="168">
        <v>46050</v>
      </c>
      <c r="N1289" s="169" t="s">
        <v>2234</v>
      </c>
      <c r="O1289" s="162" t="s">
        <v>260</v>
      </c>
    </row>
    <row r="1290" spans="1:15" x14ac:dyDescent="0.25">
      <c r="A1290" s="154">
        <v>1290</v>
      </c>
      <c r="B1290" s="162" t="s">
        <v>101</v>
      </c>
      <c r="C1290" s="163">
        <v>68409212</v>
      </c>
      <c r="D1290" s="164" t="s">
        <v>836</v>
      </c>
      <c r="E1290" s="165">
        <v>108024</v>
      </c>
      <c r="F1290" s="165">
        <v>108024</v>
      </c>
      <c r="G1290" s="165">
        <v>0</v>
      </c>
      <c r="H1290" s="165">
        <v>0</v>
      </c>
      <c r="I1290" s="163"/>
      <c r="J1290" s="166"/>
      <c r="K1290" s="167"/>
      <c r="L1290" s="167">
        <v>709</v>
      </c>
      <c r="M1290" s="168">
        <v>46050</v>
      </c>
      <c r="N1290" s="169" t="s">
        <v>2234</v>
      </c>
      <c r="O1290" s="162" t="s">
        <v>260</v>
      </c>
    </row>
    <row r="1291" spans="1:15" x14ac:dyDescent="0.25">
      <c r="A1291" s="154">
        <v>1291</v>
      </c>
      <c r="B1291" s="162" t="s">
        <v>101</v>
      </c>
      <c r="C1291" s="163">
        <v>68409212</v>
      </c>
      <c r="D1291" s="164" t="s">
        <v>836</v>
      </c>
      <c r="E1291" s="165">
        <v>3058255</v>
      </c>
      <c r="F1291" s="165">
        <v>0</v>
      </c>
      <c r="G1291" s="165">
        <v>3058255</v>
      </c>
      <c r="H1291" s="165">
        <v>0</v>
      </c>
      <c r="I1291" s="163"/>
      <c r="J1291" s="166"/>
      <c r="K1291" s="167"/>
      <c r="L1291" s="167">
        <v>709</v>
      </c>
      <c r="M1291" s="168">
        <v>46050</v>
      </c>
      <c r="N1291" s="169" t="s">
        <v>2235</v>
      </c>
      <c r="O1291" s="162" t="s">
        <v>194</v>
      </c>
    </row>
    <row r="1292" spans="1:15" x14ac:dyDescent="0.25">
      <c r="A1292" s="154">
        <v>1292</v>
      </c>
      <c r="B1292" s="162" t="s">
        <v>102</v>
      </c>
      <c r="C1292" s="163">
        <v>1263205</v>
      </c>
      <c r="D1292" s="164" t="s">
        <v>836</v>
      </c>
      <c r="E1292" s="165">
        <v>3700</v>
      </c>
      <c r="F1292" s="165">
        <v>3700</v>
      </c>
      <c r="G1292" s="165">
        <v>0</v>
      </c>
      <c r="H1292" s="165">
        <v>0</v>
      </c>
      <c r="I1292" s="163"/>
      <c r="J1292" s="166"/>
      <c r="K1292" s="167"/>
      <c r="L1292" s="167">
        <v>709</v>
      </c>
      <c r="M1292" s="168">
        <v>46050</v>
      </c>
      <c r="N1292" s="169" t="s">
        <v>2236</v>
      </c>
      <c r="O1292" s="162" t="s">
        <v>271</v>
      </c>
    </row>
    <row r="1293" spans="1:15" x14ac:dyDescent="0.25">
      <c r="A1293" s="154">
        <v>1293</v>
      </c>
      <c r="B1293" s="162" t="s">
        <v>103</v>
      </c>
      <c r="C1293" s="163">
        <v>106697</v>
      </c>
      <c r="D1293" s="164" t="s">
        <v>836</v>
      </c>
      <c r="E1293" s="165">
        <v>31297</v>
      </c>
      <c r="F1293" s="165">
        <v>0</v>
      </c>
      <c r="G1293" s="165">
        <v>31297</v>
      </c>
      <c r="H1293" s="165">
        <v>0</v>
      </c>
      <c r="I1293" s="163"/>
      <c r="J1293" s="166"/>
      <c r="K1293" s="167"/>
      <c r="L1293" s="167">
        <v>709</v>
      </c>
      <c r="M1293" s="168">
        <v>46050</v>
      </c>
      <c r="N1293" s="169" t="s">
        <v>2152</v>
      </c>
      <c r="O1293" s="162" t="s">
        <v>185</v>
      </c>
    </row>
    <row r="1294" spans="1:15" x14ac:dyDescent="0.25">
      <c r="A1294" s="154">
        <v>1294</v>
      </c>
      <c r="B1294" s="162" t="s">
        <v>104</v>
      </c>
      <c r="C1294" s="163">
        <v>82085</v>
      </c>
      <c r="D1294" s="164" t="s">
        <v>836</v>
      </c>
      <c r="E1294" s="165">
        <v>6685</v>
      </c>
      <c r="F1294" s="165">
        <v>0</v>
      </c>
      <c r="G1294" s="165">
        <v>6685</v>
      </c>
      <c r="H1294" s="165">
        <v>0</v>
      </c>
      <c r="I1294" s="163"/>
      <c r="J1294" s="166"/>
      <c r="K1294" s="167"/>
      <c r="L1294" s="167">
        <v>709</v>
      </c>
      <c r="M1294" s="168">
        <v>46050</v>
      </c>
      <c r="N1294" s="169" t="s">
        <v>2152</v>
      </c>
      <c r="O1294" s="162" t="s">
        <v>185</v>
      </c>
    </row>
    <row r="1295" spans="1:15" x14ac:dyDescent="0.25">
      <c r="A1295" s="154">
        <v>1295</v>
      </c>
      <c r="B1295" s="162" t="s">
        <v>105</v>
      </c>
      <c r="C1295" s="163">
        <v>1112776</v>
      </c>
      <c r="D1295" s="164" t="s">
        <v>836</v>
      </c>
      <c r="E1295" s="165">
        <v>1112776</v>
      </c>
      <c r="F1295" s="165">
        <v>0</v>
      </c>
      <c r="G1295" s="165">
        <v>1112776</v>
      </c>
      <c r="H1295" s="165">
        <v>0</v>
      </c>
      <c r="I1295" s="163"/>
      <c r="J1295" s="166"/>
      <c r="K1295" s="167"/>
      <c r="L1295" s="167">
        <v>709</v>
      </c>
      <c r="M1295" s="168">
        <v>46050</v>
      </c>
      <c r="N1295" s="169" t="s">
        <v>2152</v>
      </c>
      <c r="O1295" s="162" t="s">
        <v>303</v>
      </c>
    </row>
    <row r="1296" spans="1:15" x14ac:dyDescent="0.25">
      <c r="A1296" s="154">
        <v>1296</v>
      </c>
      <c r="B1296" s="162" t="s">
        <v>106</v>
      </c>
      <c r="C1296" s="163">
        <v>1701716</v>
      </c>
      <c r="D1296" s="164" t="s">
        <v>836</v>
      </c>
      <c r="E1296" s="165">
        <v>1617070</v>
      </c>
      <c r="F1296" s="165">
        <v>0</v>
      </c>
      <c r="G1296" s="165">
        <v>1617070</v>
      </c>
      <c r="H1296" s="165">
        <v>0</v>
      </c>
      <c r="I1296" s="163"/>
      <c r="J1296" s="166"/>
      <c r="K1296" s="167"/>
      <c r="L1296" s="167">
        <v>709</v>
      </c>
      <c r="M1296" s="168">
        <v>46050</v>
      </c>
      <c r="N1296" s="169" t="s">
        <v>2152</v>
      </c>
      <c r="O1296" s="162" t="s">
        <v>303</v>
      </c>
    </row>
    <row r="1297" spans="1:15" x14ac:dyDescent="0.25">
      <c r="A1297" s="154">
        <v>1297</v>
      </c>
      <c r="B1297" s="162" t="s">
        <v>107</v>
      </c>
      <c r="C1297" s="163">
        <v>556388</v>
      </c>
      <c r="D1297" s="164" t="s">
        <v>836</v>
      </c>
      <c r="E1297" s="165">
        <v>556388</v>
      </c>
      <c r="F1297" s="165">
        <v>0</v>
      </c>
      <c r="G1297" s="165">
        <v>556388</v>
      </c>
      <c r="H1297" s="165">
        <v>0</v>
      </c>
      <c r="I1297" s="163"/>
      <c r="J1297" s="166"/>
      <c r="K1297" s="167"/>
      <c r="L1297" s="167">
        <v>709</v>
      </c>
      <c r="M1297" s="168">
        <v>46050</v>
      </c>
      <c r="N1297" s="169" t="s">
        <v>2152</v>
      </c>
      <c r="O1297" s="162" t="s">
        <v>303</v>
      </c>
    </row>
    <row r="1298" spans="1:15" x14ac:dyDescent="0.25">
      <c r="A1298" s="154">
        <v>1298</v>
      </c>
      <c r="B1298" s="162" t="s">
        <v>108</v>
      </c>
      <c r="C1298" s="163">
        <v>1894348</v>
      </c>
      <c r="D1298" s="164" t="s">
        <v>836</v>
      </c>
      <c r="E1298" s="165">
        <v>1689585</v>
      </c>
      <c r="F1298" s="165">
        <v>0</v>
      </c>
      <c r="G1298" s="165">
        <v>1689585</v>
      </c>
      <c r="H1298" s="165">
        <v>0</v>
      </c>
      <c r="I1298" s="163"/>
      <c r="J1298" s="166"/>
      <c r="K1298" s="167"/>
      <c r="L1298" s="167">
        <v>709</v>
      </c>
      <c r="M1298" s="168">
        <v>46050</v>
      </c>
      <c r="N1298" s="169" t="s">
        <v>2152</v>
      </c>
      <c r="O1298" s="162" t="s">
        <v>303</v>
      </c>
    </row>
    <row r="1299" spans="1:15" x14ac:dyDescent="0.25">
      <c r="A1299" s="154">
        <v>1299</v>
      </c>
      <c r="B1299" s="162" t="s">
        <v>109</v>
      </c>
      <c r="C1299" s="163">
        <v>11941644</v>
      </c>
      <c r="D1299" s="164" t="s">
        <v>836</v>
      </c>
      <c r="E1299" s="165">
        <v>547500</v>
      </c>
      <c r="F1299" s="165">
        <v>238614</v>
      </c>
      <c r="G1299" s="165">
        <v>308886</v>
      </c>
      <c r="H1299" s="165">
        <v>0</v>
      </c>
      <c r="I1299" s="163"/>
      <c r="J1299" s="166"/>
      <c r="K1299" s="167"/>
      <c r="L1299" s="167">
        <v>709</v>
      </c>
      <c r="M1299" s="168">
        <v>46050</v>
      </c>
      <c r="N1299" s="169" t="s">
        <v>2237</v>
      </c>
      <c r="O1299" s="162" t="s">
        <v>275</v>
      </c>
    </row>
    <row r="1300" spans="1:15" x14ac:dyDescent="0.25">
      <c r="A1300" s="154">
        <v>1300</v>
      </c>
      <c r="B1300" s="162" t="s">
        <v>110</v>
      </c>
      <c r="C1300" s="163">
        <v>63687</v>
      </c>
      <c r="D1300" s="164" t="s">
        <v>836</v>
      </c>
      <c r="E1300" s="165">
        <v>19</v>
      </c>
      <c r="F1300" s="165">
        <v>19</v>
      </c>
      <c r="G1300" s="165">
        <v>0</v>
      </c>
      <c r="H1300" s="165">
        <v>0</v>
      </c>
      <c r="I1300" s="163"/>
      <c r="J1300" s="166"/>
      <c r="K1300" s="167"/>
      <c r="L1300" s="167">
        <v>709</v>
      </c>
      <c r="M1300" s="168">
        <v>46050</v>
      </c>
      <c r="N1300" s="169" t="s">
        <v>2238</v>
      </c>
      <c r="O1300" s="162" t="s">
        <v>826</v>
      </c>
    </row>
    <row r="1301" spans="1:15" x14ac:dyDescent="0.25">
      <c r="A1301" s="154">
        <v>1301</v>
      </c>
      <c r="B1301" s="162" t="s">
        <v>111</v>
      </c>
      <c r="C1301" s="163">
        <v>665028</v>
      </c>
      <c r="D1301" s="164" t="s">
        <v>836</v>
      </c>
      <c r="E1301" s="165">
        <v>401</v>
      </c>
      <c r="F1301" s="165">
        <v>401</v>
      </c>
      <c r="G1301" s="165">
        <v>0</v>
      </c>
      <c r="H1301" s="165">
        <v>0</v>
      </c>
      <c r="I1301" s="163"/>
      <c r="J1301" s="166"/>
      <c r="K1301" s="167"/>
      <c r="L1301" s="167">
        <v>709</v>
      </c>
      <c r="M1301" s="168">
        <v>46050</v>
      </c>
      <c r="N1301" s="169" t="s">
        <v>2239</v>
      </c>
      <c r="O1301" s="162" t="s">
        <v>826</v>
      </c>
    </row>
    <row r="1302" spans="1:15" x14ac:dyDescent="0.25">
      <c r="A1302" s="154">
        <v>1302</v>
      </c>
      <c r="B1302" s="162" t="s">
        <v>111</v>
      </c>
      <c r="C1302" s="163">
        <v>665028</v>
      </c>
      <c r="D1302" s="164" t="s">
        <v>836</v>
      </c>
      <c r="E1302" s="165">
        <v>49</v>
      </c>
      <c r="F1302" s="165">
        <v>49</v>
      </c>
      <c r="G1302" s="165">
        <v>0</v>
      </c>
      <c r="H1302" s="165">
        <v>0</v>
      </c>
      <c r="I1302" s="163"/>
      <c r="J1302" s="166"/>
      <c r="K1302" s="167"/>
      <c r="L1302" s="167">
        <v>709</v>
      </c>
      <c r="M1302" s="168">
        <v>46050</v>
      </c>
      <c r="N1302" s="169" t="s">
        <v>2240</v>
      </c>
      <c r="O1302" s="162" t="s">
        <v>826</v>
      </c>
    </row>
    <row r="1303" spans="1:15" x14ac:dyDescent="0.25">
      <c r="A1303" s="154">
        <v>1303</v>
      </c>
      <c r="B1303" s="162" t="s">
        <v>112</v>
      </c>
      <c r="C1303" s="163">
        <v>65992644</v>
      </c>
      <c r="D1303" s="164" t="s">
        <v>836</v>
      </c>
      <c r="E1303" s="165">
        <v>2736898</v>
      </c>
      <c r="F1303" s="165">
        <v>0</v>
      </c>
      <c r="G1303" s="165">
        <v>2736898</v>
      </c>
      <c r="H1303" s="165">
        <v>0</v>
      </c>
      <c r="I1303" s="163"/>
      <c r="J1303" s="166"/>
      <c r="K1303" s="167"/>
      <c r="L1303" s="167">
        <v>709</v>
      </c>
      <c r="M1303" s="168">
        <v>46050</v>
      </c>
      <c r="N1303" s="169" t="s">
        <v>2152</v>
      </c>
      <c r="O1303" s="162" t="s">
        <v>215</v>
      </c>
    </row>
    <row r="1304" spans="1:15" x14ac:dyDescent="0.25">
      <c r="A1304" s="154">
        <v>1304</v>
      </c>
      <c r="B1304" s="162" t="s">
        <v>112</v>
      </c>
      <c r="C1304" s="163">
        <v>65992644</v>
      </c>
      <c r="D1304" s="164" t="s">
        <v>836</v>
      </c>
      <c r="E1304" s="165">
        <v>2736898</v>
      </c>
      <c r="F1304" s="165">
        <v>0</v>
      </c>
      <c r="G1304" s="165">
        <v>2736898</v>
      </c>
      <c r="H1304" s="165">
        <v>0</v>
      </c>
      <c r="I1304" s="163"/>
      <c r="J1304" s="166"/>
      <c r="K1304" s="167"/>
      <c r="L1304" s="167">
        <v>709</v>
      </c>
      <c r="M1304" s="168">
        <v>46050</v>
      </c>
      <c r="N1304" s="169" t="s">
        <v>2152</v>
      </c>
      <c r="O1304" s="162" t="s">
        <v>215</v>
      </c>
    </row>
    <row r="1305" spans="1:15" x14ac:dyDescent="0.25">
      <c r="A1305" s="154">
        <v>1305</v>
      </c>
      <c r="B1305" s="162" t="s">
        <v>112</v>
      </c>
      <c r="C1305" s="163">
        <v>65992644</v>
      </c>
      <c r="D1305" s="164" t="s">
        <v>836</v>
      </c>
      <c r="E1305" s="165">
        <v>2736898</v>
      </c>
      <c r="F1305" s="165">
        <v>0</v>
      </c>
      <c r="G1305" s="165">
        <v>2736898</v>
      </c>
      <c r="H1305" s="165">
        <v>0</v>
      </c>
      <c r="I1305" s="163"/>
      <c r="J1305" s="166"/>
      <c r="K1305" s="167"/>
      <c r="L1305" s="167">
        <v>709</v>
      </c>
      <c r="M1305" s="168">
        <v>46050</v>
      </c>
      <c r="N1305" s="169" t="s">
        <v>2152</v>
      </c>
      <c r="O1305" s="162" t="s">
        <v>215</v>
      </c>
    </row>
    <row r="1306" spans="1:15" x14ac:dyDescent="0.25">
      <c r="A1306" s="154">
        <v>1306</v>
      </c>
      <c r="B1306" s="162" t="s">
        <v>112</v>
      </c>
      <c r="C1306" s="163">
        <v>65992644</v>
      </c>
      <c r="D1306" s="164" t="s">
        <v>836</v>
      </c>
      <c r="E1306" s="165">
        <v>2499104</v>
      </c>
      <c r="F1306" s="165">
        <v>0</v>
      </c>
      <c r="G1306" s="165">
        <v>2499104</v>
      </c>
      <c r="H1306" s="165">
        <v>0</v>
      </c>
      <c r="I1306" s="163"/>
      <c r="J1306" s="166"/>
      <c r="K1306" s="167"/>
      <c r="L1306" s="167">
        <v>709</v>
      </c>
      <c r="M1306" s="168">
        <v>46050</v>
      </c>
      <c r="N1306" s="169" t="s">
        <v>2152</v>
      </c>
      <c r="O1306" s="162" t="s">
        <v>215</v>
      </c>
    </row>
    <row r="1307" spans="1:15" x14ac:dyDescent="0.25">
      <c r="A1307" s="154">
        <v>1307</v>
      </c>
      <c r="B1307" s="162" t="s">
        <v>113</v>
      </c>
      <c r="C1307" s="163">
        <v>88888445</v>
      </c>
      <c r="D1307" s="164" t="s">
        <v>836</v>
      </c>
      <c r="E1307" s="165">
        <v>929898</v>
      </c>
      <c r="F1307" s="165">
        <v>929898</v>
      </c>
      <c r="G1307" s="165">
        <v>0</v>
      </c>
      <c r="H1307" s="165">
        <v>0</v>
      </c>
      <c r="I1307" s="163"/>
      <c r="J1307" s="166"/>
      <c r="K1307" s="167"/>
      <c r="L1307" s="167">
        <v>709</v>
      </c>
      <c r="M1307" s="168">
        <v>46050</v>
      </c>
      <c r="N1307" s="169" t="s">
        <v>2241</v>
      </c>
      <c r="O1307" s="162" t="s">
        <v>194</v>
      </c>
    </row>
    <row r="1308" spans="1:15" x14ac:dyDescent="0.25">
      <c r="A1308" s="154">
        <v>1308</v>
      </c>
      <c r="B1308" s="162" t="s">
        <v>113</v>
      </c>
      <c r="C1308" s="163">
        <v>88888445</v>
      </c>
      <c r="D1308" s="164" t="s">
        <v>836</v>
      </c>
      <c r="E1308" s="165">
        <v>131148</v>
      </c>
      <c r="F1308" s="165">
        <v>0</v>
      </c>
      <c r="G1308" s="165">
        <v>131148</v>
      </c>
      <c r="H1308" s="165">
        <v>0</v>
      </c>
      <c r="I1308" s="163"/>
      <c r="J1308" s="166"/>
      <c r="K1308" s="167"/>
      <c r="L1308" s="167">
        <v>709</v>
      </c>
      <c r="M1308" s="168">
        <v>46050</v>
      </c>
      <c r="N1308" s="169" t="s">
        <v>2152</v>
      </c>
      <c r="O1308" s="162" t="s">
        <v>212</v>
      </c>
    </row>
    <row r="1309" spans="1:15" x14ac:dyDescent="0.25">
      <c r="A1309" s="154">
        <v>1309</v>
      </c>
      <c r="B1309" s="162" t="s">
        <v>113</v>
      </c>
      <c r="C1309" s="163">
        <v>88888445</v>
      </c>
      <c r="D1309" s="164" t="s">
        <v>836</v>
      </c>
      <c r="E1309" s="165">
        <v>131148</v>
      </c>
      <c r="F1309" s="165">
        <v>0</v>
      </c>
      <c r="G1309" s="165">
        <v>131148</v>
      </c>
      <c r="H1309" s="165">
        <v>0</v>
      </c>
      <c r="I1309" s="163"/>
      <c r="J1309" s="166"/>
      <c r="K1309" s="167"/>
      <c r="L1309" s="167">
        <v>709</v>
      </c>
      <c r="M1309" s="168">
        <v>46050</v>
      </c>
      <c r="N1309" s="169" t="s">
        <v>2152</v>
      </c>
      <c r="O1309" s="162" t="s">
        <v>212</v>
      </c>
    </row>
    <row r="1310" spans="1:15" x14ac:dyDescent="0.25">
      <c r="A1310" s="154">
        <v>1310</v>
      </c>
      <c r="B1310" s="162" t="s">
        <v>113</v>
      </c>
      <c r="C1310" s="163">
        <v>88888445</v>
      </c>
      <c r="D1310" s="164" t="s">
        <v>836</v>
      </c>
      <c r="E1310" s="165">
        <v>131148</v>
      </c>
      <c r="F1310" s="165">
        <v>0</v>
      </c>
      <c r="G1310" s="165">
        <v>131148</v>
      </c>
      <c r="H1310" s="165">
        <v>0</v>
      </c>
      <c r="I1310" s="163"/>
      <c r="J1310" s="166"/>
      <c r="K1310" s="167"/>
      <c r="L1310" s="167">
        <v>709</v>
      </c>
      <c r="M1310" s="168">
        <v>46050</v>
      </c>
      <c r="N1310" s="169" t="s">
        <v>2152</v>
      </c>
      <c r="O1310" s="162" t="s">
        <v>212</v>
      </c>
    </row>
    <row r="1311" spans="1:15" x14ac:dyDescent="0.25">
      <c r="A1311" s="154">
        <v>1311</v>
      </c>
      <c r="B1311" s="162" t="s">
        <v>113</v>
      </c>
      <c r="C1311" s="163">
        <v>88888445</v>
      </c>
      <c r="D1311" s="164" t="s">
        <v>836</v>
      </c>
      <c r="E1311" s="165">
        <v>131148</v>
      </c>
      <c r="F1311" s="165">
        <v>0</v>
      </c>
      <c r="G1311" s="165">
        <v>131148</v>
      </c>
      <c r="H1311" s="165">
        <v>0</v>
      </c>
      <c r="I1311" s="163"/>
      <c r="J1311" s="166"/>
      <c r="K1311" s="167"/>
      <c r="L1311" s="167">
        <v>709</v>
      </c>
      <c r="M1311" s="168">
        <v>46050</v>
      </c>
      <c r="N1311" s="169" t="s">
        <v>2152</v>
      </c>
      <c r="O1311" s="162" t="s">
        <v>212</v>
      </c>
    </row>
    <row r="1312" spans="1:15" x14ac:dyDescent="0.25">
      <c r="A1312" s="154">
        <v>1312</v>
      </c>
      <c r="B1312" s="162" t="s">
        <v>113</v>
      </c>
      <c r="C1312" s="163">
        <v>88888445</v>
      </c>
      <c r="D1312" s="164" t="s">
        <v>836</v>
      </c>
      <c r="E1312" s="165">
        <v>4295188</v>
      </c>
      <c r="F1312" s="165">
        <v>4295188</v>
      </c>
      <c r="G1312" s="165">
        <v>0</v>
      </c>
      <c r="H1312" s="165">
        <v>0</v>
      </c>
      <c r="I1312" s="163"/>
      <c r="J1312" s="166"/>
      <c r="K1312" s="167"/>
      <c r="L1312" s="167">
        <v>709</v>
      </c>
      <c r="M1312" s="168">
        <v>46050</v>
      </c>
      <c r="N1312" s="169" t="s">
        <v>2242</v>
      </c>
      <c r="O1312" s="162" t="s">
        <v>194</v>
      </c>
    </row>
    <row r="1313" spans="1:15" x14ac:dyDescent="0.25">
      <c r="A1313" s="154">
        <v>1313</v>
      </c>
      <c r="B1313" s="162" t="s">
        <v>114</v>
      </c>
      <c r="C1313" s="163">
        <v>29422665</v>
      </c>
      <c r="D1313" s="164" t="s">
        <v>836</v>
      </c>
      <c r="E1313" s="165">
        <v>2790060</v>
      </c>
      <c r="F1313" s="165">
        <v>1195740</v>
      </c>
      <c r="G1313" s="165">
        <v>1594320</v>
      </c>
      <c r="H1313" s="165">
        <v>0</v>
      </c>
      <c r="I1313" s="163"/>
      <c r="J1313" s="166"/>
      <c r="K1313" s="167"/>
      <c r="L1313" s="167">
        <v>709</v>
      </c>
      <c r="M1313" s="168">
        <v>46050</v>
      </c>
      <c r="N1313" s="169" t="s">
        <v>2243</v>
      </c>
      <c r="O1313" s="162" t="s">
        <v>194</v>
      </c>
    </row>
    <row r="1314" spans="1:15" x14ac:dyDescent="0.25">
      <c r="A1314" s="154">
        <v>1314</v>
      </c>
      <c r="B1314" s="162" t="s">
        <v>115</v>
      </c>
      <c r="C1314" s="163">
        <v>27622810</v>
      </c>
      <c r="D1314" s="164" t="s">
        <v>836</v>
      </c>
      <c r="E1314" s="165">
        <v>1594320</v>
      </c>
      <c r="F1314" s="165">
        <v>797160</v>
      </c>
      <c r="G1314" s="165">
        <v>797160</v>
      </c>
      <c r="H1314" s="165">
        <v>0</v>
      </c>
      <c r="I1314" s="163"/>
      <c r="J1314" s="166"/>
      <c r="K1314" s="167"/>
      <c r="L1314" s="167">
        <v>709</v>
      </c>
      <c r="M1314" s="168">
        <v>46050</v>
      </c>
      <c r="N1314" s="169" t="s">
        <v>2244</v>
      </c>
      <c r="O1314" s="162" t="s">
        <v>194</v>
      </c>
    </row>
    <row r="1315" spans="1:15" x14ac:dyDescent="0.25">
      <c r="A1315" s="154">
        <v>1315</v>
      </c>
      <c r="B1315" s="162" t="s">
        <v>116</v>
      </c>
      <c r="C1315" s="163">
        <v>11859085</v>
      </c>
      <c r="D1315" s="164" t="s">
        <v>836</v>
      </c>
      <c r="E1315" s="165">
        <v>1195740</v>
      </c>
      <c r="F1315" s="165">
        <v>1195740</v>
      </c>
      <c r="G1315" s="165">
        <v>0</v>
      </c>
      <c r="H1315" s="165">
        <v>0</v>
      </c>
      <c r="I1315" s="163"/>
      <c r="J1315" s="166"/>
      <c r="K1315" s="167"/>
      <c r="L1315" s="167">
        <v>709</v>
      </c>
      <c r="M1315" s="168">
        <v>46050</v>
      </c>
      <c r="N1315" s="169" t="s">
        <v>2245</v>
      </c>
      <c r="O1315" s="162" t="s">
        <v>241</v>
      </c>
    </row>
    <row r="1316" spans="1:15" x14ac:dyDescent="0.25">
      <c r="A1316" s="154">
        <v>1316</v>
      </c>
      <c r="B1316" s="162" t="s">
        <v>117</v>
      </c>
      <c r="C1316" s="163">
        <v>3267725</v>
      </c>
      <c r="D1316" s="164" t="s">
        <v>836</v>
      </c>
      <c r="E1316" s="165">
        <v>106010</v>
      </c>
      <c r="F1316" s="165">
        <v>0</v>
      </c>
      <c r="G1316" s="165">
        <v>106010</v>
      </c>
      <c r="H1316" s="165">
        <v>0</v>
      </c>
      <c r="I1316" s="163"/>
      <c r="J1316" s="166"/>
      <c r="K1316" s="167"/>
      <c r="L1316" s="167">
        <v>709</v>
      </c>
      <c r="M1316" s="168">
        <v>46050</v>
      </c>
      <c r="N1316" s="169" t="s">
        <v>2246</v>
      </c>
      <c r="O1316" s="162" t="s">
        <v>241</v>
      </c>
    </row>
    <row r="1317" spans="1:15" x14ac:dyDescent="0.25">
      <c r="A1317" s="154">
        <v>1317</v>
      </c>
      <c r="B1317" s="162" t="s">
        <v>117</v>
      </c>
      <c r="C1317" s="163">
        <v>3267725</v>
      </c>
      <c r="D1317" s="164" t="s">
        <v>836</v>
      </c>
      <c r="E1317" s="165">
        <v>80616</v>
      </c>
      <c r="F1317" s="165">
        <v>0</v>
      </c>
      <c r="G1317" s="165">
        <v>80616</v>
      </c>
      <c r="H1317" s="165">
        <v>0</v>
      </c>
      <c r="I1317" s="163"/>
      <c r="J1317" s="166"/>
      <c r="K1317" s="167"/>
      <c r="L1317" s="167">
        <v>709</v>
      </c>
      <c r="M1317" s="168">
        <v>46050</v>
      </c>
      <c r="N1317" s="169" t="s">
        <v>2246</v>
      </c>
      <c r="O1317" s="162" t="s">
        <v>241</v>
      </c>
    </row>
    <row r="1318" spans="1:15" x14ac:dyDescent="0.25">
      <c r="A1318" s="154">
        <v>1318</v>
      </c>
      <c r="B1318" s="162" t="s">
        <v>118</v>
      </c>
      <c r="C1318" s="163">
        <v>27102523</v>
      </c>
      <c r="D1318" s="164" t="s">
        <v>836</v>
      </c>
      <c r="E1318" s="165">
        <v>68120</v>
      </c>
      <c r="F1318" s="165">
        <v>68120</v>
      </c>
      <c r="G1318" s="165">
        <v>0</v>
      </c>
      <c r="H1318" s="165">
        <v>0</v>
      </c>
      <c r="I1318" s="163"/>
      <c r="J1318" s="166"/>
      <c r="K1318" s="167"/>
      <c r="L1318" s="167">
        <v>709</v>
      </c>
      <c r="M1318" s="168">
        <v>46050</v>
      </c>
      <c r="N1318" s="169" t="s">
        <v>2247</v>
      </c>
      <c r="O1318" s="162" t="s">
        <v>241</v>
      </c>
    </row>
    <row r="1319" spans="1:15" x14ac:dyDescent="0.25">
      <c r="A1319" s="154">
        <v>1319</v>
      </c>
      <c r="B1319" s="162" t="s">
        <v>118</v>
      </c>
      <c r="C1319" s="163">
        <v>27102523</v>
      </c>
      <c r="D1319" s="164" t="s">
        <v>836</v>
      </c>
      <c r="E1319" s="165">
        <v>1594320</v>
      </c>
      <c r="F1319" s="165">
        <v>1594320</v>
      </c>
      <c r="G1319" s="165">
        <v>0</v>
      </c>
      <c r="H1319" s="165">
        <v>0</v>
      </c>
      <c r="I1319" s="163"/>
      <c r="J1319" s="166"/>
      <c r="K1319" s="167"/>
      <c r="L1319" s="167">
        <v>709</v>
      </c>
      <c r="M1319" s="168">
        <v>46050</v>
      </c>
      <c r="N1319" s="169" t="s">
        <v>2248</v>
      </c>
      <c r="O1319" s="162" t="s">
        <v>194</v>
      </c>
    </row>
    <row r="1320" spans="1:15" x14ac:dyDescent="0.25">
      <c r="A1320" s="154">
        <v>1320</v>
      </c>
      <c r="B1320" s="162" t="s">
        <v>119</v>
      </c>
      <c r="C1320" s="163">
        <v>25704353</v>
      </c>
      <c r="D1320" s="164" t="s">
        <v>836</v>
      </c>
      <c r="E1320" s="165">
        <v>68120</v>
      </c>
      <c r="F1320" s="165">
        <v>68120</v>
      </c>
      <c r="G1320" s="165">
        <v>0</v>
      </c>
      <c r="H1320" s="165">
        <v>0</v>
      </c>
      <c r="I1320" s="163"/>
      <c r="J1320" s="166"/>
      <c r="K1320" s="167"/>
      <c r="L1320" s="167">
        <v>709</v>
      </c>
      <c r="M1320" s="168">
        <v>46050</v>
      </c>
      <c r="N1320" s="169" t="s">
        <v>2249</v>
      </c>
      <c r="O1320" s="162" t="s">
        <v>241</v>
      </c>
    </row>
    <row r="1321" spans="1:15" x14ac:dyDescent="0.25">
      <c r="A1321" s="154">
        <v>1321</v>
      </c>
      <c r="B1321" s="162" t="s">
        <v>120</v>
      </c>
      <c r="C1321" s="163">
        <v>82085</v>
      </c>
      <c r="D1321" s="164" t="s">
        <v>836</v>
      </c>
      <c r="E1321" s="165">
        <v>6685</v>
      </c>
      <c r="F1321" s="165">
        <v>0</v>
      </c>
      <c r="G1321" s="165">
        <v>6685</v>
      </c>
      <c r="H1321" s="165">
        <v>0</v>
      </c>
      <c r="I1321" s="163"/>
      <c r="J1321" s="166"/>
      <c r="K1321" s="167"/>
      <c r="L1321" s="167">
        <v>709</v>
      </c>
      <c r="M1321" s="168">
        <v>46050</v>
      </c>
      <c r="N1321" s="169" t="s">
        <v>2152</v>
      </c>
      <c r="O1321" s="162" t="s">
        <v>185</v>
      </c>
    </row>
    <row r="1322" spans="1:15" x14ac:dyDescent="0.25">
      <c r="A1322" s="154">
        <v>1322</v>
      </c>
      <c r="B1322" s="162" t="s">
        <v>121</v>
      </c>
      <c r="C1322" s="163">
        <v>106697</v>
      </c>
      <c r="D1322" s="164" t="s">
        <v>836</v>
      </c>
      <c r="E1322" s="165">
        <v>31297</v>
      </c>
      <c r="F1322" s="165">
        <v>0</v>
      </c>
      <c r="G1322" s="165">
        <v>31297</v>
      </c>
      <c r="H1322" s="165">
        <v>0</v>
      </c>
      <c r="I1322" s="163"/>
      <c r="J1322" s="166"/>
      <c r="K1322" s="167"/>
      <c r="L1322" s="167">
        <v>709</v>
      </c>
      <c r="M1322" s="168">
        <v>46050</v>
      </c>
      <c r="N1322" s="169" t="s">
        <v>2152</v>
      </c>
      <c r="O1322" s="162" t="s">
        <v>185</v>
      </c>
    </row>
    <row r="1323" spans="1:15" x14ac:dyDescent="0.25">
      <c r="A1323" s="154">
        <v>1323</v>
      </c>
      <c r="B1323" s="162" t="s">
        <v>122</v>
      </c>
      <c r="C1323" s="163">
        <v>82085</v>
      </c>
      <c r="D1323" s="164" t="s">
        <v>836</v>
      </c>
      <c r="E1323" s="165">
        <v>6685</v>
      </c>
      <c r="F1323" s="165">
        <v>0</v>
      </c>
      <c r="G1323" s="165">
        <v>6685</v>
      </c>
      <c r="H1323" s="165">
        <v>0</v>
      </c>
      <c r="I1323" s="163"/>
      <c r="J1323" s="166"/>
      <c r="K1323" s="167"/>
      <c r="L1323" s="167">
        <v>709</v>
      </c>
      <c r="M1323" s="168">
        <v>46050</v>
      </c>
      <c r="N1323" s="169" t="s">
        <v>2152</v>
      </c>
      <c r="O1323" s="162" t="s">
        <v>185</v>
      </c>
    </row>
    <row r="1324" spans="1:15" x14ac:dyDescent="0.25">
      <c r="A1324" s="154">
        <v>1324</v>
      </c>
      <c r="B1324" s="162" t="s">
        <v>123</v>
      </c>
      <c r="C1324" s="163">
        <v>5935091</v>
      </c>
      <c r="D1324" s="164" t="s">
        <v>836</v>
      </c>
      <c r="E1324" s="165">
        <v>2249605</v>
      </c>
      <c r="F1324" s="165">
        <v>1269690</v>
      </c>
      <c r="G1324" s="165">
        <v>979915</v>
      </c>
      <c r="H1324" s="165">
        <v>0</v>
      </c>
      <c r="I1324" s="163"/>
      <c r="J1324" s="166"/>
      <c r="K1324" s="167"/>
      <c r="L1324" s="167">
        <v>709</v>
      </c>
      <c r="M1324" s="168">
        <v>46050</v>
      </c>
      <c r="N1324" s="169" t="s">
        <v>2250</v>
      </c>
      <c r="O1324" s="162" t="s">
        <v>279</v>
      </c>
    </row>
    <row r="1325" spans="1:15" x14ac:dyDescent="0.25">
      <c r="A1325" s="154">
        <v>1325</v>
      </c>
      <c r="B1325" s="162" t="s">
        <v>124</v>
      </c>
      <c r="C1325" s="163">
        <v>8895762</v>
      </c>
      <c r="D1325" s="164" t="s">
        <v>836</v>
      </c>
      <c r="E1325" s="165">
        <v>336171</v>
      </c>
      <c r="F1325" s="165">
        <v>336171</v>
      </c>
      <c r="G1325" s="165">
        <v>0</v>
      </c>
      <c r="H1325" s="165">
        <v>0</v>
      </c>
      <c r="I1325" s="163"/>
      <c r="J1325" s="166"/>
      <c r="K1325" s="167"/>
      <c r="L1325" s="167">
        <v>709</v>
      </c>
      <c r="M1325" s="168">
        <v>46050</v>
      </c>
      <c r="N1325" s="169" t="s">
        <v>2251</v>
      </c>
      <c r="O1325" s="162" t="s">
        <v>275</v>
      </c>
    </row>
    <row r="1326" spans="1:15" x14ac:dyDescent="0.25">
      <c r="A1326" s="154">
        <v>1326</v>
      </c>
      <c r="B1326" s="162" t="s">
        <v>124</v>
      </c>
      <c r="C1326" s="163">
        <v>8895762</v>
      </c>
      <c r="D1326" s="164" t="s">
        <v>836</v>
      </c>
      <c r="E1326" s="165">
        <v>336171</v>
      </c>
      <c r="F1326" s="165">
        <v>336171</v>
      </c>
      <c r="G1326" s="165">
        <v>0</v>
      </c>
      <c r="H1326" s="165">
        <v>0</v>
      </c>
      <c r="I1326" s="163"/>
      <c r="J1326" s="166"/>
      <c r="K1326" s="167"/>
      <c r="L1326" s="167">
        <v>709</v>
      </c>
      <c r="M1326" s="168">
        <v>46050</v>
      </c>
      <c r="N1326" s="169" t="s">
        <v>2251</v>
      </c>
      <c r="O1326" s="162" t="s">
        <v>275</v>
      </c>
    </row>
    <row r="1327" spans="1:15" x14ac:dyDescent="0.25">
      <c r="A1327" s="154">
        <v>1327</v>
      </c>
      <c r="B1327" s="162" t="s">
        <v>125</v>
      </c>
      <c r="C1327" s="163">
        <v>3677286</v>
      </c>
      <c r="D1327" s="164" t="s">
        <v>836</v>
      </c>
      <c r="E1327" s="165">
        <v>4700</v>
      </c>
      <c r="F1327" s="165">
        <v>4700</v>
      </c>
      <c r="G1327" s="165">
        <v>0</v>
      </c>
      <c r="H1327" s="165">
        <v>0</v>
      </c>
      <c r="I1327" s="163"/>
      <c r="J1327" s="166"/>
      <c r="K1327" s="167"/>
      <c r="L1327" s="167">
        <v>709</v>
      </c>
      <c r="M1327" s="168">
        <v>46050</v>
      </c>
      <c r="N1327" s="169" t="s">
        <v>2252</v>
      </c>
      <c r="O1327" s="162" t="s">
        <v>237</v>
      </c>
    </row>
    <row r="1328" spans="1:15" x14ac:dyDescent="0.25">
      <c r="A1328" s="154">
        <v>1328</v>
      </c>
      <c r="B1328" s="162" t="s">
        <v>125</v>
      </c>
      <c r="C1328" s="163">
        <v>3677286</v>
      </c>
      <c r="D1328" s="164" t="s">
        <v>836</v>
      </c>
      <c r="E1328" s="165">
        <v>4700</v>
      </c>
      <c r="F1328" s="165">
        <v>4700</v>
      </c>
      <c r="G1328" s="165">
        <v>0</v>
      </c>
      <c r="H1328" s="165">
        <v>0</v>
      </c>
      <c r="I1328" s="163"/>
      <c r="J1328" s="166"/>
      <c r="K1328" s="167"/>
      <c r="L1328" s="167">
        <v>709</v>
      </c>
      <c r="M1328" s="168">
        <v>46050</v>
      </c>
      <c r="N1328" s="169" t="s">
        <v>2252</v>
      </c>
      <c r="O1328" s="162" t="s">
        <v>237</v>
      </c>
    </row>
    <row r="1329" spans="1:15" x14ac:dyDescent="0.25">
      <c r="A1329" s="154">
        <v>1329</v>
      </c>
      <c r="B1329" s="162" t="s">
        <v>126</v>
      </c>
      <c r="C1329" s="163">
        <v>3795799</v>
      </c>
      <c r="D1329" s="164" t="s">
        <v>836</v>
      </c>
      <c r="E1329" s="165">
        <v>4700</v>
      </c>
      <c r="F1329" s="165">
        <v>4700</v>
      </c>
      <c r="G1329" s="165">
        <v>0</v>
      </c>
      <c r="H1329" s="165">
        <v>0</v>
      </c>
      <c r="I1329" s="163"/>
      <c r="J1329" s="166"/>
      <c r="K1329" s="167"/>
      <c r="L1329" s="167">
        <v>709</v>
      </c>
      <c r="M1329" s="168">
        <v>46050</v>
      </c>
      <c r="N1329" s="169" t="s">
        <v>2252</v>
      </c>
      <c r="O1329" s="162" t="s">
        <v>237</v>
      </c>
    </row>
    <row r="1330" spans="1:15" x14ac:dyDescent="0.25">
      <c r="A1330" s="154">
        <v>1330</v>
      </c>
      <c r="B1330" s="162" t="s">
        <v>127</v>
      </c>
      <c r="C1330" s="163">
        <v>106697</v>
      </c>
      <c r="D1330" s="164" t="s">
        <v>836</v>
      </c>
      <c r="E1330" s="165">
        <v>31297</v>
      </c>
      <c r="F1330" s="165">
        <v>0</v>
      </c>
      <c r="G1330" s="165">
        <v>31297</v>
      </c>
      <c r="H1330" s="165">
        <v>0</v>
      </c>
      <c r="I1330" s="163"/>
      <c r="J1330" s="166"/>
      <c r="K1330" s="167"/>
      <c r="L1330" s="167">
        <v>709</v>
      </c>
      <c r="M1330" s="168">
        <v>46050</v>
      </c>
      <c r="N1330" s="169" t="s">
        <v>2152</v>
      </c>
      <c r="O1330" s="162" t="s">
        <v>185</v>
      </c>
    </row>
    <row r="1331" spans="1:15" x14ac:dyDescent="0.25">
      <c r="A1331" s="154">
        <v>1331</v>
      </c>
      <c r="B1331" s="162" t="s">
        <v>128</v>
      </c>
      <c r="C1331" s="163">
        <v>82085</v>
      </c>
      <c r="D1331" s="164" t="s">
        <v>836</v>
      </c>
      <c r="E1331" s="165">
        <v>6685</v>
      </c>
      <c r="F1331" s="165">
        <v>0</v>
      </c>
      <c r="G1331" s="165">
        <v>6685</v>
      </c>
      <c r="H1331" s="165">
        <v>0</v>
      </c>
      <c r="I1331" s="163"/>
      <c r="J1331" s="166"/>
      <c r="K1331" s="167"/>
      <c r="L1331" s="167">
        <v>709</v>
      </c>
      <c r="M1331" s="168">
        <v>46050</v>
      </c>
      <c r="N1331" s="169" t="s">
        <v>2152</v>
      </c>
      <c r="O1331" s="162" t="s">
        <v>185</v>
      </c>
    </row>
    <row r="1332" spans="1:15" x14ac:dyDescent="0.25">
      <c r="A1332" s="154">
        <v>1332</v>
      </c>
      <c r="B1332" s="162" t="s">
        <v>129</v>
      </c>
      <c r="C1332" s="163">
        <v>106697</v>
      </c>
      <c r="D1332" s="164" t="s">
        <v>836</v>
      </c>
      <c r="E1332" s="165">
        <v>31297</v>
      </c>
      <c r="F1332" s="165">
        <v>0</v>
      </c>
      <c r="G1332" s="165">
        <v>31297</v>
      </c>
      <c r="H1332" s="165">
        <v>0</v>
      </c>
      <c r="I1332" s="163"/>
      <c r="J1332" s="166"/>
      <c r="K1332" s="167"/>
      <c r="L1332" s="167">
        <v>709</v>
      </c>
      <c r="M1332" s="168">
        <v>46050</v>
      </c>
      <c r="N1332" s="169" t="s">
        <v>2152</v>
      </c>
      <c r="O1332" s="162" t="s">
        <v>185</v>
      </c>
    </row>
    <row r="1333" spans="1:15" x14ac:dyDescent="0.25">
      <c r="A1333" s="154">
        <v>1333</v>
      </c>
      <c r="B1333" s="162" t="s">
        <v>130</v>
      </c>
      <c r="C1333" s="163">
        <v>106697</v>
      </c>
      <c r="D1333" s="164" t="s">
        <v>836</v>
      </c>
      <c r="E1333" s="165">
        <v>31297</v>
      </c>
      <c r="F1333" s="165">
        <v>0</v>
      </c>
      <c r="G1333" s="165">
        <v>31297</v>
      </c>
      <c r="H1333" s="165">
        <v>0</v>
      </c>
      <c r="I1333" s="163"/>
      <c r="J1333" s="166"/>
      <c r="K1333" s="167"/>
      <c r="L1333" s="167">
        <v>709</v>
      </c>
      <c r="M1333" s="168">
        <v>46050</v>
      </c>
      <c r="N1333" s="169" t="s">
        <v>2152</v>
      </c>
      <c r="O1333" s="162" t="s">
        <v>185</v>
      </c>
    </row>
    <row r="1334" spans="1:15" x14ac:dyDescent="0.25">
      <c r="A1334" s="154">
        <v>1334</v>
      </c>
      <c r="B1334" s="162" t="s">
        <v>132</v>
      </c>
      <c r="C1334" s="163">
        <v>24970048</v>
      </c>
      <c r="D1334" s="164" t="s">
        <v>836</v>
      </c>
      <c r="E1334" s="165">
        <v>797160</v>
      </c>
      <c r="F1334" s="165">
        <v>797160</v>
      </c>
      <c r="G1334" s="165">
        <v>0</v>
      </c>
      <c r="H1334" s="165">
        <v>0</v>
      </c>
      <c r="I1334" s="163"/>
      <c r="J1334" s="166"/>
      <c r="K1334" s="167"/>
      <c r="L1334" s="167">
        <v>709</v>
      </c>
      <c r="M1334" s="168">
        <v>46050</v>
      </c>
      <c r="N1334" s="169" t="s">
        <v>2253</v>
      </c>
      <c r="O1334" s="162" t="s">
        <v>194</v>
      </c>
    </row>
    <row r="1335" spans="1:15" x14ac:dyDescent="0.25">
      <c r="A1335" s="154">
        <v>1335</v>
      </c>
      <c r="B1335" s="162" t="s">
        <v>133</v>
      </c>
      <c r="C1335" s="163">
        <v>43568239</v>
      </c>
      <c r="D1335" s="164" t="s">
        <v>836</v>
      </c>
      <c r="E1335" s="165">
        <v>389016</v>
      </c>
      <c r="F1335" s="165">
        <v>0</v>
      </c>
      <c r="G1335" s="165">
        <v>389016</v>
      </c>
      <c r="H1335" s="165">
        <v>0</v>
      </c>
      <c r="I1335" s="163"/>
      <c r="J1335" s="166"/>
      <c r="K1335" s="167"/>
      <c r="L1335" s="167">
        <v>709</v>
      </c>
      <c r="M1335" s="168">
        <v>46050</v>
      </c>
      <c r="N1335" s="169" t="s">
        <v>2222</v>
      </c>
      <c r="O1335" s="162" t="s">
        <v>237</v>
      </c>
    </row>
    <row r="1336" spans="1:15" x14ac:dyDescent="0.25">
      <c r="A1336" s="154">
        <v>1336</v>
      </c>
      <c r="B1336" s="162" t="s">
        <v>133</v>
      </c>
      <c r="C1336" s="163">
        <v>43568239</v>
      </c>
      <c r="D1336" s="164" t="s">
        <v>836</v>
      </c>
      <c r="E1336" s="165">
        <v>1223302</v>
      </c>
      <c r="F1336" s="165">
        <v>1223302</v>
      </c>
      <c r="G1336" s="165">
        <v>0</v>
      </c>
      <c r="H1336" s="165">
        <v>0</v>
      </c>
      <c r="I1336" s="163"/>
      <c r="J1336" s="166"/>
      <c r="K1336" s="167"/>
      <c r="L1336" s="167">
        <v>709</v>
      </c>
      <c r="M1336" s="168">
        <v>46050</v>
      </c>
      <c r="N1336" s="169" t="s">
        <v>2254</v>
      </c>
      <c r="O1336" s="162" t="s">
        <v>194</v>
      </c>
    </row>
    <row r="1337" spans="1:15" x14ac:dyDescent="0.25">
      <c r="A1337" s="154">
        <v>1337</v>
      </c>
      <c r="B1337" s="162" t="s">
        <v>134</v>
      </c>
      <c r="C1337" s="163">
        <v>110245982</v>
      </c>
      <c r="D1337" s="164" t="s">
        <v>836</v>
      </c>
      <c r="E1337" s="165">
        <v>1288699</v>
      </c>
      <c r="F1337" s="165">
        <v>1288699</v>
      </c>
      <c r="G1337" s="165">
        <v>0</v>
      </c>
      <c r="H1337" s="165">
        <v>0</v>
      </c>
      <c r="I1337" s="163"/>
      <c r="J1337" s="166"/>
      <c r="K1337" s="167"/>
      <c r="L1337" s="167">
        <v>709</v>
      </c>
      <c r="M1337" s="168">
        <v>46050</v>
      </c>
      <c r="N1337" s="169" t="s">
        <v>2255</v>
      </c>
      <c r="O1337" s="162" t="s">
        <v>201</v>
      </c>
    </row>
    <row r="1338" spans="1:15" x14ac:dyDescent="0.25">
      <c r="A1338" s="154">
        <v>1338</v>
      </c>
      <c r="B1338" s="162" t="s">
        <v>134</v>
      </c>
      <c r="C1338" s="163">
        <v>110245982</v>
      </c>
      <c r="D1338" s="164" t="s">
        <v>836</v>
      </c>
      <c r="E1338" s="165">
        <v>2790060</v>
      </c>
      <c r="F1338" s="165">
        <v>1594320</v>
      </c>
      <c r="G1338" s="165">
        <v>1195740</v>
      </c>
      <c r="H1338" s="165">
        <v>0</v>
      </c>
      <c r="I1338" s="163"/>
      <c r="J1338" s="166"/>
      <c r="K1338" s="167"/>
      <c r="L1338" s="167">
        <v>709</v>
      </c>
      <c r="M1338" s="168">
        <v>46050</v>
      </c>
      <c r="N1338" s="169" t="s">
        <v>2256</v>
      </c>
      <c r="O1338" s="162" t="s">
        <v>194</v>
      </c>
    </row>
    <row r="1339" spans="1:15" x14ac:dyDescent="0.25">
      <c r="A1339" s="154">
        <v>1339</v>
      </c>
      <c r="B1339" s="162" t="s">
        <v>134</v>
      </c>
      <c r="C1339" s="163">
        <v>110245982</v>
      </c>
      <c r="D1339" s="164" t="s">
        <v>836</v>
      </c>
      <c r="E1339" s="165">
        <v>3469000</v>
      </c>
      <c r="F1339" s="165">
        <v>555400</v>
      </c>
      <c r="G1339" s="165">
        <v>2913600</v>
      </c>
      <c r="H1339" s="165">
        <v>0</v>
      </c>
      <c r="I1339" s="163"/>
      <c r="J1339" s="166"/>
      <c r="K1339" s="167"/>
      <c r="L1339" s="167">
        <v>709</v>
      </c>
      <c r="M1339" s="168">
        <v>46050</v>
      </c>
      <c r="N1339" s="169" t="s">
        <v>2257</v>
      </c>
      <c r="O1339" s="162" t="s">
        <v>303</v>
      </c>
    </row>
    <row r="1340" spans="1:15" x14ac:dyDescent="0.25">
      <c r="A1340" s="154">
        <v>1340</v>
      </c>
      <c r="B1340" s="162" t="s">
        <v>134</v>
      </c>
      <c r="C1340" s="163">
        <v>110245982</v>
      </c>
      <c r="D1340" s="164" t="s">
        <v>836</v>
      </c>
      <c r="E1340" s="165">
        <v>4812800</v>
      </c>
      <c r="F1340" s="165">
        <v>1060160</v>
      </c>
      <c r="G1340" s="165">
        <v>3752640</v>
      </c>
      <c r="H1340" s="165">
        <v>0</v>
      </c>
      <c r="I1340" s="163"/>
      <c r="J1340" s="166"/>
      <c r="K1340" s="167"/>
      <c r="L1340" s="167">
        <v>709</v>
      </c>
      <c r="M1340" s="168">
        <v>46050</v>
      </c>
      <c r="N1340" s="169" t="s">
        <v>2258</v>
      </c>
      <c r="O1340" s="162" t="s">
        <v>303</v>
      </c>
    </row>
    <row r="1341" spans="1:15" x14ac:dyDescent="0.25">
      <c r="A1341" s="154">
        <v>1341</v>
      </c>
      <c r="B1341" s="162" t="s">
        <v>134</v>
      </c>
      <c r="C1341" s="163">
        <v>110245982</v>
      </c>
      <c r="D1341" s="164" t="s">
        <v>836</v>
      </c>
      <c r="E1341" s="165">
        <v>4062500</v>
      </c>
      <c r="F1341" s="165">
        <v>162500</v>
      </c>
      <c r="G1341" s="165">
        <v>3900000</v>
      </c>
      <c r="H1341" s="165">
        <v>0</v>
      </c>
      <c r="I1341" s="163"/>
      <c r="J1341" s="166"/>
      <c r="K1341" s="167"/>
      <c r="L1341" s="167">
        <v>709</v>
      </c>
      <c r="M1341" s="168">
        <v>46050</v>
      </c>
      <c r="N1341" s="169" t="s">
        <v>2259</v>
      </c>
      <c r="O1341" s="162" t="s">
        <v>303</v>
      </c>
    </row>
    <row r="1342" spans="1:15" x14ac:dyDescent="0.25">
      <c r="A1342" s="154">
        <v>1342</v>
      </c>
      <c r="B1342" s="162" t="s">
        <v>135</v>
      </c>
      <c r="C1342" s="163">
        <v>1255305</v>
      </c>
      <c r="D1342" s="164" t="s">
        <v>836</v>
      </c>
      <c r="E1342" s="165">
        <v>106010</v>
      </c>
      <c r="F1342" s="165">
        <v>0</v>
      </c>
      <c r="G1342" s="165">
        <v>106010</v>
      </c>
      <c r="H1342" s="165">
        <v>0</v>
      </c>
      <c r="I1342" s="163"/>
      <c r="J1342" s="166"/>
      <c r="K1342" s="167"/>
      <c r="L1342" s="167">
        <v>709</v>
      </c>
      <c r="M1342" s="168">
        <v>46050</v>
      </c>
      <c r="N1342" s="169" t="s">
        <v>2260</v>
      </c>
      <c r="O1342" s="162" t="s">
        <v>241</v>
      </c>
    </row>
    <row r="1343" spans="1:15" x14ac:dyDescent="0.25">
      <c r="A1343" s="154">
        <v>1343</v>
      </c>
      <c r="B1343" s="162" t="s">
        <v>135</v>
      </c>
      <c r="C1343" s="163">
        <v>1255305</v>
      </c>
      <c r="D1343" s="164" t="s">
        <v>836</v>
      </c>
      <c r="E1343" s="165">
        <v>18616</v>
      </c>
      <c r="F1343" s="165">
        <v>0</v>
      </c>
      <c r="G1343" s="165">
        <v>18616</v>
      </c>
      <c r="H1343" s="165">
        <v>0</v>
      </c>
      <c r="I1343" s="163"/>
      <c r="J1343" s="166"/>
      <c r="K1343" s="167"/>
      <c r="L1343" s="167">
        <v>709</v>
      </c>
      <c r="M1343" s="168">
        <v>46050</v>
      </c>
      <c r="N1343" s="169" t="s">
        <v>2260</v>
      </c>
      <c r="O1343" s="162" t="s">
        <v>241</v>
      </c>
    </row>
    <row r="1344" spans="1:15" x14ac:dyDescent="0.25">
      <c r="A1344" s="154">
        <v>1344</v>
      </c>
      <c r="B1344" s="162" t="s">
        <v>136</v>
      </c>
      <c r="C1344" s="163">
        <v>5505766</v>
      </c>
      <c r="D1344" s="164" t="s">
        <v>836</v>
      </c>
      <c r="E1344" s="165">
        <v>1684944</v>
      </c>
      <c r="F1344" s="165">
        <v>0</v>
      </c>
      <c r="G1344" s="165">
        <v>1684944</v>
      </c>
      <c r="H1344" s="165">
        <v>0</v>
      </c>
      <c r="I1344" s="163"/>
      <c r="J1344" s="166"/>
      <c r="K1344" s="167"/>
      <c r="L1344" s="167">
        <v>709</v>
      </c>
      <c r="M1344" s="168">
        <v>46050</v>
      </c>
      <c r="N1344" s="169" t="s">
        <v>2152</v>
      </c>
      <c r="O1344" s="162" t="s">
        <v>201</v>
      </c>
    </row>
    <row r="1345" spans="1:15" x14ac:dyDescent="0.25">
      <c r="A1345" s="154">
        <v>1345</v>
      </c>
      <c r="B1345" s="162" t="s">
        <v>137</v>
      </c>
      <c r="C1345" s="163">
        <v>35898903</v>
      </c>
      <c r="D1345" s="164" t="s">
        <v>836</v>
      </c>
      <c r="E1345" s="165">
        <v>3106100</v>
      </c>
      <c r="F1345" s="165">
        <v>497001</v>
      </c>
      <c r="G1345" s="165">
        <v>2609099</v>
      </c>
      <c r="H1345" s="165">
        <v>0</v>
      </c>
      <c r="I1345" s="163"/>
      <c r="J1345" s="166"/>
      <c r="K1345" s="167"/>
      <c r="L1345" s="167">
        <v>709</v>
      </c>
      <c r="M1345" s="168">
        <v>46050</v>
      </c>
      <c r="N1345" s="169" t="s">
        <v>2261</v>
      </c>
      <c r="O1345" s="162" t="s">
        <v>303</v>
      </c>
    </row>
    <row r="1346" spans="1:15" x14ac:dyDescent="0.25">
      <c r="A1346" s="154">
        <v>1346</v>
      </c>
      <c r="B1346" s="162" t="s">
        <v>137</v>
      </c>
      <c r="C1346" s="163">
        <v>35898903</v>
      </c>
      <c r="D1346" s="164" t="s">
        <v>836</v>
      </c>
      <c r="E1346" s="165">
        <v>5209000</v>
      </c>
      <c r="F1346" s="165">
        <v>833465</v>
      </c>
      <c r="G1346" s="165">
        <v>4375535</v>
      </c>
      <c r="H1346" s="165">
        <v>0</v>
      </c>
      <c r="I1346" s="163"/>
      <c r="J1346" s="166"/>
      <c r="K1346" s="167"/>
      <c r="L1346" s="167">
        <v>709</v>
      </c>
      <c r="M1346" s="168">
        <v>46050</v>
      </c>
      <c r="N1346" s="169" t="s">
        <v>2262</v>
      </c>
      <c r="O1346" s="162" t="s">
        <v>303</v>
      </c>
    </row>
    <row r="1347" spans="1:15" x14ac:dyDescent="0.25">
      <c r="A1347" s="154">
        <v>1347</v>
      </c>
      <c r="B1347" s="162" t="s">
        <v>137</v>
      </c>
      <c r="C1347" s="163">
        <v>35898903</v>
      </c>
      <c r="D1347" s="164" t="s">
        <v>836</v>
      </c>
      <c r="E1347" s="165">
        <v>968400</v>
      </c>
      <c r="F1347" s="165">
        <v>213273</v>
      </c>
      <c r="G1347" s="165">
        <v>755127</v>
      </c>
      <c r="H1347" s="165">
        <v>0</v>
      </c>
      <c r="I1347" s="163"/>
      <c r="J1347" s="166"/>
      <c r="K1347" s="167"/>
      <c r="L1347" s="167">
        <v>709</v>
      </c>
      <c r="M1347" s="168">
        <v>46050</v>
      </c>
      <c r="N1347" s="169" t="s">
        <v>2263</v>
      </c>
      <c r="O1347" s="162" t="s">
        <v>303</v>
      </c>
    </row>
    <row r="1348" spans="1:15" x14ac:dyDescent="0.25">
      <c r="A1348" s="154">
        <v>1348</v>
      </c>
      <c r="B1348" s="162" t="s">
        <v>137</v>
      </c>
      <c r="C1348" s="163">
        <v>35898903</v>
      </c>
      <c r="D1348" s="164" t="s">
        <v>836</v>
      </c>
      <c r="E1348" s="165">
        <v>2678400</v>
      </c>
      <c r="F1348" s="165">
        <v>428586</v>
      </c>
      <c r="G1348" s="165">
        <v>2249814</v>
      </c>
      <c r="H1348" s="165">
        <v>0</v>
      </c>
      <c r="I1348" s="163"/>
      <c r="J1348" s="166"/>
      <c r="K1348" s="167"/>
      <c r="L1348" s="167">
        <v>709</v>
      </c>
      <c r="M1348" s="168">
        <v>46050</v>
      </c>
      <c r="N1348" s="169" t="s">
        <v>2264</v>
      </c>
      <c r="O1348" s="162" t="s">
        <v>303</v>
      </c>
    </row>
    <row r="1349" spans="1:15" x14ac:dyDescent="0.25">
      <c r="A1349" s="154">
        <v>1349</v>
      </c>
      <c r="B1349" s="162" t="s">
        <v>137</v>
      </c>
      <c r="C1349" s="163">
        <v>35898903</v>
      </c>
      <c r="D1349" s="164" t="s">
        <v>836</v>
      </c>
      <c r="E1349" s="165">
        <v>525000</v>
      </c>
      <c r="F1349" s="165">
        <v>21000</v>
      </c>
      <c r="G1349" s="165">
        <v>504000</v>
      </c>
      <c r="H1349" s="165">
        <v>0</v>
      </c>
      <c r="I1349" s="163"/>
      <c r="J1349" s="166"/>
      <c r="K1349" s="167"/>
      <c r="L1349" s="167">
        <v>709</v>
      </c>
      <c r="M1349" s="168">
        <v>46050</v>
      </c>
      <c r="N1349" s="169" t="s">
        <v>2265</v>
      </c>
      <c r="O1349" s="162" t="s">
        <v>303</v>
      </c>
    </row>
    <row r="1350" spans="1:15" x14ac:dyDescent="0.25">
      <c r="A1350" s="154">
        <v>1350</v>
      </c>
      <c r="B1350" s="162" t="s">
        <v>137</v>
      </c>
      <c r="C1350" s="163">
        <v>35898903</v>
      </c>
      <c r="D1350" s="164" t="s">
        <v>836</v>
      </c>
      <c r="E1350" s="165">
        <v>3021700</v>
      </c>
      <c r="F1350" s="165">
        <v>483700</v>
      </c>
      <c r="G1350" s="165">
        <v>2538000</v>
      </c>
      <c r="H1350" s="165">
        <v>0</v>
      </c>
      <c r="I1350" s="163"/>
      <c r="J1350" s="166"/>
      <c r="K1350" s="167"/>
      <c r="L1350" s="167">
        <v>709</v>
      </c>
      <c r="M1350" s="168">
        <v>46050</v>
      </c>
      <c r="N1350" s="169" t="s">
        <v>2266</v>
      </c>
      <c r="O1350" s="162" t="s">
        <v>303</v>
      </c>
    </row>
    <row r="1351" spans="1:15" x14ac:dyDescent="0.25">
      <c r="A1351" s="154">
        <v>1351</v>
      </c>
      <c r="B1351" s="162" t="s">
        <v>137</v>
      </c>
      <c r="C1351" s="163">
        <v>35898903</v>
      </c>
      <c r="D1351" s="164" t="s">
        <v>836</v>
      </c>
      <c r="E1351" s="165">
        <v>10477600</v>
      </c>
      <c r="F1351" s="165">
        <v>1676800</v>
      </c>
      <c r="G1351" s="165">
        <v>8800800</v>
      </c>
      <c r="H1351" s="165">
        <v>0</v>
      </c>
      <c r="I1351" s="163"/>
      <c r="J1351" s="166"/>
      <c r="K1351" s="167"/>
      <c r="L1351" s="167">
        <v>709</v>
      </c>
      <c r="M1351" s="168">
        <v>46050</v>
      </c>
      <c r="N1351" s="169" t="s">
        <v>2267</v>
      </c>
      <c r="O1351" s="162" t="s">
        <v>303</v>
      </c>
    </row>
    <row r="1352" spans="1:15" x14ac:dyDescent="0.25">
      <c r="A1352" s="154">
        <v>1352</v>
      </c>
      <c r="B1352" s="162" t="s">
        <v>137</v>
      </c>
      <c r="C1352" s="163">
        <v>35898903</v>
      </c>
      <c r="D1352" s="164" t="s">
        <v>836</v>
      </c>
      <c r="E1352" s="165">
        <v>4675000</v>
      </c>
      <c r="F1352" s="165">
        <v>748000</v>
      </c>
      <c r="G1352" s="165">
        <v>3927000</v>
      </c>
      <c r="H1352" s="165">
        <v>0</v>
      </c>
      <c r="I1352" s="163"/>
      <c r="J1352" s="166"/>
      <c r="K1352" s="167"/>
      <c r="L1352" s="167">
        <v>709</v>
      </c>
      <c r="M1352" s="168">
        <v>46050</v>
      </c>
      <c r="N1352" s="169" t="s">
        <v>2268</v>
      </c>
      <c r="O1352" s="162" t="s">
        <v>303</v>
      </c>
    </row>
    <row r="1353" spans="1:15" x14ac:dyDescent="0.25">
      <c r="A1353" s="154">
        <v>1353</v>
      </c>
      <c r="B1353" s="162" t="s">
        <v>138</v>
      </c>
      <c r="C1353" s="163">
        <v>19152692</v>
      </c>
      <c r="D1353" s="164" t="s">
        <v>836</v>
      </c>
      <c r="E1353" s="165">
        <v>5238800</v>
      </c>
      <c r="F1353" s="165">
        <v>838400</v>
      </c>
      <c r="G1353" s="165">
        <v>4400400</v>
      </c>
      <c r="H1353" s="165">
        <v>0</v>
      </c>
      <c r="I1353" s="163"/>
      <c r="J1353" s="166"/>
      <c r="K1353" s="167"/>
      <c r="L1353" s="167">
        <v>709</v>
      </c>
      <c r="M1353" s="168">
        <v>46050</v>
      </c>
      <c r="N1353" s="169" t="s">
        <v>2269</v>
      </c>
      <c r="O1353" s="162" t="s">
        <v>303</v>
      </c>
    </row>
    <row r="1354" spans="1:15" x14ac:dyDescent="0.25">
      <c r="A1354" s="154">
        <v>1354</v>
      </c>
      <c r="B1354" s="162" t="s">
        <v>138</v>
      </c>
      <c r="C1354" s="163">
        <v>19152692</v>
      </c>
      <c r="D1354" s="164" t="s">
        <v>836</v>
      </c>
      <c r="E1354" s="165">
        <v>3106100</v>
      </c>
      <c r="F1354" s="165">
        <v>497001</v>
      </c>
      <c r="G1354" s="165">
        <v>2609099</v>
      </c>
      <c r="H1354" s="165">
        <v>0</v>
      </c>
      <c r="I1354" s="163"/>
      <c r="J1354" s="166"/>
      <c r="K1354" s="167"/>
      <c r="L1354" s="167">
        <v>709</v>
      </c>
      <c r="M1354" s="168">
        <v>46050</v>
      </c>
      <c r="N1354" s="169" t="s">
        <v>2261</v>
      </c>
      <c r="O1354" s="162" t="s">
        <v>303</v>
      </c>
    </row>
    <row r="1355" spans="1:15" x14ac:dyDescent="0.25">
      <c r="A1355" s="154">
        <v>1355</v>
      </c>
      <c r="B1355" s="162" t="s">
        <v>138</v>
      </c>
      <c r="C1355" s="163">
        <v>19152692</v>
      </c>
      <c r="D1355" s="164" t="s">
        <v>836</v>
      </c>
      <c r="E1355" s="165">
        <v>5209000</v>
      </c>
      <c r="F1355" s="165">
        <v>833465</v>
      </c>
      <c r="G1355" s="165">
        <v>4375535</v>
      </c>
      <c r="H1355" s="165">
        <v>0</v>
      </c>
      <c r="I1355" s="163"/>
      <c r="J1355" s="166"/>
      <c r="K1355" s="167"/>
      <c r="L1355" s="167">
        <v>709</v>
      </c>
      <c r="M1355" s="168">
        <v>46050</v>
      </c>
      <c r="N1355" s="169" t="s">
        <v>2262</v>
      </c>
      <c r="O1355" s="162" t="s">
        <v>303</v>
      </c>
    </row>
    <row r="1356" spans="1:15" x14ac:dyDescent="0.25">
      <c r="A1356" s="154">
        <v>1356</v>
      </c>
      <c r="B1356" s="162" t="s">
        <v>139</v>
      </c>
      <c r="C1356" s="163">
        <v>82085</v>
      </c>
      <c r="D1356" s="164" t="s">
        <v>836</v>
      </c>
      <c r="E1356" s="165">
        <v>6685</v>
      </c>
      <c r="F1356" s="165">
        <v>0</v>
      </c>
      <c r="G1356" s="165">
        <v>6685</v>
      </c>
      <c r="H1356" s="165">
        <v>0</v>
      </c>
      <c r="I1356" s="163"/>
      <c r="J1356" s="166"/>
      <c r="K1356" s="167"/>
      <c r="L1356" s="167">
        <v>709</v>
      </c>
      <c r="M1356" s="168">
        <v>46050</v>
      </c>
      <c r="N1356" s="169" t="s">
        <v>2152</v>
      </c>
      <c r="O1356" s="162" t="s">
        <v>185</v>
      </c>
    </row>
    <row r="1357" spans="1:15" x14ac:dyDescent="0.25">
      <c r="A1357" s="154">
        <v>1357</v>
      </c>
      <c r="B1357" s="162" t="s">
        <v>140</v>
      </c>
      <c r="C1357" s="163">
        <v>106697</v>
      </c>
      <c r="D1357" s="164" t="s">
        <v>836</v>
      </c>
      <c r="E1357" s="165">
        <v>31297</v>
      </c>
      <c r="F1357" s="165">
        <v>0</v>
      </c>
      <c r="G1357" s="165">
        <v>31297</v>
      </c>
      <c r="H1357" s="165">
        <v>0</v>
      </c>
      <c r="I1357" s="163"/>
      <c r="J1357" s="166"/>
      <c r="K1357" s="167"/>
      <c r="L1357" s="167">
        <v>709</v>
      </c>
      <c r="M1357" s="168">
        <v>46050</v>
      </c>
      <c r="N1357" s="169" t="s">
        <v>2152</v>
      </c>
      <c r="O1357" s="162" t="s">
        <v>185</v>
      </c>
    </row>
    <row r="1358" spans="1:15" x14ac:dyDescent="0.25">
      <c r="A1358" s="154">
        <v>1358</v>
      </c>
      <c r="B1358" s="162" t="s">
        <v>141</v>
      </c>
      <c r="C1358" s="163">
        <v>34214349</v>
      </c>
      <c r="D1358" s="164" t="s">
        <v>836</v>
      </c>
      <c r="E1358" s="165">
        <v>3308879</v>
      </c>
      <c r="F1358" s="165">
        <v>0</v>
      </c>
      <c r="G1358" s="165">
        <v>3308879</v>
      </c>
      <c r="H1358" s="165">
        <v>0</v>
      </c>
      <c r="I1358" s="163"/>
      <c r="J1358" s="166"/>
      <c r="K1358" s="167"/>
      <c r="L1358" s="167">
        <v>709</v>
      </c>
      <c r="M1358" s="168">
        <v>46050</v>
      </c>
      <c r="N1358" s="169" t="s">
        <v>2270</v>
      </c>
      <c r="O1358" s="162" t="s">
        <v>431</v>
      </c>
    </row>
    <row r="1359" spans="1:15" x14ac:dyDescent="0.25">
      <c r="A1359" s="154">
        <v>1359</v>
      </c>
      <c r="B1359" s="162" t="s">
        <v>141</v>
      </c>
      <c r="C1359" s="163">
        <v>34214349</v>
      </c>
      <c r="D1359" s="164" t="s">
        <v>836</v>
      </c>
      <c r="E1359" s="165">
        <v>734656</v>
      </c>
      <c r="F1359" s="165">
        <v>0</v>
      </c>
      <c r="G1359" s="165">
        <v>734656</v>
      </c>
      <c r="H1359" s="165">
        <v>0</v>
      </c>
      <c r="I1359" s="163"/>
      <c r="J1359" s="166"/>
      <c r="K1359" s="167"/>
      <c r="L1359" s="167">
        <v>709</v>
      </c>
      <c r="M1359" s="168">
        <v>46050</v>
      </c>
      <c r="N1359" s="169" t="s">
        <v>2270</v>
      </c>
      <c r="O1359" s="162" t="s">
        <v>431</v>
      </c>
    </row>
    <row r="1360" spans="1:15" x14ac:dyDescent="0.25">
      <c r="A1360" s="154">
        <v>1360</v>
      </c>
      <c r="B1360" s="162" t="s">
        <v>141</v>
      </c>
      <c r="C1360" s="163">
        <v>34214349</v>
      </c>
      <c r="D1360" s="164" t="s">
        <v>836</v>
      </c>
      <c r="E1360" s="165">
        <v>734656</v>
      </c>
      <c r="F1360" s="165">
        <v>0</v>
      </c>
      <c r="G1360" s="165">
        <v>734656</v>
      </c>
      <c r="H1360" s="165">
        <v>0</v>
      </c>
      <c r="I1360" s="163"/>
      <c r="J1360" s="166"/>
      <c r="K1360" s="167"/>
      <c r="L1360" s="167">
        <v>709</v>
      </c>
      <c r="M1360" s="168">
        <v>46050</v>
      </c>
      <c r="N1360" s="169" t="s">
        <v>2270</v>
      </c>
      <c r="O1360" s="162" t="s">
        <v>431</v>
      </c>
    </row>
    <row r="1361" spans="1:15" x14ac:dyDescent="0.25">
      <c r="A1361" s="154">
        <v>1361</v>
      </c>
      <c r="B1361" s="162" t="s">
        <v>141</v>
      </c>
      <c r="C1361" s="163">
        <v>34214349</v>
      </c>
      <c r="D1361" s="164" t="s">
        <v>836</v>
      </c>
      <c r="E1361" s="165">
        <v>656008</v>
      </c>
      <c r="F1361" s="165">
        <v>0</v>
      </c>
      <c r="G1361" s="165">
        <v>656008</v>
      </c>
      <c r="H1361" s="165">
        <v>0</v>
      </c>
      <c r="I1361" s="163"/>
      <c r="J1361" s="166"/>
      <c r="K1361" s="167"/>
      <c r="L1361" s="167">
        <v>709</v>
      </c>
      <c r="M1361" s="168">
        <v>46050</v>
      </c>
      <c r="N1361" s="169" t="s">
        <v>2270</v>
      </c>
      <c r="O1361" s="162" t="s">
        <v>431</v>
      </c>
    </row>
    <row r="1362" spans="1:15" x14ac:dyDescent="0.25">
      <c r="A1362" s="154">
        <v>1362</v>
      </c>
      <c r="B1362" s="162" t="s">
        <v>141</v>
      </c>
      <c r="C1362" s="163">
        <v>34214349</v>
      </c>
      <c r="D1362" s="164" t="s">
        <v>836</v>
      </c>
      <c r="E1362" s="165">
        <v>4675000</v>
      </c>
      <c r="F1362" s="165">
        <v>748000</v>
      </c>
      <c r="G1362" s="165">
        <v>3927000</v>
      </c>
      <c r="H1362" s="165">
        <v>0</v>
      </c>
      <c r="I1362" s="163"/>
      <c r="J1362" s="166"/>
      <c r="K1362" s="167"/>
      <c r="L1362" s="167">
        <v>709</v>
      </c>
      <c r="M1362" s="168">
        <v>46050</v>
      </c>
      <c r="N1362" s="169" t="s">
        <v>2268</v>
      </c>
      <c r="O1362" s="162" t="s">
        <v>227</v>
      </c>
    </row>
    <row r="1363" spans="1:15" x14ac:dyDescent="0.25">
      <c r="A1363" s="154">
        <v>1363</v>
      </c>
      <c r="B1363" s="162" t="s">
        <v>141</v>
      </c>
      <c r="C1363" s="163">
        <v>34214349</v>
      </c>
      <c r="D1363" s="164" t="s">
        <v>836</v>
      </c>
      <c r="E1363" s="165">
        <v>10477600</v>
      </c>
      <c r="F1363" s="165">
        <v>1676800</v>
      </c>
      <c r="G1363" s="165">
        <v>8800800</v>
      </c>
      <c r="H1363" s="165">
        <v>0</v>
      </c>
      <c r="I1363" s="163"/>
      <c r="J1363" s="166"/>
      <c r="K1363" s="167"/>
      <c r="L1363" s="167">
        <v>709</v>
      </c>
      <c r="M1363" s="168">
        <v>46050</v>
      </c>
      <c r="N1363" s="169" t="s">
        <v>2267</v>
      </c>
      <c r="O1363" s="162" t="s">
        <v>227</v>
      </c>
    </row>
    <row r="1364" spans="1:15" x14ac:dyDescent="0.25">
      <c r="A1364" s="154">
        <v>1364</v>
      </c>
      <c r="B1364" s="162" t="s">
        <v>141</v>
      </c>
      <c r="C1364" s="163">
        <v>34214349</v>
      </c>
      <c r="D1364" s="164" t="s">
        <v>836</v>
      </c>
      <c r="E1364" s="165">
        <v>1587500</v>
      </c>
      <c r="F1364" s="165">
        <v>63500</v>
      </c>
      <c r="G1364" s="165">
        <v>1524000</v>
      </c>
      <c r="H1364" s="165">
        <v>0</v>
      </c>
      <c r="I1364" s="163"/>
      <c r="J1364" s="166"/>
      <c r="K1364" s="167"/>
      <c r="L1364" s="167">
        <v>709</v>
      </c>
      <c r="M1364" s="168">
        <v>46050</v>
      </c>
      <c r="N1364" s="169" t="s">
        <v>2271</v>
      </c>
      <c r="O1364" s="162" t="s">
        <v>227</v>
      </c>
    </row>
    <row r="1365" spans="1:15" x14ac:dyDescent="0.25">
      <c r="A1365" s="154">
        <v>1365</v>
      </c>
      <c r="B1365" s="162" t="s">
        <v>141</v>
      </c>
      <c r="C1365" s="163">
        <v>34214349</v>
      </c>
      <c r="D1365" s="164" t="s">
        <v>836</v>
      </c>
      <c r="E1365" s="165">
        <v>3021700</v>
      </c>
      <c r="F1365" s="165">
        <v>483700</v>
      </c>
      <c r="G1365" s="165">
        <v>2538000</v>
      </c>
      <c r="H1365" s="165">
        <v>0</v>
      </c>
      <c r="I1365" s="163"/>
      <c r="J1365" s="166"/>
      <c r="K1365" s="167"/>
      <c r="L1365" s="167">
        <v>709</v>
      </c>
      <c r="M1365" s="168">
        <v>46050</v>
      </c>
      <c r="N1365" s="169" t="s">
        <v>2266</v>
      </c>
      <c r="O1365" s="162" t="s">
        <v>227</v>
      </c>
    </row>
    <row r="1366" spans="1:15" x14ac:dyDescent="0.25">
      <c r="A1366" s="154">
        <v>1366</v>
      </c>
      <c r="B1366" s="162" t="s">
        <v>141</v>
      </c>
      <c r="C1366" s="163">
        <v>34214349</v>
      </c>
      <c r="D1366" s="164" t="s">
        <v>836</v>
      </c>
      <c r="E1366" s="165">
        <v>3106100</v>
      </c>
      <c r="F1366" s="165">
        <v>497001</v>
      </c>
      <c r="G1366" s="165">
        <v>2609099</v>
      </c>
      <c r="H1366" s="165">
        <v>0</v>
      </c>
      <c r="I1366" s="163"/>
      <c r="J1366" s="166"/>
      <c r="K1366" s="167"/>
      <c r="L1366" s="167">
        <v>709</v>
      </c>
      <c r="M1366" s="168">
        <v>46050</v>
      </c>
      <c r="N1366" s="169" t="s">
        <v>2261</v>
      </c>
      <c r="O1366" s="162" t="s">
        <v>227</v>
      </c>
    </row>
    <row r="1367" spans="1:15" x14ac:dyDescent="0.25">
      <c r="A1367" s="154">
        <v>1367</v>
      </c>
      <c r="B1367" s="162" t="s">
        <v>141</v>
      </c>
      <c r="C1367" s="163">
        <v>34214349</v>
      </c>
      <c r="D1367" s="164" t="s">
        <v>836</v>
      </c>
      <c r="E1367" s="165">
        <v>5209000</v>
      </c>
      <c r="F1367" s="165">
        <v>833465</v>
      </c>
      <c r="G1367" s="165">
        <v>4375535</v>
      </c>
      <c r="H1367" s="165">
        <v>0</v>
      </c>
      <c r="I1367" s="163"/>
      <c r="J1367" s="166"/>
      <c r="K1367" s="167"/>
      <c r="L1367" s="167">
        <v>709</v>
      </c>
      <c r="M1367" s="168">
        <v>46050</v>
      </c>
      <c r="N1367" s="169" t="s">
        <v>2262</v>
      </c>
      <c r="O1367" s="162" t="s">
        <v>227</v>
      </c>
    </row>
    <row r="1368" spans="1:15" x14ac:dyDescent="0.25">
      <c r="A1368" s="154">
        <v>1368</v>
      </c>
      <c r="B1368" s="162" t="s">
        <v>142</v>
      </c>
      <c r="C1368" s="163">
        <v>2065650</v>
      </c>
      <c r="D1368" s="164" t="s">
        <v>836</v>
      </c>
      <c r="E1368" s="165">
        <v>1807950</v>
      </c>
      <c r="F1368" s="165">
        <v>0</v>
      </c>
      <c r="G1368" s="165">
        <v>1807950</v>
      </c>
      <c r="H1368" s="165">
        <v>0</v>
      </c>
      <c r="I1368" s="163"/>
      <c r="J1368" s="166"/>
      <c r="K1368" s="167"/>
      <c r="L1368" s="167">
        <v>709</v>
      </c>
      <c r="M1368" s="168">
        <v>46050</v>
      </c>
      <c r="N1368" s="169" t="s">
        <v>2152</v>
      </c>
      <c r="O1368" s="162" t="s">
        <v>212</v>
      </c>
    </row>
    <row r="1369" spans="1:15" x14ac:dyDescent="0.25">
      <c r="A1369" s="154">
        <v>1369</v>
      </c>
      <c r="B1369" s="162" t="s">
        <v>143</v>
      </c>
      <c r="C1369" s="163">
        <v>33107207</v>
      </c>
      <c r="D1369" s="164" t="s">
        <v>836</v>
      </c>
      <c r="E1369" s="165">
        <v>5585392</v>
      </c>
      <c r="F1369" s="165">
        <v>0</v>
      </c>
      <c r="G1369" s="165">
        <v>5585392</v>
      </c>
      <c r="H1369" s="165">
        <v>0</v>
      </c>
      <c r="I1369" s="163"/>
      <c r="J1369" s="166"/>
      <c r="K1369" s="167"/>
      <c r="L1369" s="167">
        <v>709</v>
      </c>
      <c r="M1369" s="168">
        <v>46050</v>
      </c>
      <c r="N1369" s="169" t="s">
        <v>2152</v>
      </c>
      <c r="O1369" s="162" t="s">
        <v>215</v>
      </c>
    </row>
    <row r="1370" spans="1:15" x14ac:dyDescent="0.25">
      <c r="A1370" s="154">
        <v>1370</v>
      </c>
      <c r="B1370" s="162" t="s">
        <v>143</v>
      </c>
      <c r="C1370" s="163">
        <v>33107207</v>
      </c>
      <c r="D1370" s="164" t="s">
        <v>836</v>
      </c>
      <c r="E1370" s="165">
        <v>2759298</v>
      </c>
      <c r="F1370" s="165">
        <v>0</v>
      </c>
      <c r="G1370" s="165">
        <v>2759298</v>
      </c>
      <c r="H1370" s="165">
        <v>0</v>
      </c>
      <c r="I1370" s="163"/>
      <c r="J1370" s="166"/>
      <c r="K1370" s="167"/>
      <c r="L1370" s="167">
        <v>709</v>
      </c>
      <c r="M1370" s="168">
        <v>46050</v>
      </c>
      <c r="N1370" s="169" t="s">
        <v>2152</v>
      </c>
      <c r="O1370" s="162" t="s">
        <v>215</v>
      </c>
    </row>
    <row r="1371" spans="1:15" x14ac:dyDescent="0.25">
      <c r="A1371" s="154">
        <v>1371</v>
      </c>
      <c r="B1371" s="162" t="s">
        <v>143</v>
      </c>
      <c r="C1371" s="163">
        <v>33107207</v>
      </c>
      <c r="D1371" s="164" t="s">
        <v>836</v>
      </c>
      <c r="E1371" s="165">
        <v>6409517</v>
      </c>
      <c r="F1371" s="165">
        <v>0</v>
      </c>
      <c r="G1371" s="165">
        <v>6409517</v>
      </c>
      <c r="H1371" s="165">
        <v>0</v>
      </c>
      <c r="I1371" s="163"/>
      <c r="J1371" s="166"/>
      <c r="K1371" s="167"/>
      <c r="L1371" s="167">
        <v>709</v>
      </c>
      <c r="M1371" s="168">
        <v>46050</v>
      </c>
      <c r="N1371" s="169" t="s">
        <v>2152</v>
      </c>
      <c r="O1371" s="162" t="s">
        <v>227</v>
      </c>
    </row>
    <row r="1372" spans="1:15" x14ac:dyDescent="0.25">
      <c r="A1372" s="154">
        <v>1372</v>
      </c>
      <c r="B1372" s="162" t="s">
        <v>144</v>
      </c>
      <c r="C1372" s="163">
        <v>106697</v>
      </c>
      <c r="D1372" s="164" t="s">
        <v>836</v>
      </c>
      <c r="E1372" s="165">
        <v>31439</v>
      </c>
      <c r="F1372" s="165">
        <v>0</v>
      </c>
      <c r="G1372" s="165">
        <v>31439</v>
      </c>
      <c r="H1372" s="165">
        <v>0</v>
      </c>
      <c r="I1372" s="163"/>
      <c r="J1372" s="166"/>
      <c r="K1372" s="167"/>
      <c r="L1372" s="167">
        <v>709</v>
      </c>
      <c r="M1372" s="168">
        <v>46050</v>
      </c>
      <c r="N1372" s="169" t="s">
        <v>2152</v>
      </c>
      <c r="O1372" s="162" t="s">
        <v>185</v>
      </c>
    </row>
    <row r="1373" spans="1:15" x14ac:dyDescent="0.25">
      <c r="A1373" s="154">
        <v>1373</v>
      </c>
      <c r="B1373" s="162" t="s">
        <v>145</v>
      </c>
      <c r="C1373" s="163">
        <v>4381023</v>
      </c>
      <c r="D1373" s="164" t="s">
        <v>836</v>
      </c>
      <c r="E1373" s="165">
        <v>1007550</v>
      </c>
      <c r="F1373" s="165">
        <v>0</v>
      </c>
      <c r="G1373" s="165">
        <v>1007550</v>
      </c>
      <c r="H1373" s="165">
        <v>0</v>
      </c>
      <c r="I1373" s="163"/>
      <c r="J1373" s="166"/>
      <c r="K1373" s="167"/>
      <c r="L1373" s="167">
        <v>709</v>
      </c>
      <c r="M1373" s="168">
        <v>46050</v>
      </c>
      <c r="N1373" s="169" t="s">
        <v>2152</v>
      </c>
      <c r="O1373" s="162" t="s">
        <v>215</v>
      </c>
    </row>
    <row r="1374" spans="1:15" x14ac:dyDescent="0.25">
      <c r="A1374" s="154">
        <v>1374</v>
      </c>
      <c r="B1374" s="162" t="s">
        <v>2272</v>
      </c>
      <c r="C1374" s="163">
        <v>4755364</v>
      </c>
      <c r="D1374" s="164" t="s">
        <v>1624</v>
      </c>
      <c r="E1374" s="165">
        <v>1093300</v>
      </c>
      <c r="F1374" s="165">
        <v>699178</v>
      </c>
      <c r="G1374" s="165">
        <v>394122</v>
      </c>
      <c r="H1374" s="165">
        <v>0</v>
      </c>
      <c r="I1374" s="163"/>
      <c r="J1374" s="166">
        <v>699178</v>
      </c>
      <c r="K1374" s="167" t="s">
        <v>1466</v>
      </c>
      <c r="L1374" s="167">
        <v>738</v>
      </c>
      <c r="M1374" s="168">
        <v>46080</v>
      </c>
      <c r="N1374" s="169" t="s">
        <v>2273</v>
      </c>
      <c r="O1374" s="162">
        <v>127</v>
      </c>
    </row>
    <row r="1375" spans="1:15" x14ac:dyDescent="0.25">
      <c r="A1375" s="154">
        <v>1375</v>
      </c>
      <c r="B1375" s="162" t="s">
        <v>2272</v>
      </c>
      <c r="C1375" s="163">
        <v>4755364</v>
      </c>
      <c r="D1375" s="164" t="s">
        <v>1624</v>
      </c>
      <c r="E1375" s="165">
        <v>1198600</v>
      </c>
      <c r="F1375" s="165">
        <v>1121000</v>
      </c>
      <c r="G1375" s="165">
        <v>77600</v>
      </c>
      <c r="H1375" s="165">
        <v>0</v>
      </c>
      <c r="I1375" s="163"/>
      <c r="J1375" s="166">
        <v>1080100</v>
      </c>
      <c r="K1375" s="167" t="s">
        <v>1466</v>
      </c>
      <c r="L1375" s="167">
        <v>738</v>
      </c>
      <c r="M1375" s="168">
        <v>46080</v>
      </c>
      <c r="N1375" s="169" t="s">
        <v>2274</v>
      </c>
      <c r="O1375" s="162">
        <v>608</v>
      </c>
    </row>
    <row r="1376" spans="1:15" x14ac:dyDescent="0.25">
      <c r="A1376" s="154">
        <v>1376</v>
      </c>
      <c r="B1376" s="162" t="s">
        <v>2272</v>
      </c>
      <c r="C1376" s="163">
        <v>4755364</v>
      </c>
      <c r="D1376" s="164" t="s">
        <v>1624</v>
      </c>
      <c r="E1376" s="165">
        <v>1102827</v>
      </c>
      <c r="F1376" s="165">
        <v>1102827</v>
      </c>
      <c r="G1376" s="165">
        <v>0</v>
      </c>
      <c r="H1376" s="165">
        <v>0</v>
      </c>
      <c r="I1376" s="163"/>
      <c r="J1376" s="166">
        <v>1102827</v>
      </c>
      <c r="K1376" s="167" t="s">
        <v>1466</v>
      </c>
      <c r="L1376" s="167">
        <v>738</v>
      </c>
      <c r="M1376" s="168">
        <v>46080</v>
      </c>
      <c r="N1376" s="169" t="s">
        <v>2275</v>
      </c>
      <c r="O1376" s="162">
        <v>121</v>
      </c>
    </row>
    <row r="1377" spans="1:15" x14ac:dyDescent="0.25">
      <c r="A1377" s="154">
        <v>1377</v>
      </c>
      <c r="B1377" s="162" t="s">
        <v>2276</v>
      </c>
      <c r="C1377" s="163">
        <v>24458664</v>
      </c>
      <c r="D1377" s="164" t="s">
        <v>1624</v>
      </c>
      <c r="E1377" s="165">
        <v>269704</v>
      </c>
      <c r="F1377" s="165">
        <v>69678</v>
      </c>
      <c r="G1377" s="165">
        <v>200026</v>
      </c>
      <c r="H1377" s="165">
        <v>0</v>
      </c>
      <c r="I1377" s="163"/>
      <c r="J1377" s="166">
        <v>0</v>
      </c>
      <c r="K1377" s="167" t="s">
        <v>1464</v>
      </c>
      <c r="L1377" s="167">
        <v>738</v>
      </c>
      <c r="M1377" s="168">
        <v>46080</v>
      </c>
      <c r="N1377" s="169" t="s">
        <v>2277</v>
      </c>
      <c r="O1377" s="162">
        <v>127</v>
      </c>
    </row>
    <row r="1378" spans="1:15" x14ac:dyDescent="0.25">
      <c r="A1378" s="154">
        <v>1378</v>
      </c>
      <c r="B1378" s="162" t="s">
        <v>2276</v>
      </c>
      <c r="C1378" s="163">
        <v>24458664</v>
      </c>
      <c r="D1378" s="164" t="s">
        <v>1624</v>
      </c>
      <c r="E1378" s="165">
        <v>1684114</v>
      </c>
      <c r="F1378" s="165">
        <v>64086</v>
      </c>
      <c r="G1378" s="165">
        <v>1620028</v>
      </c>
      <c r="H1378" s="165">
        <v>0</v>
      </c>
      <c r="I1378" s="163"/>
      <c r="J1378" s="166">
        <v>0</v>
      </c>
      <c r="K1378" s="167" t="s">
        <v>1464</v>
      </c>
      <c r="L1378" s="167">
        <v>738</v>
      </c>
      <c r="M1378" s="168">
        <v>46080</v>
      </c>
      <c r="N1378" s="169" t="s">
        <v>2278</v>
      </c>
      <c r="O1378" s="162">
        <v>206</v>
      </c>
    </row>
    <row r="1379" spans="1:15" x14ac:dyDescent="0.25">
      <c r="A1379" s="154">
        <v>1379</v>
      </c>
      <c r="B1379" s="162" t="s">
        <v>2276</v>
      </c>
      <c r="C1379" s="163">
        <v>24458664</v>
      </c>
      <c r="D1379" s="164" t="s">
        <v>1624</v>
      </c>
      <c r="E1379" s="165">
        <v>254152</v>
      </c>
      <c r="F1379" s="165">
        <v>254152</v>
      </c>
      <c r="G1379" s="165">
        <v>0</v>
      </c>
      <c r="H1379" s="165">
        <v>0</v>
      </c>
      <c r="I1379" s="163"/>
      <c r="J1379" s="166">
        <v>0</v>
      </c>
      <c r="K1379" s="167" t="s">
        <v>1464</v>
      </c>
      <c r="L1379" s="167">
        <v>738</v>
      </c>
      <c r="M1379" s="168">
        <v>46080</v>
      </c>
      <c r="N1379" s="169" t="s">
        <v>2279</v>
      </c>
      <c r="O1379" s="162">
        <v>602</v>
      </c>
    </row>
    <row r="1380" spans="1:15" x14ac:dyDescent="0.25">
      <c r="A1380" s="154">
        <v>1380</v>
      </c>
      <c r="B1380" s="162" t="s">
        <v>2276</v>
      </c>
      <c r="C1380" s="163">
        <v>24458664</v>
      </c>
      <c r="D1380" s="164" t="s">
        <v>1624</v>
      </c>
      <c r="E1380" s="165">
        <v>235889</v>
      </c>
      <c r="F1380" s="165">
        <v>0</v>
      </c>
      <c r="G1380" s="165">
        <v>235889</v>
      </c>
      <c r="H1380" s="165">
        <v>0</v>
      </c>
      <c r="I1380" s="163"/>
      <c r="J1380" s="166">
        <v>0</v>
      </c>
      <c r="K1380" s="167" t="s">
        <v>1464</v>
      </c>
      <c r="L1380" s="167">
        <v>738</v>
      </c>
      <c r="M1380" s="168">
        <v>46080</v>
      </c>
      <c r="N1380" s="169" t="s">
        <v>1501</v>
      </c>
      <c r="O1380" s="162">
        <v>606</v>
      </c>
    </row>
    <row r="1381" spans="1:15" x14ac:dyDescent="0.25">
      <c r="A1381" s="154">
        <v>1381</v>
      </c>
      <c r="B1381" s="162" t="s">
        <v>2276</v>
      </c>
      <c r="C1381" s="163">
        <v>24458664</v>
      </c>
      <c r="D1381" s="164" t="s">
        <v>1624</v>
      </c>
      <c r="E1381" s="165">
        <v>130982</v>
      </c>
      <c r="F1381" s="165">
        <v>94224</v>
      </c>
      <c r="G1381" s="165">
        <v>36758</v>
      </c>
      <c r="H1381" s="165">
        <v>0</v>
      </c>
      <c r="I1381" s="163"/>
      <c r="J1381" s="166">
        <v>0</v>
      </c>
      <c r="K1381" s="167" t="s">
        <v>1464</v>
      </c>
      <c r="L1381" s="167">
        <v>738</v>
      </c>
      <c r="M1381" s="168">
        <v>46080</v>
      </c>
      <c r="N1381" s="169" t="s">
        <v>2280</v>
      </c>
      <c r="O1381" s="162">
        <v>608</v>
      </c>
    </row>
    <row r="1382" spans="1:15" x14ac:dyDescent="0.25">
      <c r="A1382" s="154">
        <v>1382</v>
      </c>
      <c r="B1382" s="162" t="s">
        <v>2276</v>
      </c>
      <c r="C1382" s="163">
        <v>24458664</v>
      </c>
      <c r="D1382" s="164" t="s">
        <v>1624</v>
      </c>
      <c r="E1382" s="165">
        <v>821256</v>
      </c>
      <c r="F1382" s="165">
        <v>149856</v>
      </c>
      <c r="G1382" s="165">
        <v>671400</v>
      </c>
      <c r="H1382" s="165">
        <v>0</v>
      </c>
      <c r="I1382" s="163"/>
      <c r="J1382" s="166">
        <v>0</v>
      </c>
      <c r="K1382" s="167" t="s">
        <v>1464</v>
      </c>
      <c r="L1382" s="167">
        <v>738</v>
      </c>
      <c r="M1382" s="168">
        <v>46080</v>
      </c>
      <c r="N1382" s="169" t="s">
        <v>2281</v>
      </c>
      <c r="O1382" s="162">
        <v>623</v>
      </c>
    </row>
    <row r="1383" spans="1:15" x14ac:dyDescent="0.25">
      <c r="A1383" s="154">
        <v>1383</v>
      </c>
      <c r="B1383" s="162" t="s">
        <v>2282</v>
      </c>
      <c r="C1383" s="163">
        <v>277380</v>
      </c>
      <c r="D1383" s="164" t="s">
        <v>1624</v>
      </c>
      <c r="E1383" s="165">
        <v>95300</v>
      </c>
      <c r="F1383" s="165">
        <v>0</v>
      </c>
      <c r="G1383" s="165">
        <v>95300</v>
      </c>
      <c r="H1383" s="165">
        <v>0</v>
      </c>
      <c r="I1383" s="163"/>
      <c r="J1383" s="166">
        <v>0</v>
      </c>
      <c r="K1383" s="167" t="s">
        <v>1464</v>
      </c>
      <c r="L1383" s="167">
        <v>738</v>
      </c>
      <c r="M1383" s="168">
        <v>46080</v>
      </c>
      <c r="N1383" s="169" t="s">
        <v>1501</v>
      </c>
      <c r="O1383" s="162" t="s">
        <v>1142</v>
      </c>
    </row>
    <row r="1384" spans="1:15" x14ac:dyDescent="0.25">
      <c r="A1384" s="154">
        <v>1384</v>
      </c>
      <c r="B1384" s="162" t="s">
        <v>2283</v>
      </c>
      <c r="C1384" s="163">
        <v>379700</v>
      </c>
      <c r="D1384" s="164" t="s">
        <v>1624</v>
      </c>
      <c r="E1384" s="165">
        <v>293900</v>
      </c>
      <c r="F1384" s="165">
        <v>0</v>
      </c>
      <c r="G1384" s="165">
        <v>293900</v>
      </c>
      <c r="H1384" s="165">
        <v>0</v>
      </c>
      <c r="I1384" s="163"/>
      <c r="J1384" s="166">
        <v>0</v>
      </c>
      <c r="K1384" s="167" t="s">
        <v>1464</v>
      </c>
      <c r="L1384" s="167">
        <v>738</v>
      </c>
      <c r="M1384" s="168">
        <v>46080</v>
      </c>
      <c r="N1384" s="169" t="s">
        <v>1501</v>
      </c>
      <c r="O1384" s="162" t="s">
        <v>2284</v>
      </c>
    </row>
    <row r="1385" spans="1:15" x14ac:dyDescent="0.25">
      <c r="A1385" s="154">
        <v>1385</v>
      </c>
      <c r="B1385" s="162" t="s">
        <v>2285</v>
      </c>
      <c r="C1385" s="163">
        <v>352100</v>
      </c>
      <c r="D1385" s="164" t="s">
        <v>1624</v>
      </c>
      <c r="E1385" s="165">
        <v>168800</v>
      </c>
      <c r="F1385" s="165">
        <v>0</v>
      </c>
      <c r="G1385" s="165">
        <v>168800</v>
      </c>
      <c r="H1385" s="165">
        <v>0</v>
      </c>
      <c r="I1385" s="163"/>
      <c r="J1385" s="166">
        <v>0</v>
      </c>
      <c r="K1385" s="167" t="s">
        <v>1464</v>
      </c>
      <c r="L1385" s="167">
        <v>738</v>
      </c>
      <c r="M1385" s="168">
        <v>46080</v>
      </c>
      <c r="N1385" s="169" t="s">
        <v>1501</v>
      </c>
      <c r="O1385" s="162" t="s">
        <v>2284</v>
      </c>
    </row>
    <row r="1386" spans="1:15" x14ac:dyDescent="0.25">
      <c r="A1386" s="154">
        <v>1386</v>
      </c>
      <c r="B1386" s="162" t="s">
        <v>2286</v>
      </c>
      <c r="C1386" s="163">
        <v>752095</v>
      </c>
      <c r="D1386" s="164" t="s">
        <v>1624</v>
      </c>
      <c r="E1386" s="165">
        <v>126100</v>
      </c>
      <c r="F1386" s="165">
        <v>0</v>
      </c>
      <c r="G1386" s="165">
        <v>126100</v>
      </c>
      <c r="H1386" s="165">
        <v>0</v>
      </c>
      <c r="I1386" s="163"/>
      <c r="J1386" s="166">
        <v>0</v>
      </c>
      <c r="K1386" s="167" t="s">
        <v>1464</v>
      </c>
      <c r="L1386" s="167">
        <v>738</v>
      </c>
      <c r="M1386" s="168">
        <v>46080</v>
      </c>
      <c r="N1386" s="169" t="s">
        <v>1501</v>
      </c>
      <c r="O1386" s="162" t="s">
        <v>2284</v>
      </c>
    </row>
    <row r="1387" spans="1:15" x14ac:dyDescent="0.25">
      <c r="A1387" s="154">
        <v>1387</v>
      </c>
      <c r="B1387" s="162" t="s">
        <v>2287</v>
      </c>
      <c r="C1387" s="163">
        <v>5816596</v>
      </c>
      <c r="D1387" s="164" t="s">
        <v>1624</v>
      </c>
      <c r="E1387" s="165">
        <v>129300</v>
      </c>
      <c r="F1387" s="165">
        <v>108400</v>
      </c>
      <c r="G1387" s="165">
        <v>20900</v>
      </c>
      <c r="H1387" s="165">
        <v>0</v>
      </c>
      <c r="I1387" s="163"/>
      <c r="J1387" s="166">
        <v>0</v>
      </c>
      <c r="K1387" s="167" t="s">
        <v>1464</v>
      </c>
      <c r="L1387" s="167">
        <v>738</v>
      </c>
      <c r="M1387" s="168">
        <v>46080</v>
      </c>
      <c r="N1387" s="169" t="s">
        <v>2288</v>
      </c>
      <c r="O1387" s="162" t="s">
        <v>2284</v>
      </c>
    </row>
    <row r="1388" spans="1:15" x14ac:dyDescent="0.25">
      <c r="A1388" s="154">
        <v>1388</v>
      </c>
      <c r="B1388" s="162" t="s">
        <v>2289</v>
      </c>
      <c r="C1388" s="163">
        <v>3713390</v>
      </c>
      <c r="D1388" s="164" t="s">
        <v>1624</v>
      </c>
      <c r="E1388" s="165">
        <v>83400</v>
      </c>
      <c r="F1388" s="165">
        <v>0</v>
      </c>
      <c r="G1388" s="165">
        <v>83400</v>
      </c>
      <c r="H1388" s="165">
        <v>0</v>
      </c>
      <c r="I1388" s="163"/>
      <c r="J1388" s="166">
        <v>0</v>
      </c>
      <c r="K1388" s="167" t="s">
        <v>1464</v>
      </c>
      <c r="L1388" s="167">
        <v>738</v>
      </c>
      <c r="M1388" s="168">
        <v>46080</v>
      </c>
      <c r="N1388" s="169" t="s">
        <v>1501</v>
      </c>
      <c r="O1388" s="162" t="s">
        <v>2290</v>
      </c>
    </row>
    <row r="1389" spans="1:15" x14ac:dyDescent="0.25">
      <c r="A1389" s="154">
        <v>1389</v>
      </c>
      <c r="B1389" s="162" t="s">
        <v>2291</v>
      </c>
      <c r="C1389" s="163">
        <v>369700</v>
      </c>
      <c r="D1389" s="164" t="s">
        <v>1624</v>
      </c>
      <c r="E1389" s="165">
        <v>104600</v>
      </c>
      <c r="F1389" s="165">
        <v>0</v>
      </c>
      <c r="G1389" s="165">
        <v>104600</v>
      </c>
      <c r="H1389" s="165">
        <v>0</v>
      </c>
      <c r="I1389" s="163"/>
      <c r="J1389" s="166">
        <v>0</v>
      </c>
      <c r="K1389" s="167" t="s">
        <v>1464</v>
      </c>
      <c r="L1389" s="167">
        <v>738</v>
      </c>
      <c r="M1389" s="168">
        <v>46080</v>
      </c>
      <c r="N1389" s="169" t="s">
        <v>1501</v>
      </c>
      <c r="O1389" s="162" t="s">
        <v>241</v>
      </c>
    </row>
    <row r="1390" spans="1:15" x14ac:dyDescent="0.25">
      <c r="A1390" s="154">
        <v>1390</v>
      </c>
      <c r="B1390" s="162" t="s">
        <v>2292</v>
      </c>
      <c r="C1390" s="163">
        <v>352400</v>
      </c>
      <c r="D1390" s="164" t="s">
        <v>1624</v>
      </c>
      <c r="E1390" s="165">
        <v>73500</v>
      </c>
      <c r="F1390" s="165">
        <v>0</v>
      </c>
      <c r="G1390" s="165">
        <v>73500</v>
      </c>
      <c r="H1390" s="165">
        <v>0</v>
      </c>
      <c r="I1390" s="163"/>
      <c r="J1390" s="166">
        <v>0</v>
      </c>
      <c r="K1390" s="167" t="s">
        <v>1464</v>
      </c>
      <c r="L1390" s="167">
        <v>738</v>
      </c>
      <c r="M1390" s="168">
        <v>46080</v>
      </c>
      <c r="N1390" s="169" t="s">
        <v>1501</v>
      </c>
      <c r="O1390" s="162" t="s">
        <v>241</v>
      </c>
    </row>
    <row r="1391" spans="1:15" x14ac:dyDescent="0.25">
      <c r="A1391" s="154">
        <v>1391</v>
      </c>
      <c r="B1391" s="162" t="s">
        <v>2293</v>
      </c>
      <c r="C1391" s="163">
        <v>182800</v>
      </c>
      <c r="D1391" s="164" t="s">
        <v>1624</v>
      </c>
      <c r="E1391" s="165">
        <v>85800</v>
      </c>
      <c r="F1391" s="165">
        <v>0</v>
      </c>
      <c r="G1391" s="165">
        <v>85800</v>
      </c>
      <c r="H1391" s="165">
        <v>0</v>
      </c>
      <c r="I1391" s="163"/>
      <c r="J1391" s="166">
        <v>0</v>
      </c>
      <c r="K1391" s="167" t="s">
        <v>1464</v>
      </c>
      <c r="L1391" s="167">
        <v>738</v>
      </c>
      <c r="M1391" s="168">
        <v>46080</v>
      </c>
      <c r="N1391" s="169" t="s">
        <v>1501</v>
      </c>
      <c r="O1391" s="162" t="s">
        <v>185</v>
      </c>
    </row>
    <row r="1392" spans="1:15" x14ac:dyDescent="0.25">
      <c r="A1392" s="154">
        <v>1392</v>
      </c>
      <c r="B1392" s="162" t="s">
        <v>2294</v>
      </c>
      <c r="C1392" s="163">
        <v>12298506</v>
      </c>
      <c r="D1392" s="164" t="s">
        <v>1624</v>
      </c>
      <c r="E1392" s="165">
        <v>100</v>
      </c>
      <c r="F1392" s="165">
        <v>100</v>
      </c>
      <c r="G1392" s="165">
        <v>0</v>
      </c>
      <c r="H1392" s="165">
        <v>0</v>
      </c>
      <c r="I1392" s="163"/>
      <c r="J1392" s="166">
        <v>0</v>
      </c>
      <c r="K1392" s="167" t="s">
        <v>1464</v>
      </c>
      <c r="L1392" s="167">
        <v>738</v>
      </c>
      <c r="M1392" s="168">
        <v>46080</v>
      </c>
      <c r="N1392" s="169" t="s">
        <v>2295</v>
      </c>
      <c r="O1392" s="162" t="s">
        <v>185</v>
      </c>
    </row>
    <row r="1393" spans="1:15" x14ac:dyDescent="0.25">
      <c r="A1393" s="154">
        <v>1393</v>
      </c>
      <c r="B1393" s="162" t="s">
        <v>2294</v>
      </c>
      <c r="C1393" s="163">
        <v>12298506</v>
      </c>
      <c r="D1393" s="164" t="s">
        <v>1624</v>
      </c>
      <c r="E1393" s="165">
        <v>700</v>
      </c>
      <c r="F1393" s="165">
        <v>700</v>
      </c>
      <c r="G1393" s="165">
        <v>0</v>
      </c>
      <c r="H1393" s="165">
        <v>0</v>
      </c>
      <c r="I1393" s="163"/>
      <c r="J1393" s="166">
        <v>0</v>
      </c>
      <c r="K1393" s="167" t="s">
        <v>1464</v>
      </c>
      <c r="L1393" s="167">
        <v>738</v>
      </c>
      <c r="M1393" s="168">
        <v>46080</v>
      </c>
      <c r="N1393" s="169" t="s">
        <v>2296</v>
      </c>
      <c r="O1393" s="162" t="s">
        <v>212</v>
      </c>
    </row>
    <row r="1394" spans="1:15" x14ac:dyDescent="0.25">
      <c r="A1394" s="154">
        <v>1394</v>
      </c>
      <c r="B1394" s="162" t="s">
        <v>2294</v>
      </c>
      <c r="C1394" s="163">
        <v>12298506</v>
      </c>
      <c r="D1394" s="164" t="s">
        <v>1624</v>
      </c>
      <c r="E1394" s="165">
        <v>5500</v>
      </c>
      <c r="F1394" s="165">
        <v>0</v>
      </c>
      <c r="G1394" s="165">
        <v>5500</v>
      </c>
      <c r="H1394" s="165">
        <v>0</v>
      </c>
      <c r="I1394" s="163"/>
      <c r="J1394" s="166">
        <v>0</v>
      </c>
      <c r="K1394" s="167" t="s">
        <v>1464</v>
      </c>
      <c r="L1394" s="167">
        <v>738</v>
      </c>
      <c r="M1394" s="168">
        <v>46080</v>
      </c>
      <c r="N1394" s="169" t="s">
        <v>1501</v>
      </c>
      <c r="O1394" s="162" t="s">
        <v>271</v>
      </c>
    </row>
    <row r="1395" spans="1:15" x14ac:dyDescent="0.25">
      <c r="A1395" s="154">
        <v>1395</v>
      </c>
      <c r="B1395" s="162" t="s">
        <v>2294</v>
      </c>
      <c r="C1395" s="163">
        <v>12298506</v>
      </c>
      <c r="D1395" s="164" t="s">
        <v>1624</v>
      </c>
      <c r="E1395" s="165">
        <v>59200</v>
      </c>
      <c r="F1395" s="165">
        <v>59200</v>
      </c>
      <c r="G1395" s="165">
        <v>0</v>
      </c>
      <c r="H1395" s="165">
        <v>0</v>
      </c>
      <c r="I1395" s="163"/>
      <c r="J1395" s="166">
        <v>0</v>
      </c>
      <c r="K1395" s="167" t="s">
        <v>1464</v>
      </c>
      <c r="L1395" s="167">
        <v>738</v>
      </c>
      <c r="M1395" s="168">
        <v>46080</v>
      </c>
      <c r="N1395" s="169" t="s">
        <v>2297</v>
      </c>
      <c r="O1395" s="162" t="s">
        <v>241</v>
      </c>
    </row>
    <row r="1396" spans="1:15" x14ac:dyDescent="0.25">
      <c r="A1396" s="154">
        <v>1396</v>
      </c>
      <c r="B1396" s="162" t="s">
        <v>2294</v>
      </c>
      <c r="C1396" s="163">
        <v>12298506</v>
      </c>
      <c r="D1396" s="164" t="s">
        <v>1624</v>
      </c>
      <c r="E1396" s="165">
        <v>33500</v>
      </c>
      <c r="F1396" s="165">
        <v>0</v>
      </c>
      <c r="G1396" s="165">
        <v>33500</v>
      </c>
      <c r="H1396" s="165">
        <v>0</v>
      </c>
      <c r="I1396" s="163"/>
      <c r="J1396" s="166">
        <v>0</v>
      </c>
      <c r="K1396" s="167" t="s">
        <v>1464</v>
      </c>
      <c r="L1396" s="167">
        <v>738</v>
      </c>
      <c r="M1396" s="168">
        <v>46080</v>
      </c>
      <c r="N1396" s="169" t="s">
        <v>1501</v>
      </c>
      <c r="O1396" s="162" t="s">
        <v>275</v>
      </c>
    </row>
    <row r="1397" spans="1:15" x14ac:dyDescent="0.25">
      <c r="A1397" s="154">
        <v>1397</v>
      </c>
      <c r="B1397" s="162" t="s">
        <v>2298</v>
      </c>
      <c r="C1397" s="163">
        <v>485800</v>
      </c>
      <c r="D1397" s="164" t="s">
        <v>1624</v>
      </c>
      <c r="E1397" s="165">
        <v>100</v>
      </c>
      <c r="F1397" s="165">
        <v>100</v>
      </c>
      <c r="G1397" s="165">
        <v>0</v>
      </c>
      <c r="H1397" s="165">
        <v>0</v>
      </c>
      <c r="I1397" s="163"/>
      <c r="J1397" s="166">
        <v>0</v>
      </c>
      <c r="K1397" s="167" t="s">
        <v>1464</v>
      </c>
      <c r="L1397" s="167">
        <v>738</v>
      </c>
      <c r="M1397" s="168">
        <v>46080</v>
      </c>
      <c r="N1397" s="169" t="s">
        <v>2299</v>
      </c>
      <c r="O1397" s="162" t="s">
        <v>185</v>
      </c>
    </row>
    <row r="1398" spans="1:15" x14ac:dyDescent="0.25">
      <c r="A1398" s="154">
        <v>1398</v>
      </c>
      <c r="B1398" s="162" t="s">
        <v>2298</v>
      </c>
      <c r="C1398" s="163">
        <v>485800</v>
      </c>
      <c r="D1398" s="164" t="s">
        <v>1624</v>
      </c>
      <c r="E1398" s="165">
        <v>73500</v>
      </c>
      <c r="F1398" s="165">
        <v>73500</v>
      </c>
      <c r="G1398" s="165">
        <v>0</v>
      </c>
      <c r="H1398" s="165">
        <v>0</v>
      </c>
      <c r="I1398" s="163"/>
      <c r="J1398" s="166">
        <v>0</v>
      </c>
      <c r="K1398" s="167" t="s">
        <v>1464</v>
      </c>
      <c r="L1398" s="167">
        <v>738</v>
      </c>
      <c r="M1398" s="168">
        <v>46080</v>
      </c>
      <c r="N1398" s="169" t="s">
        <v>2300</v>
      </c>
      <c r="O1398" s="162" t="s">
        <v>241</v>
      </c>
    </row>
    <row r="1399" spans="1:15" x14ac:dyDescent="0.25">
      <c r="A1399" s="154">
        <v>1399</v>
      </c>
      <c r="B1399" s="162" t="s">
        <v>2301</v>
      </c>
      <c r="C1399" s="163">
        <v>95400</v>
      </c>
      <c r="D1399" s="164" t="s">
        <v>1624</v>
      </c>
      <c r="E1399" s="165">
        <v>95400</v>
      </c>
      <c r="F1399" s="165">
        <v>0</v>
      </c>
      <c r="G1399" s="165">
        <v>95400</v>
      </c>
      <c r="H1399" s="165">
        <v>0</v>
      </c>
      <c r="I1399" s="163"/>
      <c r="J1399" s="166">
        <v>0</v>
      </c>
      <c r="K1399" s="167" t="s">
        <v>1464</v>
      </c>
      <c r="L1399" s="167">
        <v>738</v>
      </c>
      <c r="M1399" s="168">
        <v>46080</v>
      </c>
      <c r="N1399" s="169" t="s">
        <v>1501</v>
      </c>
      <c r="O1399" s="162" t="s">
        <v>1764</v>
      </c>
    </row>
    <row r="1400" spans="1:15" x14ac:dyDescent="0.25">
      <c r="A1400" s="154">
        <v>1400</v>
      </c>
      <c r="B1400" s="162" t="s">
        <v>2302</v>
      </c>
      <c r="C1400" s="163">
        <v>75400</v>
      </c>
      <c r="D1400" s="164" t="s">
        <v>1624</v>
      </c>
      <c r="E1400" s="165">
        <v>75400</v>
      </c>
      <c r="F1400" s="165">
        <v>0</v>
      </c>
      <c r="G1400" s="165">
        <v>75400</v>
      </c>
      <c r="H1400" s="165">
        <v>0</v>
      </c>
      <c r="I1400" s="163"/>
      <c r="J1400" s="166">
        <v>0</v>
      </c>
      <c r="K1400" s="167" t="s">
        <v>1464</v>
      </c>
      <c r="L1400" s="167">
        <v>738</v>
      </c>
      <c r="M1400" s="168">
        <v>46080</v>
      </c>
      <c r="N1400" s="169" t="s">
        <v>1501</v>
      </c>
      <c r="O1400" s="162" t="s">
        <v>1764</v>
      </c>
    </row>
    <row r="1401" spans="1:15" x14ac:dyDescent="0.25">
      <c r="A1401" s="154">
        <v>1401</v>
      </c>
      <c r="B1401" s="162" t="s">
        <v>2303</v>
      </c>
      <c r="C1401" s="163">
        <v>1446600</v>
      </c>
      <c r="D1401" s="164" t="s">
        <v>1624</v>
      </c>
      <c r="E1401" s="165">
        <v>4700</v>
      </c>
      <c r="F1401" s="165">
        <v>4700</v>
      </c>
      <c r="G1401" s="165">
        <v>0</v>
      </c>
      <c r="H1401" s="165">
        <v>0</v>
      </c>
      <c r="I1401" s="163"/>
      <c r="J1401" s="166">
        <v>0</v>
      </c>
      <c r="K1401" s="167" t="s">
        <v>1464</v>
      </c>
      <c r="L1401" s="167">
        <v>738</v>
      </c>
      <c r="M1401" s="168">
        <v>46080</v>
      </c>
      <c r="N1401" s="169" t="s">
        <v>2304</v>
      </c>
      <c r="O1401" s="162" t="s">
        <v>241</v>
      </c>
    </row>
    <row r="1402" spans="1:15" x14ac:dyDescent="0.25">
      <c r="A1402" s="154">
        <v>1402</v>
      </c>
      <c r="B1402" s="162" t="s">
        <v>2305</v>
      </c>
      <c r="C1402" s="163">
        <v>46844282</v>
      </c>
      <c r="D1402" s="164" t="s">
        <v>836</v>
      </c>
      <c r="E1402" s="165">
        <v>2160200</v>
      </c>
      <c r="F1402" s="165">
        <v>476000</v>
      </c>
      <c r="G1402" s="165">
        <v>1684200</v>
      </c>
      <c r="H1402" s="165">
        <v>0</v>
      </c>
      <c r="I1402" s="163"/>
      <c r="J1402" s="166">
        <v>0</v>
      </c>
      <c r="K1402" s="167" t="s">
        <v>1464</v>
      </c>
      <c r="L1402" s="167">
        <v>720</v>
      </c>
      <c r="M1402" s="168">
        <v>46066</v>
      </c>
      <c r="N1402" s="169" t="s">
        <v>2306</v>
      </c>
      <c r="O1402" s="162" t="s">
        <v>252</v>
      </c>
    </row>
    <row r="1403" spans="1:15" x14ac:dyDescent="0.25">
      <c r="A1403" s="154">
        <v>1403</v>
      </c>
      <c r="B1403" s="162" t="s">
        <v>2305</v>
      </c>
      <c r="C1403" s="163">
        <v>46844282</v>
      </c>
      <c r="D1403" s="164" t="s">
        <v>836</v>
      </c>
      <c r="E1403" s="165">
        <v>2350400</v>
      </c>
      <c r="F1403" s="165">
        <v>376280</v>
      </c>
      <c r="G1403" s="165">
        <v>1974120</v>
      </c>
      <c r="H1403" s="165">
        <v>0</v>
      </c>
      <c r="I1403" s="163"/>
      <c r="J1403" s="166">
        <v>0</v>
      </c>
      <c r="K1403" s="167" t="s">
        <v>1464</v>
      </c>
      <c r="L1403" s="167">
        <v>720</v>
      </c>
      <c r="M1403" s="168">
        <v>46066</v>
      </c>
      <c r="N1403" s="169" t="s">
        <v>2307</v>
      </c>
      <c r="O1403" s="162" t="s">
        <v>252</v>
      </c>
    </row>
    <row r="1404" spans="1:15" x14ac:dyDescent="0.25">
      <c r="A1404" s="154">
        <v>1404</v>
      </c>
      <c r="B1404" s="162" t="s">
        <v>2305</v>
      </c>
      <c r="C1404" s="163">
        <v>46844282</v>
      </c>
      <c r="D1404" s="164" t="s">
        <v>836</v>
      </c>
      <c r="E1404" s="165">
        <v>1927087</v>
      </c>
      <c r="F1404" s="165">
        <v>0</v>
      </c>
      <c r="G1404" s="165">
        <v>1927087</v>
      </c>
      <c r="H1404" s="165">
        <v>0</v>
      </c>
      <c r="I1404" s="163"/>
      <c r="J1404" s="166">
        <v>0</v>
      </c>
      <c r="K1404" s="167" t="s">
        <v>1464</v>
      </c>
      <c r="L1404" s="167">
        <v>720</v>
      </c>
      <c r="M1404" s="168">
        <v>46066</v>
      </c>
      <c r="N1404" s="169" t="s">
        <v>2308</v>
      </c>
      <c r="O1404" s="162" t="s">
        <v>2309</v>
      </c>
    </row>
    <row r="1405" spans="1:15" x14ac:dyDescent="0.25">
      <c r="A1405" s="154">
        <v>1405</v>
      </c>
      <c r="B1405" s="162" t="s">
        <v>2305</v>
      </c>
      <c r="C1405" s="163">
        <v>46844282</v>
      </c>
      <c r="D1405" s="164" t="s">
        <v>836</v>
      </c>
      <c r="E1405" s="165">
        <v>2936610</v>
      </c>
      <c r="F1405" s="165">
        <v>0</v>
      </c>
      <c r="G1405" s="165">
        <v>2936610</v>
      </c>
      <c r="H1405" s="165">
        <v>0</v>
      </c>
      <c r="I1405" s="163"/>
      <c r="J1405" s="166">
        <v>0</v>
      </c>
      <c r="K1405" s="167" t="s">
        <v>1464</v>
      </c>
      <c r="L1405" s="167">
        <v>720</v>
      </c>
      <c r="M1405" s="168">
        <v>46066</v>
      </c>
      <c r="N1405" s="169" t="s">
        <v>2310</v>
      </c>
      <c r="O1405" s="162" t="s">
        <v>252</v>
      </c>
    </row>
    <row r="1406" spans="1:15" x14ac:dyDescent="0.25">
      <c r="A1406" s="154">
        <v>1406</v>
      </c>
      <c r="B1406" s="162" t="s">
        <v>2305</v>
      </c>
      <c r="C1406" s="163">
        <v>46844282</v>
      </c>
      <c r="D1406" s="164" t="s">
        <v>836</v>
      </c>
      <c r="E1406" s="165">
        <v>474915</v>
      </c>
      <c r="F1406" s="165">
        <v>0</v>
      </c>
      <c r="G1406" s="165">
        <v>474915</v>
      </c>
      <c r="H1406" s="165">
        <v>0</v>
      </c>
      <c r="I1406" s="163"/>
      <c r="J1406" s="166">
        <v>0</v>
      </c>
      <c r="K1406" s="167" t="s">
        <v>1464</v>
      </c>
      <c r="L1406" s="167">
        <v>720</v>
      </c>
      <c r="M1406" s="168">
        <v>46066</v>
      </c>
      <c r="N1406" s="169" t="s">
        <v>2308</v>
      </c>
      <c r="O1406" s="162" t="s">
        <v>2309</v>
      </c>
    </row>
    <row r="1407" spans="1:15" x14ac:dyDescent="0.25">
      <c r="A1407" s="154">
        <v>1407</v>
      </c>
      <c r="B1407" s="162" t="s">
        <v>2305</v>
      </c>
      <c r="C1407" s="163">
        <v>46844282</v>
      </c>
      <c r="D1407" s="164" t="s">
        <v>836</v>
      </c>
      <c r="E1407" s="165">
        <v>1759897</v>
      </c>
      <c r="F1407" s="165">
        <v>0</v>
      </c>
      <c r="G1407" s="165">
        <v>1759897</v>
      </c>
      <c r="H1407" s="165">
        <v>0</v>
      </c>
      <c r="I1407" s="163"/>
      <c r="J1407" s="166">
        <v>0</v>
      </c>
      <c r="K1407" s="167" t="s">
        <v>1464</v>
      </c>
      <c r="L1407" s="167">
        <v>720</v>
      </c>
      <c r="M1407" s="168">
        <v>46066</v>
      </c>
      <c r="N1407" s="169" t="s">
        <v>2308</v>
      </c>
      <c r="O1407" s="162" t="s">
        <v>2309</v>
      </c>
    </row>
    <row r="1408" spans="1:15" x14ac:dyDescent="0.25">
      <c r="A1408" s="154">
        <v>1408</v>
      </c>
      <c r="B1408" s="162" t="s">
        <v>2305</v>
      </c>
      <c r="C1408" s="163">
        <v>46844282</v>
      </c>
      <c r="D1408" s="164" t="s">
        <v>836</v>
      </c>
      <c r="E1408" s="165">
        <v>1601146</v>
      </c>
      <c r="F1408" s="165">
        <v>0</v>
      </c>
      <c r="G1408" s="165">
        <v>1601146</v>
      </c>
      <c r="H1408" s="165">
        <v>0</v>
      </c>
      <c r="I1408" s="163"/>
      <c r="J1408" s="166">
        <v>0</v>
      </c>
      <c r="K1408" s="167" t="s">
        <v>1464</v>
      </c>
      <c r="L1408" s="167">
        <v>720</v>
      </c>
      <c r="M1408" s="168">
        <v>46066</v>
      </c>
      <c r="N1408" s="169" t="s">
        <v>2308</v>
      </c>
      <c r="O1408" s="162" t="s">
        <v>2309</v>
      </c>
    </row>
    <row r="1409" spans="1:15" x14ac:dyDescent="0.25">
      <c r="A1409" s="154">
        <v>1409</v>
      </c>
      <c r="B1409" s="162" t="s">
        <v>2305</v>
      </c>
      <c r="C1409" s="163">
        <v>46844282</v>
      </c>
      <c r="D1409" s="164" t="s">
        <v>836</v>
      </c>
      <c r="E1409" s="165">
        <v>307006</v>
      </c>
      <c r="F1409" s="165">
        <v>0</v>
      </c>
      <c r="G1409" s="165">
        <v>307006</v>
      </c>
      <c r="H1409" s="165">
        <v>0</v>
      </c>
      <c r="I1409" s="163"/>
      <c r="J1409" s="166">
        <v>0</v>
      </c>
      <c r="K1409" s="167" t="s">
        <v>1464</v>
      </c>
      <c r="L1409" s="167">
        <v>720</v>
      </c>
      <c r="M1409" s="168">
        <v>46066</v>
      </c>
      <c r="N1409" s="169" t="s">
        <v>2308</v>
      </c>
      <c r="O1409" s="162" t="s">
        <v>2309</v>
      </c>
    </row>
    <row r="1410" spans="1:15" x14ac:dyDescent="0.25">
      <c r="A1410" s="154">
        <v>1410</v>
      </c>
      <c r="B1410" s="162" t="s">
        <v>2305</v>
      </c>
      <c r="C1410" s="163">
        <v>46844282</v>
      </c>
      <c r="D1410" s="164" t="s">
        <v>836</v>
      </c>
      <c r="E1410" s="165">
        <v>1601146</v>
      </c>
      <c r="F1410" s="165">
        <v>0</v>
      </c>
      <c r="G1410" s="165">
        <v>1601146</v>
      </c>
      <c r="H1410" s="165">
        <v>0</v>
      </c>
      <c r="I1410" s="163"/>
      <c r="J1410" s="166">
        <v>0</v>
      </c>
      <c r="K1410" s="167" t="s">
        <v>1464</v>
      </c>
      <c r="L1410" s="167">
        <v>720</v>
      </c>
      <c r="M1410" s="168">
        <v>46066</v>
      </c>
      <c r="N1410" s="169" t="s">
        <v>2308</v>
      </c>
      <c r="O1410" s="162" t="s">
        <v>2309</v>
      </c>
    </row>
    <row r="1411" spans="1:15" x14ac:dyDescent="0.25">
      <c r="A1411" s="154">
        <v>1411</v>
      </c>
      <c r="B1411" s="162" t="s">
        <v>2305</v>
      </c>
      <c r="C1411" s="163">
        <v>46844282</v>
      </c>
      <c r="D1411" s="164" t="s">
        <v>836</v>
      </c>
      <c r="E1411" s="165">
        <v>307006</v>
      </c>
      <c r="F1411" s="165">
        <v>0</v>
      </c>
      <c r="G1411" s="165">
        <v>307006</v>
      </c>
      <c r="H1411" s="165">
        <v>0</v>
      </c>
      <c r="I1411" s="163"/>
      <c r="J1411" s="166">
        <v>0</v>
      </c>
      <c r="K1411" s="167" t="s">
        <v>1464</v>
      </c>
      <c r="L1411" s="167">
        <v>720</v>
      </c>
      <c r="M1411" s="168">
        <v>46066</v>
      </c>
      <c r="N1411" s="169" t="s">
        <v>2308</v>
      </c>
      <c r="O1411" s="162" t="s">
        <v>2309</v>
      </c>
    </row>
    <row r="1412" spans="1:15" x14ac:dyDescent="0.25">
      <c r="A1412" s="154">
        <v>1412</v>
      </c>
      <c r="B1412" s="162" t="s">
        <v>2305</v>
      </c>
      <c r="C1412" s="163">
        <v>46844282</v>
      </c>
      <c r="D1412" s="164" t="s">
        <v>836</v>
      </c>
      <c r="E1412" s="165">
        <v>1045421</v>
      </c>
      <c r="F1412" s="165">
        <v>0</v>
      </c>
      <c r="G1412" s="165">
        <v>1045421</v>
      </c>
      <c r="H1412" s="165">
        <v>0</v>
      </c>
      <c r="I1412" s="163"/>
      <c r="J1412" s="166">
        <v>0</v>
      </c>
      <c r="K1412" s="167" t="s">
        <v>1464</v>
      </c>
      <c r="L1412" s="167">
        <v>720</v>
      </c>
      <c r="M1412" s="168">
        <v>46066</v>
      </c>
      <c r="N1412" s="169" t="s">
        <v>2308</v>
      </c>
      <c r="O1412" s="162" t="s">
        <v>2309</v>
      </c>
    </row>
    <row r="1413" spans="1:15" x14ac:dyDescent="0.25">
      <c r="A1413" s="154">
        <v>1413</v>
      </c>
      <c r="B1413" s="162" t="s">
        <v>2311</v>
      </c>
      <c r="C1413" s="163">
        <v>3920060</v>
      </c>
      <c r="D1413" s="164" t="s">
        <v>968</v>
      </c>
      <c r="E1413" s="165">
        <v>325100</v>
      </c>
      <c r="F1413" s="165">
        <v>325100</v>
      </c>
      <c r="G1413" s="165">
        <v>0</v>
      </c>
      <c r="H1413" s="165">
        <v>0</v>
      </c>
      <c r="I1413" s="163"/>
      <c r="J1413" s="166">
        <v>0</v>
      </c>
      <c r="K1413" s="167" t="s">
        <v>1464</v>
      </c>
      <c r="L1413" s="167">
        <v>740</v>
      </c>
      <c r="M1413" s="168">
        <v>46090</v>
      </c>
      <c r="N1413" s="169" t="s">
        <v>2312</v>
      </c>
      <c r="O1413" s="162">
        <v>108</v>
      </c>
    </row>
    <row r="1414" spans="1:15" x14ac:dyDescent="0.25">
      <c r="A1414" s="154">
        <v>1414</v>
      </c>
      <c r="B1414" s="162" t="s">
        <v>2313</v>
      </c>
      <c r="C1414" s="163">
        <v>142100</v>
      </c>
      <c r="D1414" s="164" t="s">
        <v>968</v>
      </c>
      <c r="E1414" s="165">
        <v>142100</v>
      </c>
      <c r="F1414" s="165">
        <v>0</v>
      </c>
      <c r="G1414" s="165">
        <v>142100</v>
      </c>
      <c r="H1414" s="165">
        <v>0</v>
      </c>
      <c r="I1414" s="163"/>
      <c r="J1414" s="166">
        <v>0</v>
      </c>
      <c r="K1414" s="167" t="s">
        <v>1464</v>
      </c>
      <c r="L1414" s="167">
        <v>740</v>
      </c>
      <c r="M1414" s="168">
        <v>46090</v>
      </c>
      <c r="N1414" s="169" t="s">
        <v>1029</v>
      </c>
      <c r="O1414" s="162">
        <v>816</v>
      </c>
    </row>
    <row r="1415" spans="1:15" x14ac:dyDescent="0.25">
      <c r="A1415" s="154">
        <v>1415</v>
      </c>
      <c r="B1415" s="162" t="s">
        <v>2314</v>
      </c>
      <c r="C1415" s="163">
        <v>4724660</v>
      </c>
      <c r="D1415" s="164" t="s">
        <v>968</v>
      </c>
      <c r="E1415" s="165">
        <v>176200</v>
      </c>
      <c r="F1415" s="165">
        <v>176200</v>
      </c>
      <c r="G1415" s="165">
        <v>0</v>
      </c>
      <c r="H1415" s="165">
        <v>0</v>
      </c>
      <c r="I1415" s="163"/>
      <c r="J1415" s="166">
        <v>0</v>
      </c>
      <c r="K1415" s="167" t="s">
        <v>1464</v>
      </c>
      <c r="L1415" s="167">
        <v>740</v>
      </c>
      <c r="M1415" s="168">
        <v>46090</v>
      </c>
      <c r="N1415" s="169" t="s">
        <v>2315</v>
      </c>
      <c r="O1415" s="162">
        <v>108</v>
      </c>
    </row>
    <row r="1416" spans="1:15" x14ac:dyDescent="0.25">
      <c r="A1416" s="154">
        <v>1416</v>
      </c>
      <c r="B1416" s="162" t="s">
        <v>2316</v>
      </c>
      <c r="C1416" s="163">
        <v>12595157</v>
      </c>
      <c r="D1416" s="164" t="s">
        <v>968</v>
      </c>
      <c r="E1416" s="165">
        <v>12595157</v>
      </c>
      <c r="F1416" s="165">
        <v>0</v>
      </c>
      <c r="G1416" s="165">
        <v>0</v>
      </c>
      <c r="H1416" s="165">
        <v>12595157</v>
      </c>
      <c r="I1416" s="163"/>
      <c r="J1416" s="166">
        <v>0</v>
      </c>
      <c r="K1416" s="167" t="s">
        <v>1464</v>
      </c>
      <c r="L1416" s="167">
        <v>740</v>
      </c>
      <c r="M1416" s="168">
        <v>46090</v>
      </c>
      <c r="N1416" s="169" t="s">
        <v>2317</v>
      </c>
      <c r="O1416" s="162">
        <v>816</v>
      </c>
    </row>
    <row r="1417" spans="1:15" x14ac:dyDescent="0.25">
      <c r="A1417" s="154">
        <v>1417</v>
      </c>
      <c r="B1417" s="162" t="s">
        <v>2318</v>
      </c>
      <c r="C1417" s="163">
        <v>305700</v>
      </c>
      <c r="D1417" s="164" t="s">
        <v>968</v>
      </c>
      <c r="E1417" s="165">
        <v>125300</v>
      </c>
      <c r="F1417" s="165">
        <v>0</v>
      </c>
      <c r="G1417" s="165">
        <v>125300</v>
      </c>
      <c r="H1417" s="165">
        <v>0</v>
      </c>
      <c r="I1417" s="163"/>
      <c r="J1417" s="166">
        <v>0</v>
      </c>
      <c r="K1417" s="167" t="s">
        <v>1464</v>
      </c>
      <c r="L1417" s="167">
        <v>740</v>
      </c>
      <c r="M1417" s="168">
        <v>46090</v>
      </c>
      <c r="N1417" s="169" t="s">
        <v>1029</v>
      </c>
      <c r="O1417" s="162">
        <v>601</v>
      </c>
    </row>
    <row r="1418" spans="1:15" x14ac:dyDescent="0.25">
      <c r="A1418" s="154">
        <v>1418</v>
      </c>
      <c r="B1418" s="162" t="s">
        <v>2319</v>
      </c>
      <c r="C1418" s="163">
        <v>3690340</v>
      </c>
      <c r="D1418" s="164" t="s">
        <v>968</v>
      </c>
      <c r="E1418" s="165">
        <v>186600</v>
      </c>
      <c r="F1418" s="165">
        <v>186600</v>
      </c>
      <c r="G1418" s="165">
        <v>0</v>
      </c>
      <c r="H1418" s="165">
        <v>0</v>
      </c>
      <c r="I1418" s="163"/>
      <c r="J1418" s="166">
        <v>0</v>
      </c>
      <c r="K1418" s="167" t="s">
        <v>1464</v>
      </c>
      <c r="L1418" s="167">
        <v>740</v>
      </c>
      <c r="M1418" s="168">
        <v>46090</v>
      </c>
      <c r="N1418" s="169" t="s">
        <v>999</v>
      </c>
      <c r="O1418" s="162">
        <v>123</v>
      </c>
    </row>
    <row r="1419" spans="1:15" x14ac:dyDescent="0.25">
      <c r="A1419" s="154">
        <v>1419</v>
      </c>
      <c r="B1419" s="162" t="s">
        <v>2320</v>
      </c>
      <c r="C1419" s="163">
        <v>12993930</v>
      </c>
      <c r="D1419" s="164" t="s">
        <v>968</v>
      </c>
      <c r="E1419" s="165">
        <v>1437000</v>
      </c>
      <c r="F1419" s="165">
        <v>862200</v>
      </c>
      <c r="G1419" s="165">
        <v>574800</v>
      </c>
      <c r="H1419" s="165">
        <v>0</v>
      </c>
      <c r="I1419" s="163"/>
      <c r="J1419" s="166">
        <v>0</v>
      </c>
      <c r="K1419" s="167" t="s">
        <v>1464</v>
      </c>
      <c r="L1419" s="167">
        <v>740</v>
      </c>
      <c r="M1419" s="168">
        <v>46090</v>
      </c>
      <c r="N1419" s="169" t="s">
        <v>2321</v>
      </c>
      <c r="O1419" s="162">
        <v>601</v>
      </c>
    </row>
    <row r="1420" spans="1:15" x14ac:dyDescent="0.25">
      <c r="A1420" s="154">
        <v>1420</v>
      </c>
      <c r="B1420" s="162" t="s">
        <v>2322</v>
      </c>
      <c r="C1420" s="163">
        <v>5042750</v>
      </c>
      <c r="D1420" s="164" t="s">
        <v>968</v>
      </c>
      <c r="E1420" s="165">
        <v>1794750</v>
      </c>
      <c r="F1420" s="165">
        <v>0</v>
      </c>
      <c r="G1420" s="165">
        <v>1794750</v>
      </c>
      <c r="H1420" s="165">
        <v>0</v>
      </c>
      <c r="I1420" s="163"/>
      <c r="J1420" s="166">
        <v>0</v>
      </c>
      <c r="K1420" s="167" t="s">
        <v>1464</v>
      </c>
      <c r="L1420" s="167">
        <v>740</v>
      </c>
      <c r="M1420" s="168">
        <v>46090</v>
      </c>
      <c r="N1420" s="169" t="s">
        <v>1029</v>
      </c>
      <c r="O1420" s="162">
        <v>201</v>
      </c>
    </row>
    <row r="1421" spans="1:15" x14ac:dyDescent="0.25">
      <c r="A1421" s="154">
        <v>1421</v>
      </c>
      <c r="B1421" s="162" t="s">
        <v>2323</v>
      </c>
      <c r="C1421" s="163">
        <v>9369020</v>
      </c>
      <c r="D1421" s="164" t="s">
        <v>968</v>
      </c>
      <c r="E1421" s="165">
        <v>186600</v>
      </c>
      <c r="F1421" s="165">
        <v>186600</v>
      </c>
      <c r="G1421" s="165">
        <v>0</v>
      </c>
      <c r="H1421" s="165">
        <v>0</v>
      </c>
      <c r="I1421" s="163"/>
      <c r="J1421" s="166">
        <v>0</v>
      </c>
      <c r="K1421" s="167" t="s">
        <v>1464</v>
      </c>
      <c r="L1421" s="167">
        <v>740</v>
      </c>
      <c r="M1421" s="168">
        <v>46090</v>
      </c>
      <c r="N1421" s="169" t="s">
        <v>999</v>
      </c>
      <c r="O1421" s="162">
        <v>123</v>
      </c>
    </row>
    <row r="1422" spans="1:15" x14ac:dyDescent="0.25">
      <c r="A1422" s="154">
        <v>1422</v>
      </c>
      <c r="B1422" s="162" t="s">
        <v>2324</v>
      </c>
      <c r="C1422" s="163">
        <v>11349990</v>
      </c>
      <c r="D1422" s="164" t="s">
        <v>968</v>
      </c>
      <c r="E1422" s="165">
        <v>2540680</v>
      </c>
      <c r="F1422" s="165">
        <v>149777</v>
      </c>
      <c r="G1422" s="165">
        <v>2390903</v>
      </c>
      <c r="H1422" s="165">
        <v>0</v>
      </c>
      <c r="I1422" s="163"/>
      <c r="J1422" s="166">
        <v>0</v>
      </c>
      <c r="K1422" s="167" t="s">
        <v>1464</v>
      </c>
      <c r="L1422" s="167">
        <v>740</v>
      </c>
      <c r="M1422" s="168">
        <v>46090</v>
      </c>
      <c r="N1422" s="169" t="s">
        <v>2325</v>
      </c>
      <c r="O1422" s="162">
        <v>342</v>
      </c>
    </row>
    <row r="1423" spans="1:15" x14ac:dyDescent="0.25">
      <c r="A1423" s="154">
        <v>1423</v>
      </c>
      <c r="B1423" s="162" t="s">
        <v>2326</v>
      </c>
      <c r="C1423" s="163">
        <v>15948315</v>
      </c>
      <c r="D1423" s="164" t="s">
        <v>968</v>
      </c>
      <c r="E1423" s="165">
        <v>176200</v>
      </c>
      <c r="F1423" s="165">
        <v>176200</v>
      </c>
      <c r="G1423" s="165">
        <v>0</v>
      </c>
      <c r="H1423" s="165">
        <v>0</v>
      </c>
      <c r="I1423" s="163"/>
      <c r="J1423" s="166">
        <v>0</v>
      </c>
      <c r="K1423" s="167" t="s">
        <v>1464</v>
      </c>
      <c r="L1423" s="167">
        <v>740</v>
      </c>
      <c r="M1423" s="168">
        <v>46090</v>
      </c>
      <c r="N1423" s="169" t="s">
        <v>2327</v>
      </c>
      <c r="O1423" s="162">
        <v>108</v>
      </c>
    </row>
    <row r="1424" spans="1:15" x14ac:dyDescent="0.25">
      <c r="A1424" s="154">
        <v>1424</v>
      </c>
      <c r="B1424" s="162" t="s">
        <v>2328</v>
      </c>
      <c r="C1424" s="163">
        <v>11124942</v>
      </c>
      <c r="D1424" s="164" t="s">
        <v>968</v>
      </c>
      <c r="E1424" s="165">
        <v>619900</v>
      </c>
      <c r="F1424" s="165">
        <v>528600</v>
      </c>
      <c r="G1424" s="165">
        <v>91300</v>
      </c>
      <c r="H1424" s="165">
        <v>0</v>
      </c>
      <c r="I1424" s="163"/>
      <c r="J1424" s="166">
        <v>0</v>
      </c>
      <c r="K1424" s="167" t="s">
        <v>1464</v>
      </c>
      <c r="L1424" s="167">
        <v>740</v>
      </c>
      <c r="M1424" s="168">
        <v>46090</v>
      </c>
      <c r="N1424" s="169" t="s">
        <v>2329</v>
      </c>
      <c r="O1424" s="162">
        <v>108</v>
      </c>
    </row>
    <row r="1425" spans="1:15" x14ac:dyDescent="0.25">
      <c r="A1425" s="154">
        <v>1425</v>
      </c>
      <c r="B1425" s="162" t="s">
        <v>2330</v>
      </c>
      <c r="C1425" s="163">
        <v>138049391</v>
      </c>
      <c r="D1425" s="164" t="s">
        <v>968</v>
      </c>
      <c r="E1425" s="165">
        <v>373200</v>
      </c>
      <c r="F1425" s="165">
        <v>373200</v>
      </c>
      <c r="G1425" s="165">
        <v>0</v>
      </c>
      <c r="H1425" s="165">
        <v>0</v>
      </c>
      <c r="I1425" s="163"/>
      <c r="J1425" s="166">
        <v>0</v>
      </c>
      <c r="K1425" s="167" t="s">
        <v>1464</v>
      </c>
      <c r="L1425" s="167">
        <v>740</v>
      </c>
      <c r="M1425" s="168">
        <v>46090</v>
      </c>
      <c r="N1425" s="169" t="s">
        <v>2331</v>
      </c>
      <c r="O1425" s="162">
        <v>108</v>
      </c>
    </row>
    <row r="1426" spans="1:15" x14ac:dyDescent="0.25">
      <c r="A1426" s="154">
        <v>1426</v>
      </c>
      <c r="B1426" s="162" t="s">
        <v>2332</v>
      </c>
      <c r="C1426" s="163">
        <v>27149680</v>
      </c>
      <c r="D1426" s="164" t="s">
        <v>968</v>
      </c>
      <c r="E1426" s="165">
        <v>1164300</v>
      </c>
      <c r="F1426" s="165">
        <v>1164300</v>
      </c>
      <c r="G1426" s="165">
        <v>0</v>
      </c>
      <c r="H1426" s="165">
        <v>0</v>
      </c>
      <c r="I1426" s="163"/>
      <c r="J1426" s="166">
        <v>0</v>
      </c>
      <c r="K1426" s="167" t="s">
        <v>1464</v>
      </c>
      <c r="L1426" s="167">
        <v>740</v>
      </c>
      <c r="M1426" s="168">
        <v>46090</v>
      </c>
      <c r="N1426" s="169" t="s">
        <v>2333</v>
      </c>
      <c r="O1426" s="162">
        <v>201</v>
      </c>
    </row>
    <row r="1427" spans="1:15" x14ac:dyDescent="0.25">
      <c r="A1427" s="154">
        <v>1427</v>
      </c>
      <c r="B1427" s="162" t="s">
        <v>2334</v>
      </c>
      <c r="C1427" s="163">
        <v>29573137</v>
      </c>
      <c r="D1427" s="164" t="s">
        <v>968</v>
      </c>
      <c r="E1427" s="165">
        <v>29573137</v>
      </c>
      <c r="F1427" s="165">
        <v>0</v>
      </c>
      <c r="G1427" s="165">
        <v>0</v>
      </c>
      <c r="H1427" s="165">
        <v>29573137</v>
      </c>
      <c r="I1427" s="163"/>
      <c r="J1427" s="166">
        <v>0</v>
      </c>
      <c r="K1427" s="167" t="s">
        <v>1464</v>
      </c>
      <c r="L1427" s="167">
        <v>740</v>
      </c>
      <c r="M1427" s="168">
        <v>46090</v>
      </c>
      <c r="N1427" s="169" t="s">
        <v>2335</v>
      </c>
      <c r="O1427" s="162">
        <v>816</v>
      </c>
    </row>
    <row r="1428" spans="1:15" x14ac:dyDescent="0.25">
      <c r="A1428" s="154">
        <v>1428</v>
      </c>
      <c r="B1428" s="162" t="s">
        <v>2336</v>
      </c>
      <c r="C1428" s="163">
        <v>26873758</v>
      </c>
      <c r="D1428" s="164" t="s">
        <v>968</v>
      </c>
      <c r="E1428" s="165">
        <v>895500</v>
      </c>
      <c r="F1428" s="165">
        <v>895500</v>
      </c>
      <c r="G1428" s="165">
        <v>0</v>
      </c>
      <c r="H1428" s="165">
        <v>0</v>
      </c>
      <c r="I1428" s="163"/>
      <c r="J1428" s="166">
        <v>0</v>
      </c>
      <c r="K1428" s="167" t="s">
        <v>1464</v>
      </c>
      <c r="L1428" s="167">
        <v>740</v>
      </c>
      <c r="M1428" s="168">
        <v>46090</v>
      </c>
      <c r="N1428" s="169" t="s">
        <v>2337</v>
      </c>
      <c r="O1428" s="162">
        <v>208</v>
      </c>
    </row>
    <row r="1429" spans="1:15" x14ac:dyDescent="0.25">
      <c r="A1429" s="154">
        <v>1429</v>
      </c>
      <c r="B1429" s="162" t="s">
        <v>2338</v>
      </c>
      <c r="C1429" s="163">
        <v>86468178</v>
      </c>
      <c r="D1429" s="164" t="s">
        <v>968</v>
      </c>
      <c r="E1429" s="165">
        <v>2763160</v>
      </c>
      <c r="F1429" s="165">
        <v>2763160</v>
      </c>
      <c r="G1429" s="165">
        <v>0</v>
      </c>
      <c r="H1429" s="165">
        <v>0</v>
      </c>
      <c r="I1429" s="163"/>
      <c r="J1429" s="166">
        <v>0</v>
      </c>
      <c r="K1429" s="167" t="s">
        <v>1464</v>
      </c>
      <c r="L1429" s="167">
        <v>740</v>
      </c>
      <c r="M1429" s="168">
        <v>46090</v>
      </c>
      <c r="N1429" s="169" t="s">
        <v>2339</v>
      </c>
      <c r="O1429" s="162">
        <v>207</v>
      </c>
    </row>
    <row r="1430" spans="1:15" x14ac:dyDescent="0.25">
      <c r="A1430" s="154">
        <v>1430</v>
      </c>
      <c r="B1430" s="162" t="s">
        <v>2340</v>
      </c>
      <c r="C1430" s="163">
        <v>75548050</v>
      </c>
      <c r="D1430" s="164" t="s">
        <v>968</v>
      </c>
      <c r="E1430" s="165">
        <v>4453300</v>
      </c>
      <c r="F1430" s="165">
        <v>1261100</v>
      </c>
      <c r="G1430" s="165">
        <v>3192200</v>
      </c>
      <c r="H1430" s="165">
        <v>0</v>
      </c>
      <c r="I1430" s="163"/>
      <c r="J1430" s="166">
        <v>0</v>
      </c>
      <c r="K1430" s="167" t="s">
        <v>1464</v>
      </c>
      <c r="L1430" s="167">
        <v>740</v>
      </c>
      <c r="M1430" s="168">
        <v>46090</v>
      </c>
      <c r="N1430" s="169" t="s">
        <v>2341</v>
      </c>
      <c r="O1430" s="162">
        <v>601</v>
      </c>
    </row>
    <row r="1431" spans="1:15" x14ac:dyDescent="0.25">
      <c r="A1431" s="154">
        <v>1431</v>
      </c>
      <c r="B1431" s="162" t="s">
        <v>2342</v>
      </c>
      <c r="C1431" s="163">
        <v>133800</v>
      </c>
      <c r="D1431" s="164" t="s">
        <v>2343</v>
      </c>
      <c r="E1431" s="165">
        <v>104813</v>
      </c>
      <c r="F1431" s="165">
        <v>0</v>
      </c>
      <c r="G1431" s="165">
        <v>104813</v>
      </c>
      <c r="H1431" s="165">
        <v>0</v>
      </c>
      <c r="I1431" s="163"/>
      <c r="J1431" s="166">
        <v>0</v>
      </c>
      <c r="K1431" s="167" t="s">
        <v>1464</v>
      </c>
      <c r="L1431" s="167">
        <v>741</v>
      </c>
      <c r="M1431" s="168">
        <v>46085</v>
      </c>
      <c r="N1431" s="169" t="s">
        <v>2344</v>
      </c>
      <c r="O1431" s="162">
        <v>208</v>
      </c>
    </row>
    <row r="1432" spans="1:15" x14ac:dyDescent="0.25">
      <c r="A1432" s="154">
        <v>1432</v>
      </c>
      <c r="B1432" s="162" t="s">
        <v>2345</v>
      </c>
      <c r="C1432" s="163">
        <v>6049584</v>
      </c>
      <c r="D1432" s="164" t="s">
        <v>2343</v>
      </c>
      <c r="E1432" s="165">
        <v>76988</v>
      </c>
      <c r="F1432" s="165">
        <v>0</v>
      </c>
      <c r="G1432" s="165">
        <v>76988</v>
      </c>
      <c r="H1432" s="165">
        <v>0</v>
      </c>
      <c r="I1432" s="163"/>
      <c r="J1432" s="166">
        <v>0</v>
      </c>
      <c r="K1432" s="167" t="s">
        <v>1464</v>
      </c>
      <c r="L1432" s="167">
        <v>741</v>
      </c>
      <c r="M1432" s="168">
        <v>46085</v>
      </c>
      <c r="N1432" s="169" t="s">
        <v>2344</v>
      </c>
      <c r="O1432" s="162" t="s">
        <v>406</v>
      </c>
    </row>
    <row r="1433" spans="1:15" x14ac:dyDescent="0.25">
      <c r="A1433" s="154">
        <v>1433</v>
      </c>
      <c r="B1433" s="162" t="s">
        <v>2345</v>
      </c>
      <c r="C1433" s="163">
        <v>6049584</v>
      </c>
      <c r="D1433" s="164" t="s">
        <v>2343</v>
      </c>
      <c r="E1433" s="165">
        <v>398580</v>
      </c>
      <c r="F1433" s="165">
        <v>0</v>
      </c>
      <c r="G1433" s="165">
        <v>398580</v>
      </c>
      <c r="H1433" s="165">
        <v>0</v>
      </c>
      <c r="I1433" s="163"/>
      <c r="J1433" s="166">
        <v>0</v>
      </c>
      <c r="K1433" s="167" t="s">
        <v>1464</v>
      </c>
      <c r="L1433" s="167">
        <v>741</v>
      </c>
      <c r="M1433" s="168">
        <v>46085</v>
      </c>
      <c r="N1433" s="169" t="s">
        <v>2344</v>
      </c>
      <c r="O1433" s="162" t="s">
        <v>1020</v>
      </c>
    </row>
    <row r="1434" spans="1:15" x14ac:dyDescent="0.25">
      <c r="A1434" s="154">
        <v>1434</v>
      </c>
      <c r="B1434" s="162" t="s">
        <v>2345</v>
      </c>
      <c r="C1434" s="163">
        <v>6049584</v>
      </c>
      <c r="D1434" s="164" t="s">
        <v>2343</v>
      </c>
      <c r="E1434" s="165">
        <v>865333</v>
      </c>
      <c r="F1434" s="165">
        <v>865333</v>
      </c>
      <c r="G1434" s="165">
        <v>0</v>
      </c>
      <c r="H1434" s="165">
        <v>0</v>
      </c>
      <c r="I1434" s="163"/>
      <c r="J1434" s="166">
        <v>0</v>
      </c>
      <c r="K1434" s="167" t="s">
        <v>1464</v>
      </c>
      <c r="L1434" s="167">
        <v>741</v>
      </c>
      <c r="M1434" s="168">
        <v>46085</v>
      </c>
      <c r="N1434" s="169" t="s">
        <v>2346</v>
      </c>
      <c r="O1434" s="162" t="s">
        <v>2347</v>
      </c>
    </row>
    <row r="1435" spans="1:15" x14ac:dyDescent="0.25">
      <c r="A1435" s="154">
        <v>1435</v>
      </c>
      <c r="B1435" s="162" t="s">
        <v>2348</v>
      </c>
      <c r="C1435" s="163">
        <v>4432839</v>
      </c>
      <c r="D1435" s="164" t="s">
        <v>2343</v>
      </c>
      <c r="E1435" s="165">
        <v>145510</v>
      </c>
      <c r="F1435" s="165">
        <v>0</v>
      </c>
      <c r="G1435" s="165">
        <v>145510</v>
      </c>
      <c r="H1435" s="165">
        <v>0</v>
      </c>
      <c r="I1435" s="163"/>
      <c r="J1435" s="166">
        <v>0</v>
      </c>
      <c r="K1435" s="167" t="s">
        <v>1464</v>
      </c>
      <c r="L1435" s="167">
        <v>741</v>
      </c>
      <c r="M1435" s="168">
        <v>46085</v>
      </c>
      <c r="N1435" s="169" t="s">
        <v>2344</v>
      </c>
      <c r="O1435" s="162" t="s">
        <v>388</v>
      </c>
    </row>
    <row r="1436" spans="1:15" x14ac:dyDescent="0.25">
      <c r="A1436" s="154">
        <v>1436</v>
      </c>
      <c r="B1436" s="162" t="s">
        <v>2349</v>
      </c>
      <c r="C1436" s="163">
        <v>655503</v>
      </c>
      <c r="D1436" s="164" t="s">
        <v>2343</v>
      </c>
      <c r="E1436" s="165">
        <v>96738</v>
      </c>
      <c r="F1436" s="165">
        <v>0</v>
      </c>
      <c r="G1436" s="165">
        <v>96738</v>
      </c>
      <c r="H1436" s="165">
        <v>0</v>
      </c>
      <c r="I1436" s="163"/>
      <c r="J1436" s="166">
        <v>0</v>
      </c>
      <c r="K1436" s="167" t="s">
        <v>1464</v>
      </c>
      <c r="L1436" s="167">
        <v>741</v>
      </c>
      <c r="M1436" s="168">
        <v>46085</v>
      </c>
      <c r="N1436" s="169" t="s">
        <v>2344</v>
      </c>
      <c r="O1436" s="162" t="s">
        <v>237</v>
      </c>
    </row>
    <row r="1437" spans="1:15" x14ac:dyDescent="0.25">
      <c r="A1437" s="154">
        <v>1437</v>
      </c>
      <c r="B1437" s="162" t="s">
        <v>2350</v>
      </c>
      <c r="C1437" s="163">
        <v>12511951</v>
      </c>
      <c r="D1437" s="164" t="s">
        <v>2343</v>
      </c>
      <c r="E1437" s="165">
        <v>50741</v>
      </c>
      <c r="F1437" s="165">
        <v>0</v>
      </c>
      <c r="G1437" s="165">
        <v>50741</v>
      </c>
      <c r="H1437" s="165">
        <v>0</v>
      </c>
      <c r="I1437" s="163"/>
      <c r="J1437" s="166">
        <v>0</v>
      </c>
      <c r="K1437" s="167" t="s">
        <v>1464</v>
      </c>
      <c r="L1437" s="167">
        <v>741</v>
      </c>
      <c r="M1437" s="168">
        <v>46085</v>
      </c>
      <c r="N1437" s="169" t="s">
        <v>2344</v>
      </c>
      <c r="O1437" s="162" t="s">
        <v>237</v>
      </c>
    </row>
    <row r="1438" spans="1:15" x14ac:dyDescent="0.25">
      <c r="A1438" s="154">
        <v>1438</v>
      </c>
      <c r="B1438" s="162" t="s">
        <v>2351</v>
      </c>
      <c r="C1438" s="163">
        <v>941700</v>
      </c>
      <c r="D1438" s="164" t="s">
        <v>2343</v>
      </c>
      <c r="E1438" s="165">
        <v>169081</v>
      </c>
      <c r="F1438" s="165">
        <v>112166</v>
      </c>
      <c r="G1438" s="165">
        <v>56915</v>
      </c>
      <c r="H1438" s="165">
        <v>0</v>
      </c>
      <c r="I1438" s="163"/>
      <c r="J1438" s="166">
        <v>0</v>
      </c>
      <c r="K1438" s="167" t="s">
        <v>1464</v>
      </c>
      <c r="L1438" s="167">
        <v>741</v>
      </c>
      <c r="M1438" s="168">
        <v>46085</v>
      </c>
      <c r="N1438" s="169" t="s">
        <v>2352</v>
      </c>
      <c r="O1438" s="162" t="s">
        <v>212</v>
      </c>
    </row>
    <row r="1439" spans="1:15" x14ac:dyDescent="0.25">
      <c r="A1439" s="154">
        <v>1439</v>
      </c>
      <c r="B1439" s="162" t="s">
        <v>2353</v>
      </c>
      <c r="C1439" s="163">
        <v>556200</v>
      </c>
      <c r="D1439" s="164" t="s">
        <v>2343</v>
      </c>
      <c r="E1439" s="165">
        <v>29833</v>
      </c>
      <c r="F1439" s="165">
        <v>29833</v>
      </c>
      <c r="G1439" s="165">
        <v>0</v>
      </c>
      <c r="H1439" s="165">
        <v>0</v>
      </c>
      <c r="I1439" s="163"/>
      <c r="J1439" s="166">
        <v>0</v>
      </c>
      <c r="K1439" s="167" t="s">
        <v>1464</v>
      </c>
      <c r="L1439" s="167">
        <v>741</v>
      </c>
      <c r="M1439" s="168">
        <v>46085</v>
      </c>
      <c r="N1439" s="169" t="s">
        <v>2354</v>
      </c>
      <c r="O1439" s="162" t="s">
        <v>212</v>
      </c>
    </row>
    <row r="1440" spans="1:15" x14ac:dyDescent="0.25">
      <c r="A1440" s="154">
        <v>1440</v>
      </c>
      <c r="B1440" s="162" t="s">
        <v>2353</v>
      </c>
      <c r="C1440" s="163">
        <v>556200</v>
      </c>
      <c r="D1440" s="164" t="s">
        <v>2343</v>
      </c>
      <c r="E1440" s="165">
        <v>14022</v>
      </c>
      <c r="F1440" s="165">
        <v>14022</v>
      </c>
      <c r="G1440" s="165">
        <v>0</v>
      </c>
      <c r="H1440" s="165">
        <v>0</v>
      </c>
      <c r="I1440" s="163"/>
      <c r="J1440" s="166">
        <v>0</v>
      </c>
      <c r="K1440" s="167" t="s">
        <v>1464</v>
      </c>
      <c r="L1440" s="167">
        <v>741</v>
      </c>
      <c r="M1440" s="168">
        <v>46085</v>
      </c>
      <c r="N1440" s="169" t="s">
        <v>2355</v>
      </c>
      <c r="O1440" s="162" t="s">
        <v>185</v>
      </c>
    </row>
    <row r="1441" spans="1:15" x14ac:dyDescent="0.25">
      <c r="A1441" s="154">
        <v>1441</v>
      </c>
      <c r="B1441" s="162" t="s">
        <v>2353</v>
      </c>
      <c r="C1441" s="163">
        <v>556200</v>
      </c>
      <c r="D1441" s="164" t="s">
        <v>2343</v>
      </c>
      <c r="E1441" s="165">
        <v>13900</v>
      </c>
      <c r="F1441" s="165">
        <v>13900</v>
      </c>
      <c r="G1441" s="165">
        <v>0</v>
      </c>
      <c r="H1441" s="165">
        <v>0</v>
      </c>
      <c r="I1441" s="163"/>
      <c r="J1441" s="166">
        <v>0</v>
      </c>
      <c r="K1441" s="167" t="s">
        <v>1464</v>
      </c>
      <c r="L1441" s="167">
        <v>741</v>
      </c>
      <c r="M1441" s="168">
        <v>46085</v>
      </c>
      <c r="N1441" s="169" t="s">
        <v>2356</v>
      </c>
      <c r="O1441" s="162" t="s">
        <v>1135</v>
      </c>
    </row>
    <row r="1442" spans="1:15" x14ac:dyDescent="0.25">
      <c r="A1442" s="154">
        <v>1442</v>
      </c>
      <c r="B1442" s="162" t="s">
        <v>2357</v>
      </c>
      <c r="C1442" s="163">
        <v>2688971</v>
      </c>
      <c r="D1442" s="164" t="s">
        <v>2343</v>
      </c>
      <c r="E1442" s="165">
        <v>42800</v>
      </c>
      <c r="F1442" s="165">
        <v>42800</v>
      </c>
      <c r="G1442" s="165">
        <v>0</v>
      </c>
      <c r="H1442" s="165">
        <v>0</v>
      </c>
      <c r="I1442" s="163"/>
      <c r="J1442" s="166">
        <v>0</v>
      </c>
      <c r="K1442" s="167" t="s">
        <v>1464</v>
      </c>
      <c r="L1442" s="167">
        <v>741</v>
      </c>
      <c r="M1442" s="168">
        <v>46085</v>
      </c>
      <c r="N1442" s="169" t="s">
        <v>2358</v>
      </c>
      <c r="O1442" s="162" t="s">
        <v>224</v>
      </c>
    </row>
    <row r="1443" spans="1:15" x14ac:dyDescent="0.25">
      <c r="A1443" s="154">
        <v>1443</v>
      </c>
      <c r="B1443" s="162" t="s">
        <v>2357</v>
      </c>
      <c r="C1443" s="163">
        <v>2688971</v>
      </c>
      <c r="D1443" s="164" t="s">
        <v>2343</v>
      </c>
      <c r="E1443" s="165">
        <v>423140</v>
      </c>
      <c r="F1443" s="165">
        <v>0</v>
      </c>
      <c r="G1443" s="165">
        <v>423140</v>
      </c>
      <c r="H1443" s="165">
        <v>0</v>
      </c>
      <c r="I1443" s="163"/>
      <c r="J1443" s="166">
        <v>0</v>
      </c>
      <c r="K1443" s="167" t="s">
        <v>1464</v>
      </c>
      <c r="L1443" s="167">
        <v>741</v>
      </c>
      <c r="M1443" s="168">
        <v>46085</v>
      </c>
      <c r="N1443" s="169" t="s">
        <v>2344</v>
      </c>
      <c r="O1443" s="162" t="s">
        <v>212</v>
      </c>
    </row>
    <row r="1444" spans="1:15" x14ac:dyDescent="0.25">
      <c r="A1444" s="154">
        <v>1444</v>
      </c>
      <c r="B1444" s="162" t="s">
        <v>2359</v>
      </c>
      <c r="C1444" s="163">
        <v>999900</v>
      </c>
      <c r="D1444" s="164" t="s">
        <v>2343</v>
      </c>
      <c r="E1444" s="165">
        <v>2876</v>
      </c>
      <c r="F1444" s="165">
        <v>2876</v>
      </c>
      <c r="G1444" s="165">
        <v>0</v>
      </c>
      <c r="H1444" s="165">
        <v>0</v>
      </c>
      <c r="I1444" s="163"/>
      <c r="J1444" s="166">
        <v>0</v>
      </c>
      <c r="K1444" s="167" t="s">
        <v>1464</v>
      </c>
      <c r="L1444" s="167">
        <v>741</v>
      </c>
      <c r="M1444" s="168">
        <v>46085</v>
      </c>
      <c r="N1444" s="169" t="s">
        <v>2360</v>
      </c>
      <c r="O1444" s="162" t="s">
        <v>212</v>
      </c>
    </row>
    <row r="1445" spans="1:15" x14ac:dyDescent="0.25">
      <c r="A1445" s="154">
        <v>1445</v>
      </c>
      <c r="B1445" s="162" t="s">
        <v>2359</v>
      </c>
      <c r="C1445" s="163">
        <v>999900</v>
      </c>
      <c r="D1445" s="164" t="s">
        <v>2343</v>
      </c>
      <c r="E1445" s="165">
        <v>5913</v>
      </c>
      <c r="F1445" s="165">
        <v>5913</v>
      </c>
      <c r="G1445" s="165">
        <v>0</v>
      </c>
      <c r="H1445" s="165">
        <v>0</v>
      </c>
      <c r="I1445" s="163"/>
      <c r="J1445" s="166">
        <v>0</v>
      </c>
      <c r="K1445" s="167" t="s">
        <v>1464</v>
      </c>
      <c r="L1445" s="167">
        <v>741</v>
      </c>
      <c r="M1445" s="168">
        <v>46085</v>
      </c>
      <c r="N1445" s="169" t="s">
        <v>2361</v>
      </c>
      <c r="O1445" s="162" t="s">
        <v>212</v>
      </c>
    </row>
    <row r="1446" spans="1:15" x14ac:dyDescent="0.25">
      <c r="A1446" s="154">
        <v>1446</v>
      </c>
      <c r="B1446" s="162" t="s">
        <v>2359</v>
      </c>
      <c r="C1446" s="163">
        <v>999900</v>
      </c>
      <c r="D1446" s="164" t="s">
        <v>2343</v>
      </c>
      <c r="E1446" s="165">
        <v>33500</v>
      </c>
      <c r="F1446" s="165">
        <v>33500</v>
      </c>
      <c r="G1446" s="165">
        <v>0</v>
      </c>
      <c r="H1446" s="165">
        <v>0</v>
      </c>
      <c r="I1446" s="163"/>
      <c r="J1446" s="166">
        <v>0</v>
      </c>
      <c r="K1446" s="167" t="s">
        <v>1464</v>
      </c>
      <c r="L1446" s="167">
        <v>741</v>
      </c>
      <c r="M1446" s="168">
        <v>46085</v>
      </c>
      <c r="N1446" s="169" t="s">
        <v>2362</v>
      </c>
      <c r="O1446" s="162" t="s">
        <v>212</v>
      </c>
    </row>
    <row r="1447" spans="1:15" x14ac:dyDescent="0.25">
      <c r="A1447" s="154">
        <v>1447</v>
      </c>
      <c r="B1447" s="162" t="s">
        <v>2359</v>
      </c>
      <c r="C1447" s="163">
        <v>999900</v>
      </c>
      <c r="D1447" s="164" t="s">
        <v>2343</v>
      </c>
      <c r="E1447" s="165">
        <v>3507</v>
      </c>
      <c r="F1447" s="165">
        <v>3507</v>
      </c>
      <c r="G1447" s="165">
        <v>0</v>
      </c>
      <c r="H1447" s="165">
        <v>0</v>
      </c>
      <c r="I1447" s="163"/>
      <c r="J1447" s="166">
        <v>0</v>
      </c>
      <c r="K1447" s="167" t="s">
        <v>1464</v>
      </c>
      <c r="L1447" s="167">
        <v>741</v>
      </c>
      <c r="M1447" s="168">
        <v>46085</v>
      </c>
      <c r="N1447" s="169" t="s">
        <v>2363</v>
      </c>
      <c r="O1447" s="162" t="s">
        <v>212</v>
      </c>
    </row>
    <row r="1448" spans="1:15" x14ac:dyDescent="0.25">
      <c r="A1448" s="154">
        <v>1448</v>
      </c>
      <c r="B1448" s="162" t="s">
        <v>2359</v>
      </c>
      <c r="C1448" s="163">
        <v>999900</v>
      </c>
      <c r="D1448" s="164" t="s">
        <v>2343</v>
      </c>
      <c r="E1448" s="165">
        <v>11885</v>
      </c>
      <c r="F1448" s="165">
        <v>11885</v>
      </c>
      <c r="G1448" s="165">
        <v>0</v>
      </c>
      <c r="H1448" s="165">
        <v>0</v>
      </c>
      <c r="I1448" s="163"/>
      <c r="J1448" s="166">
        <v>0</v>
      </c>
      <c r="K1448" s="167" t="s">
        <v>1464</v>
      </c>
      <c r="L1448" s="167">
        <v>741</v>
      </c>
      <c r="M1448" s="168">
        <v>46085</v>
      </c>
      <c r="N1448" s="169" t="s">
        <v>2364</v>
      </c>
      <c r="O1448" s="162" t="s">
        <v>212</v>
      </c>
    </row>
    <row r="1449" spans="1:15" x14ac:dyDescent="0.25">
      <c r="A1449" s="154">
        <v>1449</v>
      </c>
      <c r="B1449" s="162" t="s">
        <v>2359</v>
      </c>
      <c r="C1449" s="163">
        <v>999900</v>
      </c>
      <c r="D1449" s="164" t="s">
        <v>2343</v>
      </c>
      <c r="E1449" s="165">
        <v>3739</v>
      </c>
      <c r="F1449" s="165">
        <v>3739</v>
      </c>
      <c r="G1449" s="165">
        <v>0</v>
      </c>
      <c r="H1449" s="165">
        <v>0</v>
      </c>
      <c r="I1449" s="163"/>
      <c r="J1449" s="166">
        <v>0</v>
      </c>
      <c r="K1449" s="167" t="s">
        <v>1464</v>
      </c>
      <c r="L1449" s="167">
        <v>741</v>
      </c>
      <c r="M1449" s="168">
        <v>46085</v>
      </c>
      <c r="N1449" s="169" t="s">
        <v>2365</v>
      </c>
      <c r="O1449" s="162" t="s">
        <v>212</v>
      </c>
    </row>
    <row r="1450" spans="1:15" x14ac:dyDescent="0.25">
      <c r="A1450" s="154">
        <v>1450</v>
      </c>
      <c r="B1450" s="162" t="s">
        <v>2359</v>
      </c>
      <c r="C1450" s="163">
        <v>999900</v>
      </c>
      <c r="D1450" s="164" t="s">
        <v>2343</v>
      </c>
      <c r="E1450" s="165">
        <v>14022</v>
      </c>
      <c r="F1450" s="165">
        <v>14022</v>
      </c>
      <c r="G1450" s="165">
        <v>0</v>
      </c>
      <c r="H1450" s="165">
        <v>0</v>
      </c>
      <c r="I1450" s="163"/>
      <c r="J1450" s="166">
        <v>0</v>
      </c>
      <c r="K1450" s="167" t="s">
        <v>1464</v>
      </c>
      <c r="L1450" s="167">
        <v>741</v>
      </c>
      <c r="M1450" s="168">
        <v>46085</v>
      </c>
      <c r="N1450" s="169" t="s">
        <v>2366</v>
      </c>
      <c r="O1450" s="162" t="s">
        <v>185</v>
      </c>
    </row>
    <row r="1451" spans="1:15" x14ac:dyDescent="0.25">
      <c r="A1451" s="154">
        <v>1451</v>
      </c>
      <c r="B1451" s="162" t="s">
        <v>2359</v>
      </c>
      <c r="C1451" s="163">
        <v>999900</v>
      </c>
      <c r="D1451" s="164" t="s">
        <v>2343</v>
      </c>
      <c r="E1451" s="165">
        <v>39100</v>
      </c>
      <c r="F1451" s="165">
        <v>39100</v>
      </c>
      <c r="G1451" s="165">
        <v>0</v>
      </c>
      <c r="H1451" s="165">
        <v>0</v>
      </c>
      <c r="I1451" s="163"/>
      <c r="J1451" s="166">
        <v>0</v>
      </c>
      <c r="K1451" s="167" t="s">
        <v>1464</v>
      </c>
      <c r="L1451" s="167">
        <v>741</v>
      </c>
      <c r="M1451" s="168">
        <v>46085</v>
      </c>
      <c r="N1451" s="169" t="s">
        <v>2367</v>
      </c>
      <c r="O1451" s="162" t="s">
        <v>208</v>
      </c>
    </row>
    <row r="1452" spans="1:15" x14ac:dyDescent="0.25">
      <c r="A1452" s="154">
        <v>1452</v>
      </c>
      <c r="B1452" s="162" t="s">
        <v>2368</v>
      </c>
      <c r="C1452" s="163">
        <v>3797651</v>
      </c>
      <c r="D1452" s="164" t="s">
        <v>2343</v>
      </c>
      <c r="E1452" s="165">
        <v>708656</v>
      </c>
      <c r="F1452" s="165">
        <v>708656</v>
      </c>
      <c r="G1452" s="165">
        <v>0</v>
      </c>
      <c r="H1452" s="165">
        <v>0</v>
      </c>
      <c r="I1452" s="163"/>
      <c r="J1452" s="166">
        <v>0</v>
      </c>
      <c r="K1452" s="167" t="s">
        <v>1464</v>
      </c>
      <c r="L1452" s="167">
        <v>741</v>
      </c>
      <c r="M1452" s="168">
        <v>46085</v>
      </c>
      <c r="N1452" s="169" t="s">
        <v>2369</v>
      </c>
      <c r="O1452" s="162" t="s">
        <v>185</v>
      </c>
    </row>
    <row r="1453" spans="1:15" x14ac:dyDescent="0.25">
      <c r="A1453" s="154">
        <v>1453</v>
      </c>
      <c r="B1453" s="162" t="s">
        <v>2370</v>
      </c>
      <c r="C1453" s="163">
        <v>3797651</v>
      </c>
      <c r="D1453" s="164" t="s">
        <v>2343</v>
      </c>
      <c r="E1453" s="165">
        <v>708656</v>
      </c>
      <c r="F1453" s="165">
        <v>708656</v>
      </c>
      <c r="G1453" s="165">
        <v>0</v>
      </c>
      <c r="H1453" s="165">
        <v>0</v>
      </c>
      <c r="I1453" s="163"/>
      <c r="J1453" s="166">
        <v>0</v>
      </c>
      <c r="K1453" s="167" t="s">
        <v>1464</v>
      </c>
      <c r="L1453" s="167">
        <v>741</v>
      </c>
      <c r="M1453" s="168">
        <v>46085</v>
      </c>
      <c r="N1453" s="169" t="s">
        <v>2371</v>
      </c>
      <c r="O1453" s="162" t="s">
        <v>185</v>
      </c>
    </row>
    <row r="1454" spans="1:15" x14ac:dyDescent="0.25">
      <c r="A1454" s="154">
        <v>1454</v>
      </c>
      <c r="B1454" s="162" t="s">
        <v>2372</v>
      </c>
      <c r="C1454" s="163">
        <v>1236235</v>
      </c>
      <c r="D1454" s="164" t="s">
        <v>2343</v>
      </c>
      <c r="E1454" s="165">
        <v>16680</v>
      </c>
      <c r="F1454" s="165">
        <v>16680</v>
      </c>
      <c r="G1454" s="165">
        <v>0</v>
      </c>
      <c r="H1454" s="165">
        <v>0</v>
      </c>
      <c r="I1454" s="163"/>
      <c r="J1454" s="166">
        <v>0</v>
      </c>
      <c r="K1454" s="167" t="s">
        <v>1464</v>
      </c>
      <c r="L1454" s="167">
        <v>741</v>
      </c>
      <c r="M1454" s="168">
        <v>46085</v>
      </c>
      <c r="N1454" s="169" t="s">
        <v>2373</v>
      </c>
      <c r="O1454" s="162" t="s">
        <v>1135</v>
      </c>
    </row>
    <row r="1455" spans="1:15" x14ac:dyDescent="0.25">
      <c r="A1455" s="154">
        <v>1455</v>
      </c>
      <c r="B1455" s="162" t="s">
        <v>2374</v>
      </c>
      <c r="C1455" s="163">
        <v>7246356</v>
      </c>
      <c r="D1455" s="164" t="s">
        <v>2343</v>
      </c>
      <c r="E1455" s="165">
        <v>88274</v>
      </c>
      <c r="F1455" s="165">
        <v>88274</v>
      </c>
      <c r="G1455" s="165">
        <v>0</v>
      </c>
      <c r="H1455" s="165">
        <v>0</v>
      </c>
      <c r="I1455" s="163"/>
      <c r="J1455" s="166">
        <v>0</v>
      </c>
      <c r="K1455" s="167" t="s">
        <v>1464</v>
      </c>
      <c r="L1455" s="167">
        <v>741</v>
      </c>
      <c r="M1455" s="168">
        <v>46085</v>
      </c>
      <c r="N1455" s="169" t="s">
        <v>2375</v>
      </c>
      <c r="O1455" s="162" t="s">
        <v>237</v>
      </c>
    </row>
    <row r="1456" spans="1:15" x14ac:dyDescent="0.25">
      <c r="A1456" s="154">
        <v>1456</v>
      </c>
      <c r="B1456" s="162" t="s">
        <v>2374</v>
      </c>
      <c r="C1456" s="163">
        <v>7246356</v>
      </c>
      <c r="D1456" s="164" t="s">
        <v>2343</v>
      </c>
      <c r="E1456" s="165">
        <v>68120</v>
      </c>
      <c r="F1456" s="165">
        <v>0</v>
      </c>
      <c r="G1456" s="165">
        <v>68120</v>
      </c>
      <c r="H1456" s="165">
        <v>0</v>
      </c>
      <c r="I1456" s="163"/>
      <c r="J1456" s="166">
        <v>0</v>
      </c>
      <c r="K1456" s="167" t="s">
        <v>1464</v>
      </c>
      <c r="L1456" s="167">
        <v>741</v>
      </c>
      <c r="M1456" s="168">
        <v>46085</v>
      </c>
      <c r="N1456" s="169" t="s">
        <v>2344</v>
      </c>
      <c r="O1456" s="162" t="s">
        <v>237</v>
      </c>
    </row>
    <row r="1457" spans="1:15" x14ac:dyDescent="0.25">
      <c r="A1457" s="154">
        <v>1457</v>
      </c>
      <c r="B1457" s="162" t="s">
        <v>2374</v>
      </c>
      <c r="C1457" s="163">
        <v>7246356</v>
      </c>
      <c r="D1457" s="164" t="s">
        <v>2343</v>
      </c>
      <c r="E1457" s="165">
        <v>68120</v>
      </c>
      <c r="F1457" s="165">
        <v>0</v>
      </c>
      <c r="G1457" s="165">
        <v>68120</v>
      </c>
      <c r="H1457" s="165">
        <v>0</v>
      </c>
      <c r="I1457" s="163"/>
      <c r="J1457" s="166">
        <v>0</v>
      </c>
      <c r="K1457" s="167" t="s">
        <v>1464</v>
      </c>
      <c r="L1457" s="167">
        <v>741</v>
      </c>
      <c r="M1457" s="168">
        <v>46085</v>
      </c>
      <c r="N1457" s="169" t="s">
        <v>2344</v>
      </c>
      <c r="O1457" s="162" t="s">
        <v>237</v>
      </c>
    </row>
    <row r="1458" spans="1:15" x14ac:dyDescent="0.25">
      <c r="A1458" s="154">
        <v>1458</v>
      </c>
      <c r="B1458" s="162" t="s">
        <v>2374</v>
      </c>
      <c r="C1458" s="163">
        <v>7246356</v>
      </c>
      <c r="D1458" s="164" t="s">
        <v>2343</v>
      </c>
      <c r="E1458" s="165">
        <v>162036</v>
      </c>
      <c r="F1458" s="165">
        <v>0</v>
      </c>
      <c r="G1458" s="165">
        <v>162036</v>
      </c>
      <c r="H1458" s="165">
        <v>0</v>
      </c>
      <c r="I1458" s="163"/>
      <c r="J1458" s="166">
        <v>0</v>
      </c>
      <c r="K1458" s="167" t="s">
        <v>1464</v>
      </c>
      <c r="L1458" s="167">
        <v>741</v>
      </c>
      <c r="M1458" s="168">
        <v>46085</v>
      </c>
      <c r="N1458" s="169" t="s">
        <v>2344</v>
      </c>
      <c r="O1458" s="162" t="s">
        <v>406</v>
      </c>
    </row>
    <row r="1459" spans="1:15" x14ac:dyDescent="0.25">
      <c r="A1459" s="154">
        <v>1459</v>
      </c>
      <c r="B1459" s="162" t="s">
        <v>2374</v>
      </c>
      <c r="C1459" s="163">
        <v>7246356</v>
      </c>
      <c r="D1459" s="164" t="s">
        <v>2343</v>
      </c>
      <c r="E1459" s="165">
        <v>797160</v>
      </c>
      <c r="F1459" s="165">
        <v>0</v>
      </c>
      <c r="G1459" s="165">
        <v>797160</v>
      </c>
      <c r="H1459" s="165">
        <v>0</v>
      </c>
      <c r="I1459" s="163"/>
      <c r="J1459" s="166">
        <v>0</v>
      </c>
      <c r="K1459" s="167" t="s">
        <v>1464</v>
      </c>
      <c r="L1459" s="167">
        <v>741</v>
      </c>
      <c r="M1459" s="168">
        <v>46085</v>
      </c>
      <c r="N1459" s="169" t="s">
        <v>2344</v>
      </c>
      <c r="O1459" s="162" t="s">
        <v>194</v>
      </c>
    </row>
    <row r="1460" spans="1:15" x14ac:dyDescent="0.25">
      <c r="A1460" s="154">
        <v>1460</v>
      </c>
      <c r="B1460" s="162" t="s">
        <v>2374</v>
      </c>
      <c r="C1460" s="163">
        <v>7246356</v>
      </c>
      <c r="D1460" s="164" t="s">
        <v>2343</v>
      </c>
      <c r="E1460" s="165">
        <v>652983</v>
      </c>
      <c r="F1460" s="165">
        <v>360936</v>
      </c>
      <c r="G1460" s="165">
        <v>292047</v>
      </c>
      <c r="H1460" s="165">
        <v>0</v>
      </c>
      <c r="I1460" s="163"/>
      <c r="J1460" s="166">
        <v>0</v>
      </c>
      <c r="K1460" s="167" t="s">
        <v>1464</v>
      </c>
      <c r="L1460" s="167">
        <v>741</v>
      </c>
      <c r="M1460" s="168">
        <v>46085</v>
      </c>
      <c r="N1460" s="169" t="s">
        <v>2376</v>
      </c>
      <c r="O1460" s="162" t="s">
        <v>275</v>
      </c>
    </row>
    <row r="1461" spans="1:15" x14ac:dyDescent="0.25">
      <c r="A1461" s="154">
        <v>1461</v>
      </c>
      <c r="B1461" s="162" t="s">
        <v>2377</v>
      </c>
      <c r="C1461" s="163">
        <v>41906876</v>
      </c>
      <c r="D1461" s="164" t="s">
        <v>2343</v>
      </c>
      <c r="E1461" s="165">
        <v>1489800</v>
      </c>
      <c r="F1461" s="165">
        <v>0</v>
      </c>
      <c r="G1461" s="165">
        <v>1489800</v>
      </c>
      <c r="H1461" s="165">
        <v>0</v>
      </c>
      <c r="I1461" s="163"/>
      <c r="J1461" s="166">
        <v>0</v>
      </c>
      <c r="K1461" s="167" t="s">
        <v>1464</v>
      </c>
      <c r="L1461" s="167">
        <v>741</v>
      </c>
      <c r="M1461" s="168">
        <v>46085</v>
      </c>
      <c r="N1461" s="169" t="s">
        <v>2344</v>
      </c>
      <c r="O1461" s="162" t="s">
        <v>230</v>
      </c>
    </row>
    <row r="1462" spans="1:15" x14ac:dyDescent="0.25">
      <c r="A1462" s="154">
        <v>1462</v>
      </c>
      <c r="B1462" s="162" t="s">
        <v>2377</v>
      </c>
      <c r="C1462" s="163">
        <v>41906876</v>
      </c>
      <c r="D1462" s="164" t="s">
        <v>2343</v>
      </c>
      <c r="E1462" s="165">
        <v>493700</v>
      </c>
      <c r="F1462" s="165">
        <v>0</v>
      </c>
      <c r="G1462" s="165">
        <v>493700</v>
      </c>
      <c r="H1462" s="165">
        <v>0</v>
      </c>
      <c r="I1462" s="163"/>
      <c r="J1462" s="166">
        <v>0</v>
      </c>
      <c r="K1462" s="167" t="s">
        <v>1464</v>
      </c>
      <c r="L1462" s="167">
        <v>741</v>
      </c>
      <c r="M1462" s="168">
        <v>46085</v>
      </c>
      <c r="N1462" s="169" t="s">
        <v>2344</v>
      </c>
      <c r="O1462" s="162" t="s">
        <v>230</v>
      </c>
    </row>
    <row r="1463" spans="1:15" x14ac:dyDescent="0.25">
      <c r="A1463" s="154">
        <v>1463</v>
      </c>
      <c r="B1463" s="162" t="s">
        <v>2377</v>
      </c>
      <c r="C1463" s="163">
        <v>41906876</v>
      </c>
      <c r="D1463" s="164" t="s">
        <v>2343</v>
      </c>
      <c r="E1463" s="165">
        <v>1356800</v>
      </c>
      <c r="F1463" s="165">
        <v>0</v>
      </c>
      <c r="G1463" s="165">
        <v>1356800</v>
      </c>
      <c r="H1463" s="165">
        <v>0</v>
      </c>
      <c r="I1463" s="163"/>
      <c r="J1463" s="166">
        <v>0</v>
      </c>
      <c r="K1463" s="167" t="s">
        <v>1464</v>
      </c>
      <c r="L1463" s="167">
        <v>741</v>
      </c>
      <c r="M1463" s="168">
        <v>46085</v>
      </c>
      <c r="N1463" s="169" t="s">
        <v>2344</v>
      </c>
      <c r="O1463" s="162" t="s">
        <v>230</v>
      </c>
    </row>
    <row r="1464" spans="1:15" x14ac:dyDescent="0.25">
      <c r="A1464" s="154">
        <v>1464</v>
      </c>
      <c r="B1464" s="162" t="s">
        <v>2377</v>
      </c>
      <c r="C1464" s="163">
        <v>41906876</v>
      </c>
      <c r="D1464" s="164" t="s">
        <v>2343</v>
      </c>
      <c r="E1464" s="165">
        <v>754300</v>
      </c>
      <c r="F1464" s="165">
        <v>0</v>
      </c>
      <c r="G1464" s="165">
        <v>754300</v>
      </c>
      <c r="H1464" s="165">
        <v>0</v>
      </c>
      <c r="I1464" s="163"/>
      <c r="J1464" s="166">
        <v>0</v>
      </c>
      <c r="K1464" s="167" t="s">
        <v>1464</v>
      </c>
      <c r="L1464" s="167">
        <v>741</v>
      </c>
      <c r="M1464" s="168">
        <v>46085</v>
      </c>
      <c r="N1464" s="169" t="s">
        <v>2344</v>
      </c>
      <c r="O1464" s="162" t="s">
        <v>230</v>
      </c>
    </row>
    <row r="1465" spans="1:15" x14ac:dyDescent="0.25">
      <c r="A1465" s="154">
        <v>1465</v>
      </c>
      <c r="B1465" s="162" t="s">
        <v>2377</v>
      </c>
      <c r="C1465" s="163">
        <v>41906876</v>
      </c>
      <c r="D1465" s="164" t="s">
        <v>2343</v>
      </c>
      <c r="E1465" s="165">
        <v>754300</v>
      </c>
      <c r="F1465" s="165">
        <v>0</v>
      </c>
      <c r="G1465" s="165">
        <v>754300</v>
      </c>
      <c r="H1465" s="165">
        <v>0</v>
      </c>
      <c r="I1465" s="163"/>
      <c r="J1465" s="166">
        <v>0</v>
      </c>
      <c r="K1465" s="167" t="s">
        <v>1464</v>
      </c>
      <c r="L1465" s="167">
        <v>741</v>
      </c>
      <c r="M1465" s="168">
        <v>46085</v>
      </c>
      <c r="N1465" s="169" t="s">
        <v>2344</v>
      </c>
      <c r="O1465" s="162" t="s">
        <v>230</v>
      </c>
    </row>
    <row r="1466" spans="1:15" x14ac:dyDescent="0.25">
      <c r="A1466" s="154">
        <v>1466</v>
      </c>
      <c r="B1466" s="162" t="s">
        <v>2377</v>
      </c>
      <c r="C1466" s="163">
        <v>41906876</v>
      </c>
      <c r="D1466" s="164" t="s">
        <v>2343</v>
      </c>
      <c r="E1466" s="165">
        <v>1441300</v>
      </c>
      <c r="F1466" s="165">
        <v>0</v>
      </c>
      <c r="G1466" s="165">
        <v>1441300</v>
      </c>
      <c r="H1466" s="165">
        <v>0</v>
      </c>
      <c r="I1466" s="163"/>
      <c r="J1466" s="166">
        <v>0</v>
      </c>
      <c r="K1466" s="167" t="s">
        <v>1464</v>
      </c>
      <c r="L1466" s="167">
        <v>741</v>
      </c>
      <c r="M1466" s="168">
        <v>46085</v>
      </c>
      <c r="N1466" s="169" t="s">
        <v>2344</v>
      </c>
      <c r="O1466" s="162" t="s">
        <v>230</v>
      </c>
    </row>
    <row r="1467" spans="1:15" x14ac:dyDescent="0.25">
      <c r="A1467" s="154">
        <v>1467</v>
      </c>
      <c r="B1467" s="162" t="s">
        <v>2377</v>
      </c>
      <c r="C1467" s="163">
        <v>41906876</v>
      </c>
      <c r="D1467" s="164" t="s">
        <v>2343</v>
      </c>
      <c r="E1467" s="165">
        <v>1676200</v>
      </c>
      <c r="F1467" s="165">
        <v>0</v>
      </c>
      <c r="G1467" s="165">
        <v>1676200</v>
      </c>
      <c r="H1467" s="165">
        <v>0</v>
      </c>
      <c r="I1467" s="163"/>
      <c r="J1467" s="166">
        <v>0</v>
      </c>
      <c r="K1467" s="167" t="s">
        <v>1464</v>
      </c>
      <c r="L1467" s="167">
        <v>741</v>
      </c>
      <c r="M1467" s="168">
        <v>46085</v>
      </c>
      <c r="N1467" s="169" t="s">
        <v>2344</v>
      </c>
      <c r="O1467" s="162" t="s">
        <v>230</v>
      </c>
    </row>
    <row r="1468" spans="1:15" x14ac:dyDescent="0.25">
      <c r="A1468" s="154">
        <v>1468</v>
      </c>
      <c r="B1468" s="162" t="s">
        <v>2377</v>
      </c>
      <c r="C1468" s="163">
        <v>41906876</v>
      </c>
      <c r="D1468" s="164" t="s">
        <v>2343</v>
      </c>
      <c r="E1468" s="165">
        <v>4304900</v>
      </c>
      <c r="F1468" s="165">
        <v>0</v>
      </c>
      <c r="G1468" s="165">
        <v>4304900</v>
      </c>
      <c r="H1468" s="165">
        <v>0</v>
      </c>
      <c r="I1468" s="163"/>
      <c r="J1468" s="166">
        <v>0</v>
      </c>
      <c r="K1468" s="167" t="s">
        <v>1464</v>
      </c>
      <c r="L1468" s="167">
        <v>741</v>
      </c>
      <c r="M1468" s="168">
        <v>46085</v>
      </c>
      <c r="N1468" s="169" t="s">
        <v>2344</v>
      </c>
      <c r="O1468" s="162" t="s">
        <v>230</v>
      </c>
    </row>
    <row r="1469" spans="1:15" x14ac:dyDescent="0.25">
      <c r="A1469" s="154">
        <v>1469</v>
      </c>
      <c r="B1469" s="162" t="s">
        <v>2377</v>
      </c>
      <c r="C1469" s="163">
        <v>41906876</v>
      </c>
      <c r="D1469" s="164" t="s">
        <v>2343</v>
      </c>
      <c r="E1469" s="165">
        <v>2876270</v>
      </c>
      <c r="F1469" s="165">
        <v>0</v>
      </c>
      <c r="G1469" s="165">
        <v>2876270</v>
      </c>
      <c r="H1469" s="165">
        <v>0</v>
      </c>
      <c r="I1469" s="163"/>
      <c r="J1469" s="166">
        <v>0</v>
      </c>
      <c r="K1469" s="167" t="s">
        <v>1464</v>
      </c>
      <c r="L1469" s="167">
        <v>741</v>
      </c>
      <c r="M1469" s="168">
        <v>46085</v>
      </c>
      <c r="N1469" s="169" t="s">
        <v>2344</v>
      </c>
      <c r="O1469" s="162" t="s">
        <v>314</v>
      </c>
    </row>
    <row r="1470" spans="1:15" x14ac:dyDescent="0.25">
      <c r="A1470" s="154">
        <v>1470</v>
      </c>
      <c r="B1470" s="162" t="s">
        <v>2377</v>
      </c>
      <c r="C1470" s="163">
        <v>41906876</v>
      </c>
      <c r="D1470" s="164" t="s">
        <v>2343</v>
      </c>
      <c r="E1470" s="165">
        <v>3585036</v>
      </c>
      <c r="F1470" s="165">
        <v>0</v>
      </c>
      <c r="G1470" s="165">
        <v>3585036</v>
      </c>
      <c r="H1470" s="165">
        <v>0</v>
      </c>
      <c r="I1470" s="163"/>
      <c r="J1470" s="166">
        <v>0</v>
      </c>
      <c r="K1470" s="167" t="s">
        <v>1464</v>
      </c>
      <c r="L1470" s="167">
        <v>741</v>
      </c>
      <c r="M1470" s="168">
        <v>46085</v>
      </c>
      <c r="N1470" s="169" t="s">
        <v>2344</v>
      </c>
      <c r="O1470" s="162" t="s">
        <v>314</v>
      </c>
    </row>
    <row r="1471" spans="1:15" x14ac:dyDescent="0.25">
      <c r="A1471" s="154">
        <v>1471</v>
      </c>
      <c r="B1471" s="162" t="s">
        <v>2377</v>
      </c>
      <c r="C1471" s="163">
        <v>41906876</v>
      </c>
      <c r="D1471" s="164" t="s">
        <v>2343</v>
      </c>
      <c r="E1471" s="165">
        <v>5724748</v>
      </c>
      <c r="F1471" s="165">
        <v>0</v>
      </c>
      <c r="G1471" s="165">
        <v>5724748</v>
      </c>
      <c r="H1471" s="165">
        <v>0</v>
      </c>
      <c r="I1471" s="163"/>
      <c r="J1471" s="166">
        <v>0</v>
      </c>
      <c r="K1471" s="167" t="s">
        <v>1464</v>
      </c>
      <c r="L1471" s="167">
        <v>741</v>
      </c>
      <c r="M1471" s="168">
        <v>46085</v>
      </c>
      <c r="N1471" s="169" t="s">
        <v>2344</v>
      </c>
      <c r="O1471" s="162" t="s">
        <v>314</v>
      </c>
    </row>
    <row r="1472" spans="1:15" x14ac:dyDescent="0.25">
      <c r="A1472" s="154">
        <v>1472</v>
      </c>
      <c r="B1472" s="162" t="s">
        <v>2377</v>
      </c>
      <c r="C1472" s="163">
        <v>41906876</v>
      </c>
      <c r="D1472" s="164" t="s">
        <v>2343</v>
      </c>
      <c r="E1472" s="165">
        <v>1358494</v>
      </c>
      <c r="F1472" s="165">
        <v>679247</v>
      </c>
      <c r="G1472" s="165">
        <v>679247</v>
      </c>
      <c r="H1472" s="165">
        <v>0</v>
      </c>
      <c r="I1472" s="163"/>
      <c r="J1472" s="166">
        <v>0</v>
      </c>
      <c r="K1472" s="167" t="s">
        <v>1464</v>
      </c>
      <c r="L1472" s="167">
        <v>741</v>
      </c>
      <c r="M1472" s="168">
        <v>46085</v>
      </c>
      <c r="N1472" s="169" t="s">
        <v>2378</v>
      </c>
      <c r="O1472" s="162" t="s">
        <v>194</v>
      </c>
    </row>
    <row r="1473" spans="1:15" x14ac:dyDescent="0.25">
      <c r="A1473" s="154">
        <v>1473</v>
      </c>
      <c r="B1473" s="162" t="s">
        <v>2377</v>
      </c>
      <c r="C1473" s="163">
        <v>41906876</v>
      </c>
      <c r="D1473" s="164" t="s">
        <v>2343</v>
      </c>
      <c r="E1473" s="165">
        <v>1077827</v>
      </c>
      <c r="F1473" s="165">
        <v>0</v>
      </c>
      <c r="G1473" s="165">
        <v>1077827</v>
      </c>
      <c r="H1473" s="165">
        <v>0</v>
      </c>
      <c r="I1473" s="163"/>
      <c r="J1473" s="166">
        <v>0</v>
      </c>
      <c r="K1473" s="167" t="s">
        <v>1464</v>
      </c>
      <c r="L1473" s="167">
        <v>741</v>
      </c>
      <c r="M1473" s="168">
        <v>46085</v>
      </c>
      <c r="N1473" s="169" t="s">
        <v>2344</v>
      </c>
      <c r="O1473" s="162" t="s">
        <v>194</v>
      </c>
    </row>
    <row r="1474" spans="1:15" x14ac:dyDescent="0.25">
      <c r="A1474" s="154">
        <v>1474</v>
      </c>
      <c r="B1474" s="162" t="s">
        <v>2379</v>
      </c>
      <c r="C1474" s="163">
        <v>12158779</v>
      </c>
      <c r="D1474" s="164" t="s">
        <v>2343</v>
      </c>
      <c r="E1474" s="165">
        <v>31037</v>
      </c>
      <c r="F1474" s="165">
        <v>31037</v>
      </c>
      <c r="G1474" s="165">
        <v>0</v>
      </c>
      <c r="H1474" s="165">
        <v>0</v>
      </c>
      <c r="I1474" s="163"/>
      <c r="J1474" s="166">
        <v>0</v>
      </c>
      <c r="K1474" s="167" t="s">
        <v>1464</v>
      </c>
      <c r="L1474" s="167">
        <v>741</v>
      </c>
      <c r="M1474" s="168">
        <v>46085</v>
      </c>
      <c r="N1474" s="169" t="s">
        <v>2380</v>
      </c>
      <c r="O1474" s="162" t="s">
        <v>314</v>
      </c>
    </row>
    <row r="1475" spans="1:15" x14ac:dyDescent="0.25">
      <c r="A1475" s="154">
        <v>1475</v>
      </c>
      <c r="B1475" s="162" t="s">
        <v>2379</v>
      </c>
      <c r="C1475" s="163">
        <v>12158779</v>
      </c>
      <c r="D1475" s="164" t="s">
        <v>2343</v>
      </c>
      <c r="E1475" s="165">
        <v>678400</v>
      </c>
      <c r="F1475" s="165">
        <v>0</v>
      </c>
      <c r="G1475" s="165">
        <v>678400</v>
      </c>
      <c r="H1475" s="165">
        <v>0</v>
      </c>
      <c r="I1475" s="163"/>
      <c r="J1475" s="166">
        <v>0</v>
      </c>
      <c r="K1475" s="167" t="s">
        <v>1464</v>
      </c>
      <c r="L1475" s="167">
        <v>741</v>
      </c>
      <c r="M1475" s="168">
        <v>46085</v>
      </c>
      <c r="N1475" s="169" t="s">
        <v>2344</v>
      </c>
      <c r="O1475" s="162" t="s">
        <v>227</v>
      </c>
    </row>
    <row r="1476" spans="1:15" x14ac:dyDescent="0.25">
      <c r="A1476" s="154">
        <v>1476</v>
      </c>
      <c r="B1476" s="162" t="s">
        <v>2379</v>
      </c>
      <c r="C1476" s="163">
        <v>12158779</v>
      </c>
      <c r="D1476" s="164" t="s">
        <v>2343</v>
      </c>
      <c r="E1476" s="165">
        <v>741200</v>
      </c>
      <c r="F1476" s="165">
        <v>0</v>
      </c>
      <c r="G1476" s="165">
        <v>741200</v>
      </c>
      <c r="H1476" s="165">
        <v>0</v>
      </c>
      <c r="I1476" s="163"/>
      <c r="J1476" s="166">
        <v>0</v>
      </c>
      <c r="K1476" s="167" t="s">
        <v>1464</v>
      </c>
      <c r="L1476" s="167">
        <v>741</v>
      </c>
      <c r="M1476" s="168">
        <v>46085</v>
      </c>
      <c r="N1476" s="169" t="s">
        <v>2344</v>
      </c>
      <c r="O1476" s="162" t="s">
        <v>227</v>
      </c>
    </row>
    <row r="1477" spans="1:15" x14ac:dyDescent="0.25">
      <c r="A1477" s="154">
        <v>1477</v>
      </c>
      <c r="B1477" s="162" t="s">
        <v>2381</v>
      </c>
      <c r="C1477" s="163">
        <v>12381791</v>
      </c>
      <c r="D1477" s="164" t="s">
        <v>2343</v>
      </c>
      <c r="E1477" s="165">
        <v>678400</v>
      </c>
      <c r="F1477" s="165">
        <v>0</v>
      </c>
      <c r="G1477" s="165">
        <v>678400</v>
      </c>
      <c r="H1477" s="165">
        <v>0</v>
      </c>
      <c r="I1477" s="163"/>
      <c r="J1477" s="166">
        <v>0</v>
      </c>
      <c r="K1477" s="167" t="s">
        <v>1464</v>
      </c>
      <c r="L1477" s="167">
        <v>741</v>
      </c>
      <c r="M1477" s="168">
        <v>46085</v>
      </c>
      <c r="N1477" s="169" t="s">
        <v>2344</v>
      </c>
      <c r="O1477" s="162" t="s">
        <v>227</v>
      </c>
    </row>
    <row r="1478" spans="1:15" x14ac:dyDescent="0.25">
      <c r="A1478" s="154">
        <v>1478</v>
      </c>
      <c r="B1478" s="162" t="s">
        <v>2381</v>
      </c>
      <c r="C1478" s="163">
        <v>12381791</v>
      </c>
      <c r="D1478" s="164" t="s">
        <v>2343</v>
      </c>
      <c r="E1478" s="165">
        <v>741200</v>
      </c>
      <c r="F1478" s="165">
        <v>0</v>
      </c>
      <c r="G1478" s="165">
        <v>741200</v>
      </c>
      <c r="H1478" s="165">
        <v>0</v>
      </c>
      <c r="I1478" s="163"/>
      <c r="J1478" s="166">
        <v>0</v>
      </c>
      <c r="K1478" s="167" t="s">
        <v>1464</v>
      </c>
      <c r="L1478" s="167">
        <v>741</v>
      </c>
      <c r="M1478" s="168">
        <v>46085</v>
      </c>
      <c r="N1478" s="169" t="s">
        <v>2344</v>
      </c>
      <c r="O1478" s="162" t="s">
        <v>227</v>
      </c>
    </row>
    <row r="1479" spans="1:15" x14ac:dyDescent="0.25">
      <c r="A1479" s="154">
        <v>1479</v>
      </c>
      <c r="B1479" s="162" t="s">
        <v>2381</v>
      </c>
      <c r="C1479" s="163">
        <v>12381791</v>
      </c>
      <c r="D1479" s="164" t="s">
        <v>2343</v>
      </c>
      <c r="E1479" s="165">
        <v>678400</v>
      </c>
      <c r="F1479" s="165">
        <v>0</v>
      </c>
      <c r="G1479" s="165">
        <v>678400</v>
      </c>
      <c r="H1479" s="165">
        <v>0</v>
      </c>
      <c r="I1479" s="163"/>
      <c r="J1479" s="166">
        <v>0</v>
      </c>
      <c r="K1479" s="167" t="s">
        <v>1464</v>
      </c>
      <c r="L1479" s="167">
        <v>741</v>
      </c>
      <c r="M1479" s="168">
        <v>46085</v>
      </c>
      <c r="N1479" s="169" t="s">
        <v>2344</v>
      </c>
      <c r="O1479" s="162" t="s">
        <v>227</v>
      </c>
    </row>
    <row r="1480" spans="1:15" x14ac:dyDescent="0.25">
      <c r="A1480" s="154">
        <v>1480</v>
      </c>
      <c r="B1480" s="162" t="s">
        <v>2381</v>
      </c>
      <c r="C1480" s="163">
        <v>12381791</v>
      </c>
      <c r="D1480" s="164" t="s">
        <v>2343</v>
      </c>
      <c r="E1480" s="165">
        <v>9000</v>
      </c>
      <c r="F1480" s="165">
        <v>9000</v>
      </c>
      <c r="G1480" s="165">
        <v>0</v>
      </c>
      <c r="H1480" s="165">
        <v>0</v>
      </c>
      <c r="I1480" s="163"/>
      <c r="J1480" s="166">
        <v>0</v>
      </c>
      <c r="K1480" s="167" t="s">
        <v>1464</v>
      </c>
      <c r="L1480" s="167">
        <v>741</v>
      </c>
      <c r="M1480" s="168">
        <v>46085</v>
      </c>
      <c r="N1480" s="169" t="s">
        <v>2382</v>
      </c>
      <c r="O1480" s="162" t="s">
        <v>309</v>
      </c>
    </row>
    <row r="1481" spans="1:15" x14ac:dyDescent="0.25">
      <c r="A1481" s="154">
        <v>1481</v>
      </c>
      <c r="B1481" s="162" t="s">
        <v>2381</v>
      </c>
      <c r="C1481" s="163">
        <v>12381791</v>
      </c>
      <c r="D1481" s="164" t="s">
        <v>2343</v>
      </c>
      <c r="E1481" s="165">
        <v>31037</v>
      </c>
      <c r="F1481" s="165">
        <v>0</v>
      </c>
      <c r="G1481" s="165">
        <v>31037</v>
      </c>
      <c r="H1481" s="165">
        <v>0</v>
      </c>
      <c r="I1481" s="163"/>
      <c r="J1481" s="166">
        <v>0</v>
      </c>
      <c r="K1481" s="167" t="s">
        <v>1464</v>
      </c>
      <c r="L1481" s="167">
        <v>741</v>
      </c>
      <c r="M1481" s="168">
        <v>46085</v>
      </c>
      <c r="N1481" s="169" t="s">
        <v>2344</v>
      </c>
      <c r="O1481" s="162" t="s">
        <v>406</v>
      </c>
    </row>
    <row r="1482" spans="1:15" x14ac:dyDescent="0.25">
      <c r="A1482" s="154">
        <v>1482</v>
      </c>
      <c r="B1482" s="162" t="s">
        <v>2381</v>
      </c>
      <c r="C1482" s="163">
        <v>12381791</v>
      </c>
      <c r="D1482" s="164" t="s">
        <v>2343</v>
      </c>
      <c r="E1482" s="165">
        <v>31037</v>
      </c>
      <c r="F1482" s="165">
        <v>0</v>
      </c>
      <c r="G1482" s="165">
        <v>31037</v>
      </c>
      <c r="H1482" s="165">
        <v>0</v>
      </c>
      <c r="I1482" s="163"/>
      <c r="J1482" s="166">
        <v>0</v>
      </c>
      <c r="K1482" s="167" t="s">
        <v>1464</v>
      </c>
      <c r="L1482" s="167">
        <v>741</v>
      </c>
      <c r="M1482" s="168">
        <v>46085</v>
      </c>
      <c r="N1482" s="169" t="s">
        <v>2344</v>
      </c>
      <c r="O1482" s="162" t="s">
        <v>406</v>
      </c>
    </row>
    <row r="1483" spans="1:15" x14ac:dyDescent="0.25">
      <c r="A1483" s="154">
        <v>1483</v>
      </c>
      <c r="B1483" s="162" t="s">
        <v>2383</v>
      </c>
      <c r="C1483" s="163">
        <v>9318279</v>
      </c>
      <c r="D1483" s="164" t="s">
        <v>2343</v>
      </c>
      <c r="E1483" s="165">
        <v>336171</v>
      </c>
      <c r="F1483" s="165">
        <v>336171</v>
      </c>
      <c r="G1483" s="165">
        <v>0</v>
      </c>
      <c r="H1483" s="165">
        <v>0</v>
      </c>
      <c r="I1483" s="163"/>
      <c r="J1483" s="166">
        <v>0</v>
      </c>
      <c r="K1483" s="167" t="s">
        <v>1464</v>
      </c>
      <c r="L1483" s="167">
        <v>741</v>
      </c>
      <c r="M1483" s="168">
        <v>46085</v>
      </c>
      <c r="N1483" s="169" t="s">
        <v>2384</v>
      </c>
      <c r="O1483" s="162" t="s">
        <v>314</v>
      </c>
    </row>
    <row r="1484" spans="1:15" x14ac:dyDescent="0.25">
      <c r="A1484" s="154">
        <v>1484</v>
      </c>
      <c r="B1484" s="162" t="s">
        <v>2385</v>
      </c>
      <c r="C1484" s="163">
        <v>5815032</v>
      </c>
      <c r="D1484" s="164" t="s">
        <v>2343</v>
      </c>
      <c r="E1484" s="165">
        <v>145510</v>
      </c>
      <c r="F1484" s="165">
        <v>0</v>
      </c>
      <c r="G1484" s="165">
        <v>145510</v>
      </c>
      <c r="H1484" s="165">
        <v>0</v>
      </c>
      <c r="I1484" s="163"/>
      <c r="J1484" s="166">
        <v>0</v>
      </c>
      <c r="K1484" s="167" t="s">
        <v>1464</v>
      </c>
      <c r="L1484" s="167">
        <v>741</v>
      </c>
      <c r="M1484" s="168">
        <v>46085</v>
      </c>
      <c r="N1484" s="169" t="s">
        <v>2344</v>
      </c>
      <c r="O1484" s="162" t="s">
        <v>241</v>
      </c>
    </row>
    <row r="1485" spans="1:15" x14ac:dyDescent="0.25">
      <c r="A1485" s="154">
        <v>1485</v>
      </c>
      <c r="B1485" s="162" t="s">
        <v>2386</v>
      </c>
      <c r="C1485" s="163">
        <v>1473045</v>
      </c>
      <c r="D1485" s="164" t="s">
        <v>2343</v>
      </c>
      <c r="E1485" s="165">
        <v>861434</v>
      </c>
      <c r="F1485" s="165">
        <v>0</v>
      </c>
      <c r="G1485" s="165">
        <v>861434</v>
      </c>
      <c r="H1485" s="165">
        <v>0</v>
      </c>
      <c r="I1485" s="163"/>
      <c r="J1485" s="166">
        <v>0</v>
      </c>
      <c r="K1485" s="167" t="s">
        <v>1464</v>
      </c>
      <c r="L1485" s="167">
        <v>741</v>
      </c>
      <c r="M1485" s="168">
        <v>46085</v>
      </c>
      <c r="N1485" s="169" t="s">
        <v>2344</v>
      </c>
      <c r="O1485" s="162" t="s">
        <v>2387</v>
      </c>
    </row>
    <row r="1486" spans="1:15" x14ac:dyDescent="0.25">
      <c r="A1486" s="154">
        <v>1486</v>
      </c>
      <c r="B1486" s="162" t="s">
        <v>2386</v>
      </c>
      <c r="C1486" s="163">
        <v>1473045</v>
      </c>
      <c r="D1486" s="164" t="s">
        <v>2343</v>
      </c>
      <c r="E1486" s="165">
        <v>184610</v>
      </c>
      <c r="F1486" s="165">
        <v>0</v>
      </c>
      <c r="G1486" s="165">
        <v>184610</v>
      </c>
      <c r="H1486" s="165">
        <v>0</v>
      </c>
      <c r="I1486" s="163"/>
      <c r="J1486" s="166">
        <v>0</v>
      </c>
      <c r="K1486" s="167" t="s">
        <v>1464</v>
      </c>
      <c r="L1486" s="167">
        <v>741</v>
      </c>
      <c r="M1486" s="168">
        <v>46085</v>
      </c>
      <c r="N1486" s="169" t="s">
        <v>2344</v>
      </c>
      <c r="O1486" s="162" t="s">
        <v>237</v>
      </c>
    </row>
    <row r="1487" spans="1:15" x14ac:dyDescent="0.25">
      <c r="A1487" s="154">
        <v>1487</v>
      </c>
      <c r="B1487" s="162" t="s">
        <v>2388</v>
      </c>
      <c r="C1487" s="163">
        <v>12610915</v>
      </c>
      <c r="D1487" s="164" t="s">
        <v>2343</v>
      </c>
      <c r="E1487" s="165">
        <v>145510</v>
      </c>
      <c r="F1487" s="165">
        <v>0</v>
      </c>
      <c r="G1487" s="165">
        <v>145510</v>
      </c>
      <c r="H1487" s="165">
        <v>0</v>
      </c>
      <c r="I1487" s="163"/>
      <c r="J1487" s="166">
        <v>0</v>
      </c>
      <c r="K1487" s="167" t="s">
        <v>1464</v>
      </c>
      <c r="L1487" s="167">
        <v>741</v>
      </c>
      <c r="M1487" s="168">
        <v>46085</v>
      </c>
      <c r="N1487" s="169" t="s">
        <v>2344</v>
      </c>
      <c r="O1487" s="162" t="s">
        <v>241</v>
      </c>
    </row>
    <row r="1488" spans="1:15" x14ac:dyDescent="0.25">
      <c r="A1488" s="154">
        <v>1488</v>
      </c>
      <c r="B1488" s="162" t="s">
        <v>2389</v>
      </c>
      <c r="C1488" s="163">
        <v>6776634</v>
      </c>
      <c r="D1488" s="164" t="s">
        <v>2343</v>
      </c>
      <c r="E1488" s="165">
        <v>4700</v>
      </c>
      <c r="F1488" s="165">
        <v>4700</v>
      </c>
      <c r="G1488" s="165">
        <v>0</v>
      </c>
      <c r="H1488" s="165">
        <v>0</v>
      </c>
      <c r="I1488" s="163"/>
      <c r="J1488" s="166">
        <v>0</v>
      </c>
      <c r="K1488" s="167" t="s">
        <v>1464</v>
      </c>
      <c r="L1488" s="167">
        <v>741</v>
      </c>
      <c r="M1488" s="168">
        <v>46085</v>
      </c>
      <c r="N1488" s="169" t="s">
        <v>2390</v>
      </c>
      <c r="O1488" s="162" t="s">
        <v>328</v>
      </c>
    </row>
    <row r="1489" spans="1:15" x14ac:dyDescent="0.25">
      <c r="A1489" s="154">
        <v>1489</v>
      </c>
      <c r="B1489" s="162" t="s">
        <v>2389</v>
      </c>
      <c r="C1489" s="163">
        <v>6776634</v>
      </c>
      <c r="D1489" s="164" t="s">
        <v>2343</v>
      </c>
      <c r="E1489" s="165">
        <v>1774786</v>
      </c>
      <c r="F1489" s="165">
        <v>0</v>
      </c>
      <c r="G1489" s="165">
        <v>1774786</v>
      </c>
      <c r="H1489" s="165">
        <v>0</v>
      </c>
      <c r="I1489" s="163"/>
      <c r="J1489" s="166">
        <v>0</v>
      </c>
      <c r="K1489" s="167" t="s">
        <v>1464</v>
      </c>
      <c r="L1489" s="167">
        <v>741</v>
      </c>
      <c r="M1489" s="168">
        <v>46085</v>
      </c>
      <c r="N1489" s="169" t="s">
        <v>2344</v>
      </c>
      <c r="O1489" s="162" t="s">
        <v>328</v>
      </c>
    </row>
    <row r="1490" spans="1:15" x14ac:dyDescent="0.25">
      <c r="A1490" s="154">
        <v>1490</v>
      </c>
      <c r="B1490" s="162" t="s">
        <v>2389</v>
      </c>
      <c r="C1490" s="163">
        <v>6776634</v>
      </c>
      <c r="D1490" s="164" t="s">
        <v>2343</v>
      </c>
      <c r="E1490" s="165">
        <v>525943</v>
      </c>
      <c r="F1490" s="165">
        <v>0</v>
      </c>
      <c r="G1490" s="165">
        <v>525943</v>
      </c>
      <c r="H1490" s="165">
        <v>0</v>
      </c>
      <c r="I1490" s="163"/>
      <c r="J1490" s="166">
        <v>0</v>
      </c>
      <c r="K1490" s="167" t="s">
        <v>1464</v>
      </c>
      <c r="L1490" s="167">
        <v>741</v>
      </c>
      <c r="M1490" s="168">
        <v>46085</v>
      </c>
      <c r="N1490" s="169" t="s">
        <v>2344</v>
      </c>
      <c r="O1490" s="162" t="s">
        <v>328</v>
      </c>
    </row>
    <row r="1491" spans="1:15" x14ac:dyDescent="0.25">
      <c r="A1491" s="154">
        <v>1491</v>
      </c>
      <c r="B1491" s="162" t="s">
        <v>2389</v>
      </c>
      <c r="C1491" s="163">
        <v>6776634</v>
      </c>
      <c r="D1491" s="164" t="s">
        <v>2343</v>
      </c>
      <c r="E1491" s="165">
        <v>1629005</v>
      </c>
      <c r="F1491" s="165">
        <v>0</v>
      </c>
      <c r="G1491" s="165">
        <v>1629005</v>
      </c>
      <c r="H1491" s="165">
        <v>0</v>
      </c>
      <c r="I1491" s="163"/>
      <c r="J1491" s="166">
        <v>0</v>
      </c>
      <c r="K1491" s="167" t="s">
        <v>1464</v>
      </c>
      <c r="L1491" s="167">
        <v>741</v>
      </c>
      <c r="M1491" s="168">
        <v>46085</v>
      </c>
      <c r="N1491" s="169" t="s">
        <v>2344</v>
      </c>
      <c r="O1491" s="162" t="s">
        <v>328</v>
      </c>
    </row>
    <row r="1492" spans="1:15" x14ac:dyDescent="0.25">
      <c r="A1492" s="154">
        <v>1492</v>
      </c>
      <c r="B1492" s="162" t="s">
        <v>2389</v>
      </c>
      <c r="C1492" s="163">
        <v>6776634</v>
      </c>
      <c r="D1492" s="164" t="s">
        <v>2343</v>
      </c>
      <c r="E1492" s="165">
        <v>5800</v>
      </c>
      <c r="F1492" s="165">
        <v>5800</v>
      </c>
      <c r="G1492" s="165">
        <v>0</v>
      </c>
      <c r="H1492" s="165">
        <v>0</v>
      </c>
      <c r="I1492" s="163"/>
      <c r="J1492" s="166">
        <v>0</v>
      </c>
      <c r="K1492" s="167" t="s">
        <v>1464</v>
      </c>
      <c r="L1492" s="167">
        <v>741</v>
      </c>
      <c r="M1492" s="168">
        <v>46085</v>
      </c>
      <c r="N1492" s="169" t="s">
        <v>2391</v>
      </c>
      <c r="O1492" s="162" t="s">
        <v>230</v>
      </c>
    </row>
    <row r="1493" spans="1:15" x14ac:dyDescent="0.25">
      <c r="A1493" s="154">
        <v>1493</v>
      </c>
      <c r="B1493" s="162" t="s">
        <v>2392</v>
      </c>
      <c r="C1493" s="163">
        <v>13103611</v>
      </c>
      <c r="D1493" s="164" t="s">
        <v>1826</v>
      </c>
      <c r="E1493" s="165">
        <v>758700</v>
      </c>
      <c r="F1493" s="165">
        <v>758700</v>
      </c>
      <c r="G1493" s="165">
        <v>0</v>
      </c>
      <c r="H1493" s="165">
        <v>0</v>
      </c>
      <c r="I1493" s="163"/>
      <c r="J1493" s="166">
        <v>0</v>
      </c>
      <c r="K1493" s="167" t="s">
        <v>1464</v>
      </c>
      <c r="L1493" s="167">
        <v>742</v>
      </c>
      <c r="M1493" s="168">
        <v>46099</v>
      </c>
      <c r="N1493" s="169" t="s">
        <v>2393</v>
      </c>
      <c r="O1493" s="162" t="s">
        <v>241</v>
      </c>
    </row>
    <row r="1494" spans="1:15" x14ac:dyDescent="0.25">
      <c r="A1494" s="154">
        <v>1494</v>
      </c>
      <c r="B1494" s="162" t="s">
        <v>2392</v>
      </c>
      <c r="C1494" s="163">
        <v>13103611</v>
      </c>
      <c r="D1494" s="164" t="s">
        <v>1826</v>
      </c>
      <c r="E1494" s="165">
        <v>1057500</v>
      </c>
      <c r="F1494" s="165">
        <v>0</v>
      </c>
      <c r="G1494" s="165">
        <v>1057500</v>
      </c>
      <c r="H1494" s="165">
        <v>0</v>
      </c>
      <c r="I1494" s="163"/>
      <c r="J1494" s="166">
        <v>0</v>
      </c>
      <c r="K1494" s="167" t="s">
        <v>1464</v>
      </c>
      <c r="L1494" s="167">
        <v>742</v>
      </c>
      <c r="M1494" s="168">
        <v>46099</v>
      </c>
      <c r="N1494" s="169" t="s">
        <v>1829</v>
      </c>
      <c r="O1494" s="162" t="s">
        <v>241</v>
      </c>
    </row>
    <row r="1495" spans="1:15" x14ac:dyDescent="0.25">
      <c r="A1495" s="154">
        <v>1495</v>
      </c>
      <c r="B1495" s="162" t="s">
        <v>2392</v>
      </c>
      <c r="C1495" s="163">
        <v>13103611</v>
      </c>
      <c r="D1495" s="164" t="s">
        <v>1826</v>
      </c>
      <c r="E1495" s="165">
        <v>1057500</v>
      </c>
      <c r="F1495" s="165">
        <v>0</v>
      </c>
      <c r="G1495" s="165">
        <v>1057500</v>
      </c>
      <c r="H1495" s="165">
        <v>0</v>
      </c>
      <c r="I1495" s="163"/>
      <c r="J1495" s="166">
        <v>0</v>
      </c>
      <c r="K1495" s="167" t="s">
        <v>1464</v>
      </c>
      <c r="L1495" s="167">
        <v>742</v>
      </c>
      <c r="M1495" s="168">
        <v>46099</v>
      </c>
      <c r="N1495" s="169" t="s">
        <v>1829</v>
      </c>
      <c r="O1495" s="162" t="s">
        <v>241</v>
      </c>
    </row>
    <row r="1496" spans="1:15" x14ac:dyDescent="0.25">
      <c r="A1496" s="154">
        <v>1496</v>
      </c>
      <c r="B1496" s="162" t="s">
        <v>2394</v>
      </c>
      <c r="C1496" s="163">
        <v>670000</v>
      </c>
      <c r="D1496" s="164" t="s">
        <v>1826</v>
      </c>
      <c r="E1496" s="165">
        <v>33500</v>
      </c>
      <c r="F1496" s="165">
        <v>0</v>
      </c>
      <c r="G1496" s="165">
        <v>33500</v>
      </c>
      <c r="H1496" s="165">
        <v>0</v>
      </c>
      <c r="I1496" s="163"/>
      <c r="J1496" s="166">
        <v>0</v>
      </c>
      <c r="K1496" s="167" t="s">
        <v>1464</v>
      </c>
      <c r="L1496" s="167">
        <v>742</v>
      </c>
      <c r="M1496" s="168">
        <v>46099</v>
      </c>
      <c r="N1496" s="169" t="s">
        <v>1829</v>
      </c>
      <c r="O1496" s="162" t="s">
        <v>2395</v>
      </c>
    </row>
    <row r="1497" spans="1:15" x14ac:dyDescent="0.25">
      <c r="A1497" s="154">
        <v>1497</v>
      </c>
      <c r="B1497" s="162" t="s">
        <v>2394</v>
      </c>
      <c r="C1497" s="163">
        <v>670000</v>
      </c>
      <c r="D1497" s="164" t="s">
        <v>1826</v>
      </c>
      <c r="E1497" s="165">
        <v>33500</v>
      </c>
      <c r="F1497" s="165">
        <v>0</v>
      </c>
      <c r="G1497" s="165">
        <v>33500</v>
      </c>
      <c r="H1497" s="165">
        <v>0</v>
      </c>
      <c r="I1497" s="163"/>
      <c r="J1497" s="166">
        <v>0</v>
      </c>
      <c r="K1497" s="167" t="s">
        <v>1464</v>
      </c>
      <c r="L1497" s="167">
        <v>742</v>
      </c>
      <c r="M1497" s="168">
        <v>46099</v>
      </c>
      <c r="N1497" s="169" t="s">
        <v>1829</v>
      </c>
      <c r="O1497" s="162" t="s">
        <v>2395</v>
      </c>
    </row>
    <row r="1498" spans="1:15" x14ac:dyDescent="0.25">
      <c r="A1498" s="154">
        <v>1498</v>
      </c>
      <c r="B1498" s="162" t="s">
        <v>2394</v>
      </c>
      <c r="C1498" s="163">
        <v>670000</v>
      </c>
      <c r="D1498" s="164" t="s">
        <v>1826</v>
      </c>
      <c r="E1498" s="165">
        <v>33500</v>
      </c>
      <c r="F1498" s="165">
        <v>0</v>
      </c>
      <c r="G1498" s="165">
        <v>33500</v>
      </c>
      <c r="H1498" s="165">
        <v>0</v>
      </c>
      <c r="I1498" s="163"/>
      <c r="J1498" s="166">
        <v>0</v>
      </c>
      <c r="K1498" s="167" t="s">
        <v>1464</v>
      </c>
      <c r="L1498" s="167">
        <v>742</v>
      </c>
      <c r="M1498" s="168">
        <v>46099</v>
      </c>
      <c r="N1498" s="169" t="s">
        <v>1829</v>
      </c>
      <c r="O1498" s="162" t="s">
        <v>2395</v>
      </c>
    </row>
    <row r="1499" spans="1:15" x14ac:dyDescent="0.25">
      <c r="A1499" s="154">
        <v>1499</v>
      </c>
      <c r="B1499" s="162" t="s">
        <v>2394</v>
      </c>
      <c r="C1499" s="163">
        <v>670000</v>
      </c>
      <c r="D1499" s="164" t="s">
        <v>1826</v>
      </c>
      <c r="E1499" s="165">
        <v>33500</v>
      </c>
      <c r="F1499" s="165">
        <v>0</v>
      </c>
      <c r="G1499" s="165">
        <v>33500</v>
      </c>
      <c r="H1499" s="165">
        <v>0</v>
      </c>
      <c r="I1499" s="163"/>
      <c r="J1499" s="166">
        <v>0</v>
      </c>
      <c r="K1499" s="167" t="s">
        <v>1464</v>
      </c>
      <c r="L1499" s="167">
        <v>742</v>
      </c>
      <c r="M1499" s="168">
        <v>46099</v>
      </c>
      <c r="N1499" s="169" t="s">
        <v>1829</v>
      </c>
      <c r="O1499" s="162" t="s">
        <v>2395</v>
      </c>
    </row>
    <row r="1500" spans="1:15" x14ac:dyDescent="0.25">
      <c r="A1500" s="154">
        <v>1500</v>
      </c>
      <c r="B1500" s="162" t="s">
        <v>2394</v>
      </c>
      <c r="C1500" s="163">
        <v>670000</v>
      </c>
      <c r="D1500" s="164" t="s">
        <v>1826</v>
      </c>
      <c r="E1500" s="165">
        <v>33500</v>
      </c>
      <c r="F1500" s="165">
        <v>0</v>
      </c>
      <c r="G1500" s="165">
        <v>33500</v>
      </c>
      <c r="H1500" s="165">
        <v>0</v>
      </c>
      <c r="I1500" s="163"/>
      <c r="J1500" s="166">
        <v>0</v>
      </c>
      <c r="K1500" s="167" t="s">
        <v>1464</v>
      </c>
      <c r="L1500" s="167">
        <v>742</v>
      </c>
      <c r="M1500" s="168">
        <v>46099</v>
      </c>
      <c r="N1500" s="169" t="s">
        <v>1829</v>
      </c>
      <c r="O1500" s="162" t="s">
        <v>2395</v>
      </c>
    </row>
    <row r="1501" spans="1:15" x14ac:dyDescent="0.25">
      <c r="A1501" s="154">
        <v>1501</v>
      </c>
      <c r="B1501" s="162" t="s">
        <v>2394</v>
      </c>
      <c r="C1501" s="163">
        <v>670000</v>
      </c>
      <c r="D1501" s="164" t="s">
        <v>1826</v>
      </c>
      <c r="E1501" s="165">
        <v>33500</v>
      </c>
      <c r="F1501" s="165">
        <v>0</v>
      </c>
      <c r="G1501" s="165">
        <v>33500</v>
      </c>
      <c r="H1501" s="165">
        <v>0</v>
      </c>
      <c r="I1501" s="163"/>
      <c r="J1501" s="166">
        <v>0</v>
      </c>
      <c r="K1501" s="167" t="s">
        <v>1464</v>
      </c>
      <c r="L1501" s="167">
        <v>742</v>
      </c>
      <c r="M1501" s="168">
        <v>46099</v>
      </c>
      <c r="N1501" s="169" t="s">
        <v>1829</v>
      </c>
      <c r="O1501" s="162" t="s">
        <v>2395</v>
      </c>
    </row>
    <row r="1502" spans="1:15" x14ac:dyDescent="0.25">
      <c r="A1502" s="154">
        <v>1502</v>
      </c>
      <c r="B1502" s="162" t="s">
        <v>2394</v>
      </c>
      <c r="C1502" s="163">
        <v>670000</v>
      </c>
      <c r="D1502" s="164" t="s">
        <v>1826</v>
      </c>
      <c r="E1502" s="165">
        <v>33500</v>
      </c>
      <c r="F1502" s="165">
        <v>0</v>
      </c>
      <c r="G1502" s="165">
        <v>33500</v>
      </c>
      <c r="H1502" s="165">
        <v>0</v>
      </c>
      <c r="I1502" s="163"/>
      <c r="J1502" s="166">
        <v>0</v>
      </c>
      <c r="K1502" s="167" t="s">
        <v>1464</v>
      </c>
      <c r="L1502" s="167">
        <v>742</v>
      </c>
      <c r="M1502" s="168">
        <v>46099</v>
      </c>
      <c r="N1502" s="169" t="s">
        <v>1829</v>
      </c>
      <c r="O1502" s="162" t="s">
        <v>2395</v>
      </c>
    </row>
    <row r="1503" spans="1:15" x14ac:dyDescent="0.25">
      <c r="A1503" s="154">
        <v>1503</v>
      </c>
      <c r="B1503" s="162" t="s">
        <v>2394</v>
      </c>
      <c r="C1503" s="163">
        <v>670000</v>
      </c>
      <c r="D1503" s="164" t="s">
        <v>1826</v>
      </c>
      <c r="E1503" s="165">
        <v>33500</v>
      </c>
      <c r="F1503" s="165">
        <v>0</v>
      </c>
      <c r="G1503" s="165">
        <v>33500</v>
      </c>
      <c r="H1503" s="165">
        <v>0</v>
      </c>
      <c r="I1503" s="163"/>
      <c r="J1503" s="166">
        <v>0</v>
      </c>
      <c r="K1503" s="167" t="s">
        <v>1464</v>
      </c>
      <c r="L1503" s="167">
        <v>742</v>
      </c>
      <c r="M1503" s="168">
        <v>46099</v>
      </c>
      <c r="N1503" s="169" t="s">
        <v>1829</v>
      </c>
      <c r="O1503" s="162" t="s">
        <v>2395</v>
      </c>
    </row>
    <row r="1504" spans="1:15" x14ac:dyDescent="0.25">
      <c r="A1504" s="154">
        <v>1504</v>
      </c>
      <c r="B1504" s="162" t="s">
        <v>2394</v>
      </c>
      <c r="C1504" s="163">
        <v>670000</v>
      </c>
      <c r="D1504" s="164" t="s">
        <v>1826</v>
      </c>
      <c r="E1504" s="165">
        <v>33500</v>
      </c>
      <c r="F1504" s="165">
        <v>0</v>
      </c>
      <c r="G1504" s="165">
        <v>33500</v>
      </c>
      <c r="H1504" s="165">
        <v>0</v>
      </c>
      <c r="I1504" s="163"/>
      <c r="J1504" s="166">
        <v>0</v>
      </c>
      <c r="K1504" s="167" t="s">
        <v>1464</v>
      </c>
      <c r="L1504" s="167">
        <v>742</v>
      </c>
      <c r="M1504" s="168">
        <v>46099</v>
      </c>
      <c r="N1504" s="169" t="s">
        <v>1829</v>
      </c>
      <c r="O1504" s="162" t="s">
        <v>2395</v>
      </c>
    </row>
    <row r="1505" spans="1:15" x14ac:dyDescent="0.25">
      <c r="A1505" s="154">
        <v>1505</v>
      </c>
      <c r="B1505" s="162" t="s">
        <v>2394</v>
      </c>
      <c r="C1505" s="163">
        <v>670000</v>
      </c>
      <c r="D1505" s="164" t="s">
        <v>1826</v>
      </c>
      <c r="E1505" s="165">
        <v>33500</v>
      </c>
      <c r="F1505" s="165">
        <v>0</v>
      </c>
      <c r="G1505" s="165">
        <v>33500</v>
      </c>
      <c r="H1505" s="165">
        <v>0</v>
      </c>
      <c r="I1505" s="163"/>
      <c r="J1505" s="166">
        <v>0</v>
      </c>
      <c r="K1505" s="167" t="s">
        <v>1464</v>
      </c>
      <c r="L1505" s="167">
        <v>742</v>
      </c>
      <c r="M1505" s="168">
        <v>46099</v>
      </c>
      <c r="N1505" s="169" t="s">
        <v>1829</v>
      </c>
      <c r="O1505" s="162" t="s">
        <v>2395</v>
      </c>
    </row>
    <row r="1506" spans="1:15" x14ac:dyDescent="0.25">
      <c r="A1506" s="154">
        <v>1506</v>
      </c>
      <c r="B1506" s="162" t="s">
        <v>2394</v>
      </c>
      <c r="C1506" s="163">
        <v>670000</v>
      </c>
      <c r="D1506" s="164" t="s">
        <v>1826</v>
      </c>
      <c r="E1506" s="165">
        <v>33500</v>
      </c>
      <c r="F1506" s="165">
        <v>0</v>
      </c>
      <c r="G1506" s="165">
        <v>33500</v>
      </c>
      <c r="H1506" s="165">
        <v>0</v>
      </c>
      <c r="I1506" s="163"/>
      <c r="J1506" s="166">
        <v>0</v>
      </c>
      <c r="K1506" s="167" t="s">
        <v>1464</v>
      </c>
      <c r="L1506" s="167">
        <v>742</v>
      </c>
      <c r="M1506" s="168">
        <v>46099</v>
      </c>
      <c r="N1506" s="169" t="s">
        <v>1829</v>
      </c>
      <c r="O1506" s="162" t="s">
        <v>2395</v>
      </c>
    </row>
    <row r="1507" spans="1:15" x14ac:dyDescent="0.25">
      <c r="A1507" s="154">
        <v>1507</v>
      </c>
      <c r="B1507" s="162" t="s">
        <v>2394</v>
      </c>
      <c r="C1507" s="163">
        <v>670000</v>
      </c>
      <c r="D1507" s="164" t="s">
        <v>1826</v>
      </c>
      <c r="E1507" s="165">
        <v>33500</v>
      </c>
      <c r="F1507" s="165">
        <v>0</v>
      </c>
      <c r="G1507" s="165">
        <v>33500</v>
      </c>
      <c r="H1507" s="165">
        <v>0</v>
      </c>
      <c r="I1507" s="163"/>
      <c r="J1507" s="166">
        <v>0</v>
      </c>
      <c r="K1507" s="167" t="s">
        <v>1464</v>
      </c>
      <c r="L1507" s="167">
        <v>742</v>
      </c>
      <c r="M1507" s="168">
        <v>46099</v>
      </c>
      <c r="N1507" s="169" t="s">
        <v>1829</v>
      </c>
      <c r="O1507" s="162" t="s">
        <v>2395</v>
      </c>
    </row>
    <row r="1508" spans="1:15" x14ac:dyDescent="0.25">
      <c r="A1508" s="154">
        <v>1508</v>
      </c>
      <c r="B1508" s="162" t="s">
        <v>2394</v>
      </c>
      <c r="C1508" s="163">
        <v>670000</v>
      </c>
      <c r="D1508" s="164" t="s">
        <v>1826</v>
      </c>
      <c r="E1508" s="165">
        <v>33500</v>
      </c>
      <c r="F1508" s="165">
        <v>0</v>
      </c>
      <c r="G1508" s="165">
        <v>33500</v>
      </c>
      <c r="H1508" s="165">
        <v>0</v>
      </c>
      <c r="I1508" s="163"/>
      <c r="J1508" s="166">
        <v>0</v>
      </c>
      <c r="K1508" s="167" t="s">
        <v>1464</v>
      </c>
      <c r="L1508" s="167">
        <v>742</v>
      </c>
      <c r="M1508" s="168">
        <v>46099</v>
      </c>
      <c r="N1508" s="169" t="s">
        <v>1829</v>
      </c>
      <c r="O1508" s="162" t="s">
        <v>2395</v>
      </c>
    </row>
    <row r="1509" spans="1:15" x14ac:dyDescent="0.25">
      <c r="A1509" s="154">
        <v>1509</v>
      </c>
      <c r="B1509" s="162" t="s">
        <v>2394</v>
      </c>
      <c r="C1509" s="163">
        <v>670000</v>
      </c>
      <c r="D1509" s="164" t="s">
        <v>1826</v>
      </c>
      <c r="E1509" s="165">
        <v>33500</v>
      </c>
      <c r="F1509" s="165">
        <v>0</v>
      </c>
      <c r="G1509" s="165">
        <v>33500</v>
      </c>
      <c r="H1509" s="165">
        <v>0</v>
      </c>
      <c r="I1509" s="163"/>
      <c r="J1509" s="166">
        <v>0</v>
      </c>
      <c r="K1509" s="167" t="s">
        <v>1464</v>
      </c>
      <c r="L1509" s="167">
        <v>742</v>
      </c>
      <c r="M1509" s="168">
        <v>46099</v>
      </c>
      <c r="N1509" s="169" t="s">
        <v>1829</v>
      </c>
      <c r="O1509" s="162" t="s">
        <v>2395</v>
      </c>
    </row>
    <row r="1510" spans="1:15" x14ac:dyDescent="0.25">
      <c r="A1510" s="154">
        <v>1510</v>
      </c>
      <c r="B1510" s="162" t="s">
        <v>2394</v>
      </c>
      <c r="C1510" s="163">
        <v>670000</v>
      </c>
      <c r="D1510" s="164" t="s">
        <v>1826</v>
      </c>
      <c r="E1510" s="165">
        <v>33500</v>
      </c>
      <c r="F1510" s="165">
        <v>0</v>
      </c>
      <c r="G1510" s="165">
        <v>33500</v>
      </c>
      <c r="H1510" s="165">
        <v>0</v>
      </c>
      <c r="I1510" s="163"/>
      <c r="J1510" s="166">
        <v>0</v>
      </c>
      <c r="K1510" s="167" t="s">
        <v>1464</v>
      </c>
      <c r="L1510" s="167">
        <v>742</v>
      </c>
      <c r="M1510" s="168">
        <v>46099</v>
      </c>
      <c r="N1510" s="169" t="s">
        <v>1829</v>
      </c>
      <c r="O1510" s="162" t="s">
        <v>2395</v>
      </c>
    </row>
    <row r="1511" spans="1:15" x14ac:dyDescent="0.25">
      <c r="A1511" s="154">
        <v>1511</v>
      </c>
      <c r="B1511" s="162" t="s">
        <v>2396</v>
      </c>
      <c r="C1511" s="163">
        <v>2627600</v>
      </c>
      <c r="D1511" s="164" t="s">
        <v>1826</v>
      </c>
      <c r="E1511" s="165">
        <v>1057500</v>
      </c>
      <c r="F1511" s="165">
        <v>0</v>
      </c>
      <c r="G1511" s="165">
        <v>1057500</v>
      </c>
      <c r="H1511" s="165">
        <v>0</v>
      </c>
      <c r="I1511" s="163"/>
      <c r="J1511" s="166">
        <v>0</v>
      </c>
      <c r="K1511" s="167" t="s">
        <v>1464</v>
      </c>
      <c r="L1511" s="167">
        <v>742</v>
      </c>
      <c r="M1511" s="168">
        <v>46099</v>
      </c>
      <c r="N1511" s="169" t="s">
        <v>1829</v>
      </c>
      <c r="O1511" s="162" t="s">
        <v>241</v>
      </c>
    </row>
    <row r="1512" spans="1:15" x14ac:dyDescent="0.25">
      <c r="A1512" s="154">
        <v>1512</v>
      </c>
      <c r="B1512" s="162" t="s">
        <v>2397</v>
      </c>
      <c r="C1512" s="163">
        <v>33105994</v>
      </c>
      <c r="D1512" s="164" t="s">
        <v>1826</v>
      </c>
      <c r="E1512" s="165">
        <v>46200</v>
      </c>
      <c r="F1512" s="165">
        <v>0</v>
      </c>
      <c r="G1512" s="165">
        <v>46200</v>
      </c>
      <c r="H1512" s="165">
        <v>0</v>
      </c>
      <c r="I1512" s="163"/>
      <c r="J1512" s="166">
        <v>0</v>
      </c>
      <c r="K1512" s="167" t="s">
        <v>1464</v>
      </c>
      <c r="L1512" s="167">
        <v>742</v>
      </c>
      <c r="M1512" s="168">
        <v>46099</v>
      </c>
      <c r="N1512" s="169" t="s">
        <v>1829</v>
      </c>
      <c r="O1512" s="162" t="s">
        <v>388</v>
      </c>
    </row>
    <row r="1513" spans="1:15" x14ac:dyDescent="0.25">
      <c r="A1513" s="154">
        <v>1513</v>
      </c>
      <c r="B1513" s="162" t="s">
        <v>2397</v>
      </c>
      <c r="C1513" s="163">
        <v>33105994</v>
      </c>
      <c r="D1513" s="164" t="s">
        <v>1826</v>
      </c>
      <c r="E1513" s="165">
        <v>33800</v>
      </c>
      <c r="F1513" s="165">
        <v>2500</v>
      </c>
      <c r="G1513" s="165">
        <v>31300</v>
      </c>
      <c r="H1513" s="165">
        <v>0</v>
      </c>
      <c r="I1513" s="163"/>
      <c r="J1513" s="166">
        <v>0</v>
      </c>
      <c r="K1513" s="167" t="s">
        <v>1464</v>
      </c>
      <c r="L1513" s="167">
        <v>742</v>
      </c>
      <c r="M1513" s="168">
        <v>46099</v>
      </c>
      <c r="N1513" s="169" t="s">
        <v>2398</v>
      </c>
      <c r="O1513" s="162" t="s">
        <v>198</v>
      </c>
    </row>
    <row r="1514" spans="1:15" x14ac:dyDescent="0.25">
      <c r="A1514" s="154">
        <v>1514</v>
      </c>
      <c r="B1514" s="162" t="s">
        <v>2399</v>
      </c>
      <c r="C1514" s="163">
        <v>252500</v>
      </c>
      <c r="D1514" s="164" t="s">
        <v>1826</v>
      </c>
      <c r="E1514" s="165">
        <v>300</v>
      </c>
      <c r="F1514" s="165">
        <v>300</v>
      </c>
      <c r="G1514" s="165">
        <v>0</v>
      </c>
      <c r="H1514" s="165">
        <v>0</v>
      </c>
      <c r="I1514" s="163"/>
      <c r="J1514" s="166">
        <v>0</v>
      </c>
      <c r="K1514" s="167" t="s">
        <v>1464</v>
      </c>
      <c r="L1514" s="167">
        <v>742</v>
      </c>
      <c r="M1514" s="168">
        <v>46099</v>
      </c>
      <c r="N1514" s="169" t="s">
        <v>2400</v>
      </c>
      <c r="O1514" s="162" t="s">
        <v>185</v>
      </c>
    </row>
    <row r="1515" spans="1:15" x14ac:dyDescent="0.25">
      <c r="A1515" s="154">
        <v>1515</v>
      </c>
      <c r="B1515" s="162" t="s">
        <v>2399</v>
      </c>
      <c r="C1515" s="163">
        <v>252500</v>
      </c>
      <c r="D1515" s="164" t="s">
        <v>1826</v>
      </c>
      <c r="E1515" s="165">
        <v>300</v>
      </c>
      <c r="F1515" s="165">
        <v>300</v>
      </c>
      <c r="G1515" s="165">
        <v>0</v>
      </c>
      <c r="H1515" s="165">
        <v>0</v>
      </c>
      <c r="I1515" s="163"/>
      <c r="J1515" s="166">
        <v>0</v>
      </c>
      <c r="K1515" s="167" t="s">
        <v>1464</v>
      </c>
      <c r="L1515" s="167">
        <v>742</v>
      </c>
      <c r="M1515" s="168">
        <v>46099</v>
      </c>
      <c r="N1515" s="169" t="s">
        <v>2401</v>
      </c>
      <c r="O1515" s="162" t="s">
        <v>212</v>
      </c>
    </row>
    <row r="1516" spans="1:15" x14ac:dyDescent="0.25">
      <c r="A1516" s="154">
        <v>1516</v>
      </c>
      <c r="B1516" s="162" t="s">
        <v>2399</v>
      </c>
      <c r="C1516" s="163">
        <v>252500</v>
      </c>
      <c r="D1516" s="164" t="s">
        <v>1826</v>
      </c>
      <c r="E1516" s="165">
        <v>200</v>
      </c>
      <c r="F1516" s="165">
        <v>200</v>
      </c>
      <c r="G1516" s="165">
        <v>0</v>
      </c>
      <c r="H1516" s="165">
        <v>0</v>
      </c>
      <c r="I1516" s="163"/>
      <c r="J1516" s="166">
        <v>0</v>
      </c>
      <c r="K1516" s="167" t="s">
        <v>1464</v>
      </c>
      <c r="L1516" s="167">
        <v>742</v>
      </c>
      <c r="M1516" s="168">
        <v>46099</v>
      </c>
      <c r="N1516" s="169" t="s">
        <v>2402</v>
      </c>
      <c r="O1516" s="162" t="s">
        <v>212</v>
      </c>
    </row>
    <row r="1517" spans="1:15" x14ac:dyDescent="0.25">
      <c r="A1517" s="154">
        <v>1517</v>
      </c>
      <c r="B1517" s="162" t="s">
        <v>2403</v>
      </c>
      <c r="C1517" s="163">
        <v>173395</v>
      </c>
      <c r="D1517" s="164" t="s">
        <v>2404</v>
      </c>
      <c r="E1517" s="165">
        <v>3500</v>
      </c>
      <c r="F1517" s="165">
        <v>3500</v>
      </c>
      <c r="G1517" s="165">
        <v>0</v>
      </c>
      <c r="H1517" s="165">
        <v>0</v>
      </c>
      <c r="I1517" s="163"/>
      <c r="J1517" s="166">
        <v>0</v>
      </c>
      <c r="K1517" s="167" t="s">
        <v>1464</v>
      </c>
      <c r="L1517" s="167">
        <v>746</v>
      </c>
      <c r="M1517" s="168">
        <v>46098</v>
      </c>
      <c r="N1517" s="169" t="s">
        <v>2405</v>
      </c>
      <c r="O1517" s="162">
        <v>208</v>
      </c>
    </row>
    <row r="1518" spans="1:15" x14ac:dyDescent="0.25">
      <c r="A1518" s="154">
        <v>1518</v>
      </c>
      <c r="B1518" s="162" t="s">
        <v>2403</v>
      </c>
      <c r="C1518" s="163">
        <v>173395</v>
      </c>
      <c r="D1518" s="164" t="s">
        <v>2404</v>
      </c>
      <c r="E1518" s="165">
        <v>3900</v>
      </c>
      <c r="F1518" s="165">
        <v>3900</v>
      </c>
      <c r="G1518" s="165">
        <v>0</v>
      </c>
      <c r="H1518" s="165">
        <v>0</v>
      </c>
      <c r="I1518" s="163"/>
      <c r="J1518" s="166">
        <v>0</v>
      </c>
      <c r="K1518" s="167" t="s">
        <v>1464</v>
      </c>
      <c r="L1518" s="167">
        <v>746</v>
      </c>
      <c r="M1518" s="168">
        <v>46098</v>
      </c>
      <c r="N1518" s="169" t="s">
        <v>2406</v>
      </c>
      <c r="O1518" s="162">
        <v>202</v>
      </c>
    </row>
    <row r="1519" spans="1:15" x14ac:dyDescent="0.25">
      <c r="A1519" s="154">
        <v>1519</v>
      </c>
      <c r="B1519" s="162" t="s">
        <v>2407</v>
      </c>
      <c r="C1519" s="163">
        <v>598990</v>
      </c>
      <c r="D1519" s="164" t="s">
        <v>2404</v>
      </c>
      <c r="E1519" s="165">
        <v>6600</v>
      </c>
      <c r="F1519" s="165">
        <v>6600</v>
      </c>
      <c r="G1519" s="165">
        <v>0</v>
      </c>
      <c r="H1519" s="165">
        <v>0</v>
      </c>
      <c r="I1519" s="163"/>
      <c r="J1519" s="166">
        <v>0</v>
      </c>
      <c r="K1519" s="167" t="s">
        <v>1464</v>
      </c>
      <c r="L1519" s="167">
        <v>746</v>
      </c>
      <c r="M1519" s="168">
        <v>46098</v>
      </c>
      <c r="N1519" s="169" t="s">
        <v>2408</v>
      </c>
      <c r="O1519" s="162" t="s">
        <v>237</v>
      </c>
    </row>
    <row r="1520" spans="1:15" x14ac:dyDescent="0.25">
      <c r="A1520" s="154">
        <v>1520</v>
      </c>
      <c r="B1520" s="162" t="s">
        <v>2407</v>
      </c>
      <c r="C1520" s="163">
        <v>598990</v>
      </c>
      <c r="D1520" s="164" t="s">
        <v>2404</v>
      </c>
      <c r="E1520" s="165">
        <v>7200</v>
      </c>
      <c r="F1520" s="165">
        <v>7200</v>
      </c>
      <c r="G1520" s="165">
        <v>0</v>
      </c>
      <c r="H1520" s="165">
        <v>0</v>
      </c>
      <c r="I1520" s="163"/>
      <c r="J1520" s="166">
        <v>0</v>
      </c>
      <c r="K1520" s="167" t="s">
        <v>1464</v>
      </c>
      <c r="L1520" s="167">
        <v>746</v>
      </c>
      <c r="M1520" s="168">
        <v>46098</v>
      </c>
      <c r="N1520" s="169" t="s">
        <v>2409</v>
      </c>
      <c r="O1520" s="162" t="s">
        <v>2387</v>
      </c>
    </row>
    <row r="1521" spans="1:15" x14ac:dyDescent="0.25">
      <c r="A1521" s="154">
        <v>1521</v>
      </c>
      <c r="B1521" s="162" t="s">
        <v>2407</v>
      </c>
      <c r="C1521" s="163">
        <v>598990</v>
      </c>
      <c r="D1521" s="164" t="s">
        <v>2404</v>
      </c>
      <c r="E1521" s="165">
        <v>170700</v>
      </c>
      <c r="F1521" s="165">
        <v>0</v>
      </c>
      <c r="G1521" s="165">
        <v>0</v>
      </c>
      <c r="H1521" s="165">
        <v>170700</v>
      </c>
      <c r="I1521" s="163"/>
      <c r="J1521" s="166">
        <v>0</v>
      </c>
      <c r="K1521" s="167" t="s">
        <v>1464</v>
      </c>
      <c r="L1521" s="167">
        <v>746</v>
      </c>
      <c r="M1521" s="168">
        <v>46098</v>
      </c>
      <c r="N1521" s="169" t="s">
        <v>2410</v>
      </c>
      <c r="O1521" s="162" t="s">
        <v>194</v>
      </c>
    </row>
    <row r="1522" spans="1:15" x14ac:dyDescent="0.25">
      <c r="A1522" s="154">
        <v>1522</v>
      </c>
      <c r="B1522" s="162" t="s">
        <v>2407</v>
      </c>
      <c r="C1522" s="163">
        <v>598990</v>
      </c>
      <c r="D1522" s="164" t="s">
        <v>2404</v>
      </c>
      <c r="E1522" s="165">
        <v>7500</v>
      </c>
      <c r="F1522" s="165">
        <v>7500</v>
      </c>
      <c r="G1522" s="165">
        <v>0</v>
      </c>
      <c r="H1522" s="165">
        <v>0</v>
      </c>
      <c r="I1522" s="163"/>
      <c r="J1522" s="166">
        <v>0</v>
      </c>
      <c r="K1522" s="167" t="s">
        <v>1464</v>
      </c>
      <c r="L1522" s="167">
        <v>746</v>
      </c>
      <c r="M1522" s="168">
        <v>46098</v>
      </c>
      <c r="N1522" s="169" t="s">
        <v>2411</v>
      </c>
      <c r="O1522" s="162" t="s">
        <v>252</v>
      </c>
    </row>
    <row r="1523" spans="1:15" x14ac:dyDescent="0.25">
      <c r="A1523" s="154">
        <v>1523</v>
      </c>
      <c r="B1523" s="162" t="s">
        <v>2407</v>
      </c>
      <c r="C1523" s="163">
        <v>598990</v>
      </c>
      <c r="D1523" s="164" t="s">
        <v>2404</v>
      </c>
      <c r="E1523" s="165">
        <v>9300</v>
      </c>
      <c r="F1523" s="165">
        <v>9300</v>
      </c>
      <c r="G1523" s="165">
        <v>0</v>
      </c>
      <c r="H1523" s="165">
        <v>0</v>
      </c>
      <c r="I1523" s="163"/>
      <c r="J1523" s="166">
        <v>0</v>
      </c>
      <c r="K1523" s="167" t="s">
        <v>1464</v>
      </c>
      <c r="L1523" s="167">
        <v>746</v>
      </c>
      <c r="M1523" s="168">
        <v>46098</v>
      </c>
      <c r="N1523" s="169" t="s">
        <v>2412</v>
      </c>
      <c r="O1523" s="162" t="s">
        <v>2413</v>
      </c>
    </row>
    <row r="1524" spans="1:15" x14ac:dyDescent="0.25">
      <c r="A1524" s="154">
        <v>1524</v>
      </c>
      <c r="B1524" s="162" t="s">
        <v>2414</v>
      </c>
      <c r="C1524" s="163">
        <v>180600</v>
      </c>
      <c r="D1524" s="164" t="s">
        <v>2404</v>
      </c>
      <c r="E1524" s="165">
        <v>71000</v>
      </c>
      <c r="F1524" s="165">
        <v>3200</v>
      </c>
      <c r="G1524" s="165">
        <v>67800</v>
      </c>
      <c r="H1524" s="165">
        <v>0</v>
      </c>
      <c r="I1524" s="163"/>
      <c r="J1524" s="166">
        <v>0</v>
      </c>
      <c r="K1524" s="167" t="s">
        <v>1464</v>
      </c>
      <c r="L1524" s="167">
        <v>746</v>
      </c>
      <c r="M1524" s="168">
        <v>46098</v>
      </c>
      <c r="N1524" s="169" t="s">
        <v>2415</v>
      </c>
      <c r="O1524" s="162" t="s">
        <v>2004</v>
      </c>
    </row>
    <row r="1525" spans="1:15" x14ac:dyDescent="0.25">
      <c r="A1525" s="154">
        <v>1525</v>
      </c>
      <c r="B1525" s="162" t="s">
        <v>2414</v>
      </c>
      <c r="C1525" s="163">
        <v>180600</v>
      </c>
      <c r="D1525" s="164" t="s">
        <v>2404</v>
      </c>
      <c r="E1525" s="165">
        <v>24300</v>
      </c>
      <c r="F1525" s="165">
        <v>1200</v>
      </c>
      <c r="G1525" s="165">
        <v>23100</v>
      </c>
      <c r="H1525" s="165">
        <v>0</v>
      </c>
      <c r="I1525" s="163"/>
      <c r="J1525" s="166">
        <v>0</v>
      </c>
      <c r="K1525" s="167" t="s">
        <v>1464</v>
      </c>
      <c r="L1525" s="167">
        <v>746</v>
      </c>
      <c r="M1525" s="168">
        <v>46098</v>
      </c>
      <c r="N1525" s="169" t="s">
        <v>2416</v>
      </c>
      <c r="O1525" s="162" t="s">
        <v>2004</v>
      </c>
    </row>
    <row r="1526" spans="1:15" x14ac:dyDescent="0.25">
      <c r="A1526" s="154">
        <v>1526</v>
      </c>
      <c r="B1526" s="162" t="s">
        <v>2414</v>
      </c>
      <c r="C1526" s="163">
        <v>180600</v>
      </c>
      <c r="D1526" s="164" t="s">
        <v>2404</v>
      </c>
      <c r="E1526" s="165">
        <v>85300</v>
      </c>
      <c r="F1526" s="165">
        <v>3900</v>
      </c>
      <c r="G1526" s="165">
        <v>81400</v>
      </c>
      <c r="H1526" s="165">
        <v>0</v>
      </c>
      <c r="I1526" s="163"/>
      <c r="J1526" s="166">
        <v>0</v>
      </c>
      <c r="K1526" s="167" t="s">
        <v>1464</v>
      </c>
      <c r="L1526" s="167">
        <v>746</v>
      </c>
      <c r="M1526" s="168">
        <v>46098</v>
      </c>
      <c r="N1526" s="169" t="s">
        <v>2417</v>
      </c>
      <c r="O1526" s="162" t="s">
        <v>2004</v>
      </c>
    </row>
    <row r="1527" spans="1:15" x14ac:dyDescent="0.25">
      <c r="A1527" s="154">
        <v>1527</v>
      </c>
      <c r="B1527" s="162" t="s">
        <v>2418</v>
      </c>
      <c r="C1527" s="163">
        <v>888700</v>
      </c>
      <c r="D1527" s="164" t="s">
        <v>2404</v>
      </c>
      <c r="E1527" s="165">
        <v>65000</v>
      </c>
      <c r="F1527" s="165">
        <v>65000</v>
      </c>
      <c r="G1527" s="165">
        <v>0</v>
      </c>
      <c r="H1527" s="165">
        <v>0</v>
      </c>
      <c r="I1527" s="163"/>
      <c r="J1527" s="166">
        <v>0</v>
      </c>
      <c r="K1527" s="167" t="s">
        <v>1464</v>
      </c>
      <c r="L1527" s="167">
        <v>746</v>
      </c>
      <c r="M1527" s="168">
        <v>46098</v>
      </c>
      <c r="N1527" s="169" t="s">
        <v>2419</v>
      </c>
      <c r="O1527" s="162" t="s">
        <v>237</v>
      </c>
    </row>
    <row r="1528" spans="1:15" x14ac:dyDescent="0.25">
      <c r="A1528" s="154">
        <v>1528</v>
      </c>
      <c r="B1528" s="162" t="s">
        <v>2418</v>
      </c>
      <c r="C1528" s="163">
        <v>888700</v>
      </c>
      <c r="D1528" s="164" t="s">
        <v>2404</v>
      </c>
      <c r="E1528" s="165">
        <v>7500</v>
      </c>
      <c r="F1528" s="165">
        <v>7500</v>
      </c>
      <c r="G1528" s="165">
        <v>0</v>
      </c>
      <c r="H1528" s="165">
        <v>0</v>
      </c>
      <c r="I1528" s="163"/>
      <c r="J1528" s="166">
        <v>0</v>
      </c>
      <c r="K1528" s="167" t="s">
        <v>1464</v>
      </c>
      <c r="L1528" s="167">
        <v>746</v>
      </c>
      <c r="M1528" s="168">
        <v>46098</v>
      </c>
      <c r="N1528" s="169" t="s">
        <v>2420</v>
      </c>
      <c r="O1528" s="162" t="s">
        <v>252</v>
      </c>
    </row>
    <row r="1529" spans="1:15" x14ac:dyDescent="0.25">
      <c r="A1529" s="154">
        <v>1529</v>
      </c>
      <c r="B1529" s="162" t="s">
        <v>2421</v>
      </c>
      <c r="C1529" s="163">
        <v>27390634</v>
      </c>
      <c r="D1529" s="164" t="s">
        <v>2422</v>
      </c>
      <c r="E1529" s="165">
        <v>189200</v>
      </c>
      <c r="F1529" s="165">
        <v>189200</v>
      </c>
      <c r="G1529" s="165">
        <v>0</v>
      </c>
      <c r="H1529" s="165">
        <v>0</v>
      </c>
      <c r="I1529" s="163"/>
      <c r="J1529" s="166">
        <v>0</v>
      </c>
      <c r="K1529" s="167" t="s">
        <v>1464</v>
      </c>
      <c r="L1529" s="167">
        <v>743</v>
      </c>
      <c r="M1529" s="168">
        <v>46099</v>
      </c>
      <c r="N1529" s="169" t="s">
        <v>2423</v>
      </c>
      <c r="O1529" s="162">
        <v>108</v>
      </c>
    </row>
    <row r="1530" spans="1:15" x14ac:dyDescent="0.25">
      <c r="A1530" s="154">
        <v>1530</v>
      </c>
      <c r="B1530" s="162" t="s">
        <v>2424</v>
      </c>
      <c r="C1530" s="163">
        <v>11275513</v>
      </c>
      <c r="D1530" s="164" t="s">
        <v>2422</v>
      </c>
      <c r="E1530" s="165">
        <v>5545993</v>
      </c>
      <c r="F1530" s="165">
        <v>4300593</v>
      </c>
      <c r="G1530" s="165">
        <v>1245400</v>
      </c>
      <c r="H1530" s="165">
        <v>0</v>
      </c>
      <c r="I1530" s="163"/>
      <c r="J1530" s="166">
        <v>0</v>
      </c>
      <c r="K1530" s="167" t="s">
        <v>1464</v>
      </c>
      <c r="L1530" s="167">
        <v>743</v>
      </c>
      <c r="M1530" s="168">
        <v>46099</v>
      </c>
      <c r="N1530" s="169" t="s">
        <v>2425</v>
      </c>
      <c r="O1530" s="162">
        <v>608</v>
      </c>
    </row>
    <row r="1531" spans="1:15" x14ac:dyDescent="0.25">
      <c r="A1531" s="154">
        <v>1531</v>
      </c>
      <c r="B1531" s="162" t="s">
        <v>1538</v>
      </c>
      <c r="C1531" s="163">
        <v>22336469</v>
      </c>
      <c r="D1531" s="164" t="s">
        <v>2422</v>
      </c>
      <c r="E1531" s="165">
        <v>13223000</v>
      </c>
      <c r="F1531" s="165">
        <v>8594954</v>
      </c>
      <c r="G1531" s="165">
        <v>4628046</v>
      </c>
      <c r="H1531" s="165">
        <v>0</v>
      </c>
      <c r="I1531" s="163"/>
      <c r="J1531" s="166">
        <v>0</v>
      </c>
      <c r="K1531" s="167" t="s">
        <v>1464</v>
      </c>
      <c r="L1531" s="167">
        <v>743</v>
      </c>
      <c r="M1531" s="168">
        <v>46099</v>
      </c>
      <c r="N1531" s="169" t="s">
        <v>2426</v>
      </c>
      <c r="O1531" s="162">
        <v>106</v>
      </c>
    </row>
    <row r="1532" spans="1:15" x14ac:dyDescent="0.25">
      <c r="A1532" s="154">
        <v>1532</v>
      </c>
      <c r="B1532" s="162" t="s">
        <v>2427</v>
      </c>
      <c r="C1532" s="163">
        <v>10055324</v>
      </c>
      <c r="D1532" s="164" t="s">
        <v>2422</v>
      </c>
      <c r="E1532" s="165">
        <v>32000</v>
      </c>
      <c r="F1532" s="165">
        <v>0</v>
      </c>
      <c r="G1532" s="165">
        <v>32000</v>
      </c>
      <c r="H1532" s="165">
        <v>0</v>
      </c>
      <c r="I1532" s="163"/>
      <c r="J1532" s="166">
        <v>0</v>
      </c>
      <c r="K1532" s="167" t="s">
        <v>1464</v>
      </c>
      <c r="L1532" s="167">
        <v>743</v>
      </c>
      <c r="M1532" s="168">
        <v>46099</v>
      </c>
      <c r="N1532" s="169" t="s">
        <v>1501</v>
      </c>
      <c r="O1532" s="162">
        <v>102</v>
      </c>
    </row>
    <row r="1533" spans="1:15" x14ac:dyDescent="0.25">
      <c r="A1533" s="154">
        <v>1533</v>
      </c>
      <c r="B1533" s="162" t="s">
        <v>2427</v>
      </c>
      <c r="C1533" s="163">
        <v>10055324</v>
      </c>
      <c r="D1533" s="164" t="s">
        <v>2422</v>
      </c>
      <c r="E1533" s="165">
        <v>2180360</v>
      </c>
      <c r="F1533" s="165">
        <v>1040860</v>
      </c>
      <c r="G1533" s="165">
        <v>1139500</v>
      </c>
      <c r="H1533" s="165">
        <v>0</v>
      </c>
      <c r="I1533" s="163"/>
      <c r="J1533" s="166">
        <v>0</v>
      </c>
      <c r="K1533" s="167" t="s">
        <v>1464</v>
      </c>
      <c r="L1533" s="167">
        <v>743</v>
      </c>
      <c r="M1533" s="168">
        <v>46099</v>
      </c>
      <c r="N1533" s="169" t="s">
        <v>2428</v>
      </c>
      <c r="O1533" s="162">
        <v>608</v>
      </c>
    </row>
    <row r="1534" spans="1:15" x14ac:dyDescent="0.25">
      <c r="A1534" s="154">
        <v>1534</v>
      </c>
      <c r="B1534" s="162" t="s">
        <v>2429</v>
      </c>
      <c r="C1534" s="163">
        <v>9858890</v>
      </c>
      <c r="D1534" s="164" t="s">
        <v>2422</v>
      </c>
      <c r="E1534" s="165">
        <v>399400</v>
      </c>
      <c r="F1534" s="165">
        <v>0</v>
      </c>
      <c r="G1534" s="165">
        <v>399400</v>
      </c>
      <c r="H1534" s="165">
        <v>0</v>
      </c>
      <c r="I1534" s="163"/>
      <c r="J1534" s="166">
        <v>0</v>
      </c>
      <c r="K1534" s="167" t="s">
        <v>1464</v>
      </c>
      <c r="L1534" s="167">
        <v>743</v>
      </c>
      <c r="M1534" s="168">
        <v>46099</v>
      </c>
      <c r="N1534" s="169" t="s">
        <v>1501</v>
      </c>
      <c r="O1534" s="162">
        <v>103</v>
      </c>
    </row>
    <row r="1535" spans="1:15" x14ac:dyDescent="0.25">
      <c r="A1535" s="154">
        <v>1535</v>
      </c>
      <c r="B1535" s="162" t="s">
        <v>2429</v>
      </c>
      <c r="C1535" s="163">
        <v>9858890</v>
      </c>
      <c r="D1535" s="164" t="s">
        <v>2422</v>
      </c>
      <c r="E1535" s="165">
        <v>52500</v>
      </c>
      <c r="F1535" s="165">
        <v>46900</v>
      </c>
      <c r="G1535" s="165">
        <v>5600</v>
      </c>
      <c r="H1535" s="165">
        <v>0</v>
      </c>
      <c r="I1535" s="163"/>
      <c r="J1535" s="166">
        <v>0</v>
      </c>
      <c r="K1535" s="167" t="s">
        <v>1464</v>
      </c>
      <c r="L1535" s="167">
        <v>743</v>
      </c>
      <c r="M1535" s="168">
        <v>46099</v>
      </c>
      <c r="N1535" s="169" t="s">
        <v>2430</v>
      </c>
      <c r="O1535" s="162">
        <v>112</v>
      </c>
    </row>
    <row r="1536" spans="1:15" x14ac:dyDescent="0.25">
      <c r="A1536" s="154">
        <v>1536</v>
      </c>
      <c r="B1536" s="162" t="s">
        <v>2429</v>
      </c>
      <c r="C1536" s="163">
        <v>9858890</v>
      </c>
      <c r="D1536" s="164" t="s">
        <v>2422</v>
      </c>
      <c r="E1536" s="165">
        <v>2544323</v>
      </c>
      <c r="F1536" s="165">
        <v>1759294</v>
      </c>
      <c r="G1536" s="165">
        <v>424331</v>
      </c>
      <c r="H1536" s="165">
        <v>360698</v>
      </c>
      <c r="I1536" s="163"/>
      <c r="J1536" s="166">
        <v>0</v>
      </c>
      <c r="K1536" s="167" t="s">
        <v>1464</v>
      </c>
      <c r="L1536" s="167">
        <v>743</v>
      </c>
      <c r="M1536" s="168">
        <v>46099</v>
      </c>
      <c r="N1536" s="169" t="s">
        <v>2431</v>
      </c>
      <c r="O1536" s="162">
        <v>306</v>
      </c>
    </row>
    <row r="1537" spans="1:15" x14ac:dyDescent="0.25">
      <c r="A1537" s="154">
        <v>1537</v>
      </c>
      <c r="B1537" s="162" t="s">
        <v>2432</v>
      </c>
      <c r="C1537" s="163">
        <v>8711974</v>
      </c>
      <c r="D1537" s="164" t="s">
        <v>2422</v>
      </c>
      <c r="E1537" s="165">
        <v>32000</v>
      </c>
      <c r="F1537" s="165">
        <v>0</v>
      </c>
      <c r="G1537" s="165">
        <v>32000</v>
      </c>
      <c r="H1537" s="165">
        <v>0</v>
      </c>
      <c r="I1537" s="163"/>
      <c r="J1537" s="166">
        <v>0</v>
      </c>
      <c r="K1537" s="167" t="s">
        <v>1464</v>
      </c>
      <c r="L1537" s="167">
        <v>743</v>
      </c>
      <c r="M1537" s="168">
        <v>46099</v>
      </c>
      <c r="N1537" s="169" t="s">
        <v>1501</v>
      </c>
      <c r="O1537" s="162">
        <v>102</v>
      </c>
    </row>
    <row r="1538" spans="1:15" x14ac:dyDescent="0.25">
      <c r="A1538" s="154">
        <v>1538</v>
      </c>
      <c r="B1538" s="162" t="s">
        <v>2432</v>
      </c>
      <c r="C1538" s="163">
        <v>8711974</v>
      </c>
      <c r="D1538" s="164" t="s">
        <v>2422</v>
      </c>
      <c r="E1538" s="165">
        <v>90900</v>
      </c>
      <c r="F1538" s="165">
        <v>0</v>
      </c>
      <c r="G1538" s="165">
        <v>90900</v>
      </c>
      <c r="H1538" s="165">
        <v>0</v>
      </c>
      <c r="I1538" s="163"/>
      <c r="J1538" s="166">
        <v>0</v>
      </c>
      <c r="K1538" s="167" t="s">
        <v>1464</v>
      </c>
      <c r="L1538" s="167">
        <v>743</v>
      </c>
      <c r="M1538" s="168">
        <v>46099</v>
      </c>
      <c r="N1538" s="169" t="s">
        <v>1501</v>
      </c>
      <c r="O1538" s="162">
        <v>527</v>
      </c>
    </row>
    <row r="1539" spans="1:15" x14ac:dyDescent="0.25">
      <c r="A1539" s="154">
        <v>1539</v>
      </c>
      <c r="B1539" s="162" t="s">
        <v>2432</v>
      </c>
      <c r="C1539" s="163">
        <v>8711974</v>
      </c>
      <c r="D1539" s="164" t="s">
        <v>2422</v>
      </c>
      <c r="E1539" s="165">
        <v>6400</v>
      </c>
      <c r="F1539" s="165">
        <v>0</v>
      </c>
      <c r="G1539" s="165">
        <v>6400</v>
      </c>
      <c r="H1539" s="165">
        <v>0</v>
      </c>
      <c r="I1539" s="163"/>
      <c r="J1539" s="166">
        <v>0</v>
      </c>
      <c r="K1539" s="167" t="s">
        <v>1464</v>
      </c>
      <c r="L1539" s="167">
        <v>743</v>
      </c>
      <c r="M1539" s="168">
        <v>46099</v>
      </c>
      <c r="N1539" s="169" t="s">
        <v>1501</v>
      </c>
      <c r="O1539" s="162">
        <v>208</v>
      </c>
    </row>
    <row r="1540" spans="1:15" x14ac:dyDescent="0.25">
      <c r="A1540" s="154">
        <v>1540</v>
      </c>
      <c r="B1540" s="162" t="s">
        <v>2432</v>
      </c>
      <c r="C1540" s="163">
        <v>8711974</v>
      </c>
      <c r="D1540" s="164" t="s">
        <v>2422</v>
      </c>
      <c r="E1540" s="165">
        <v>1957200</v>
      </c>
      <c r="F1540" s="165">
        <v>1927200</v>
      </c>
      <c r="G1540" s="165">
        <v>30000</v>
      </c>
      <c r="H1540" s="165">
        <v>0</v>
      </c>
      <c r="I1540" s="163"/>
      <c r="J1540" s="166">
        <v>0</v>
      </c>
      <c r="K1540" s="167" t="s">
        <v>1464</v>
      </c>
      <c r="L1540" s="167">
        <v>743</v>
      </c>
      <c r="M1540" s="168">
        <v>46099</v>
      </c>
      <c r="N1540" s="169" t="s">
        <v>2433</v>
      </c>
      <c r="O1540" s="162">
        <v>108</v>
      </c>
    </row>
    <row r="1541" spans="1:15" x14ac:dyDescent="0.25">
      <c r="A1541" s="154">
        <v>1541</v>
      </c>
      <c r="B1541" s="162" t="s">
        <v>2434</v>
      </c>
      <c r="C1541" s="163">
        <v>501115</v>
      </c>
      <c r="D1541" s="164" t="s">
        <v>2422</v>
      </c>
      <c r="E1541" s="165">
        <v>100800</v>
      </c>
      <c r="F1541" s="165">
        <v>0</v>
      </c>
      <c r="G1541" s="165">
        <v>100800</v>
      </c>
      <c r="H1541" s="165">
        <v>0</v>
      </c>
      <c r="I1541" s="163"/>
      <c r="J1541" s="166">
        <v>0</v>
      </c>
      <c r="K1541" s="167" t="s">
        <v>1464</v>
      </c>
      <c r="L1541" s="167">
        <v>743</v>
      </c>
      <c r="M1541" s="168">
        <v>46099</v>
      </c>
      <c r="N1541" s="169" t="s">
        <v>1501</v>
      </c>
      <c r="O1541" s="162">
        <v>333</v>
      </c>
    </row>
    <row r="1542" spans="1:15" x14ac:dyDescent="0.25">
      <c r="A1542" s="154">
        <v>1542</v>
      </c>
      <c r="B1542" s="162" t="s">
        <v>2434</v>
      </c>
      <c r="C1542" s="163">
        <v>501115</v>
      </c>
      <c r="D1542" s="164" t="s">
        <v>2422</v>
      </c>
      <c r="E1542" s="165">
        <v>163300</v>
      </c>
      <c r="F1542" s="165">
        <v>67800</v>
      </c>
      <c r="G1542" s="165">
        <v>95500</v>
      </c>
      <c r="H1542" s="165">
        <v>0</v>
      </c>
      <c r="I1542" s="163"/>
      <c r="J1542" s="166">
        <v>0</v>
      </c>
      <c r="K1542" s="167" t="s">
        <v>1464</v>
      </c>
      <c r="L1542" s="167">
        <v>743</v>
      </c>
      <c r="M1542" s="168">
        <v>46099</v>
      </c>
      <c r="N1542" s="169" t="s">
        <v>2435</v>
      </c>
      <c r="O1542" s="162">
        <v>105</v>
      </c>
    </row>
    <row r="1543" spans="1:15" x14ac:dyDescent="0.25">
      <c r="A1543" s="154">
        <v>1543</v>
      </c>
      <c r="B1543" s="162" t="s">
        <v>2434</v>
      </c>
      <c r="C1543" s="163">
        <v>501115</v>
      </c>
      <c r="D1543" s="164" t="s">
        <v>2422</v>
      </c>
      <c r="E1543" s="165">
        <v>63400</v>
      </c>
      <c r="F1543" s="165">
        <v>0</v>
      </c>
      <c r="G1543" s="165">
        <v>63400</v>
      </c>
      <c r="H1543" s="165">
        <v>0</v>
      </c>
      <c r="I1543" s="163"/>
      <c r="J1543" s="166">
        <v>0</v>
      </c>
      <c r="K1543" s="167" t="s">
        <v>1464</v>
      </c>
      <c r="L1543" s="167">
        <v>743</v>
      </c>
      <c r="M1543" s="168">
        <v>46099</v>
      </c>
      <c r="N1543" s="169" t="s">
        <v>1501</v>
      </c>
      <c r="O1543" s="162">
        <v>106</v>
      </c>
    </row>
    <row r="1544" spans="1:15" x14ac:dyDescent="0.25">
      <c r="A1544" s="154">
        <v>1544</v>
      </c>
      <c r="B1544" s="162" t="s">
        <v>2436</v>
      </c>
      <c r="C1544" s="163">
        <v>11672521</v>
      </c>
      <c r="D1544" s="164" t="s">
        <v>2422</v>
      </c>
      <c r="E1544" s="165">
        <v>17900</v>
      </c>
      <c r="F1544" s="165">
        <v>17900</v>
      </c>
      <c r="G1544" s="165">
        <v>0</v>
      </c>
      <c r="H1544" s="165">
        <v>0</v>
      </c>
      <c r="I1544" s="163"/>
      <c r="J1544" s="166">
        <v>0</v>
      </c>
      <c r="K1544" s="167" t="s">
        <v>1464</v>
      </c>
      <c r="L1544" s="167">
        <v>743</v>
      </c>
      <c r="M1544" s="168">
        <v>46099</v>
      </c>
      <c r="N1544" s="169" t="s">
        <v>2437</v>
      </c>
      <c r="O1544" s="162">
        <v>102</v>
      </c>
    </row>
    <row r="1545" spans="1:15" x14ac:dyDescent="0.25">
      <c r="A1545" s="154">
        <v>1545</v>
      </c>
      <c r="B1545" s="162" t="s">
        <v>2436</v>
      </c>
      <c r="C1545" s="163">
        <v>11672521</v>
      </c>
      <c r="D1545" s="164" t="s">
        <v>2422</v>
      </c>
      <c r="E1545" s="165">
        <v>1850322</v>
      </c>
      <c r="F1545" s="165">
        <v>1850322</v>
      </c>
      <c r="G1545" s="165">
        <v>0</v>
      </c>
      <c r="H1545" s="165">
        <v>0</v>
      </c>
      <c r="I1545" s="163"/>
      <c r="J1545" s="166">
        <v>0</v>
      </c>
      <c r="K1545" s="167" t="s">
        <v>1464</v>
      </c>
      <c r="L1545" s="167">
        <v>743</v>
      </c>
      <c r="M1545" s="168">
        <v>46099</v>
      </c>
      <c r="N1545" s="169" t="s">
        <v>2438</v>
      </c>
      <c r="O1545" s="162">
        <v>106</v>
      </c>
    </row>
    <row r="1546" spans="1:15" x14ac:dyDescent="0.25">
      <c r="A1546" s="154">
        <v>1546</v>
      </c>
      <c r="B1546" s="162" t="s">
        <v>2436</v>
      </c>
      <c r="C1546" s="163">
        <v>11672521</v>
      </c>
      <c r="D1546" s="164" t="s">
        <v>2422</v>
      </c>
      <c r="E1546" s="165">
        <v>108800</v>
      </c>
      <c r="F1546" s="165">
        <v>108800</v>
      </c>
      <c r="G1546" s="165">
        <v>0</v>
      </c>
      <c r="H1546" s="165">
        <v>0</v>
      </c>
      <c r="I1546" s="163"/>
      <c r="J1546" s="166">
        <v>0</v>
      </c>
      <c r="K1546" s="167" t="s">
        <v>1464</v>
      </c>
      <c r="L1546" s="167">
        <v>743</v>
      </c>
      <c r="M1546" s="168">
        <v>46099</v>
      </c>
      <c r="N1546" s="169" t="s">
        <v>2439</v>
      </c>
      <c r="O1546" s="162">
        <v>608</v>
      </c>
    </row>
    <row r="1547" spans="1:15" x14ac:dyDescent="0.25">
      <c r="A1547" s="154">
        <v>1547</v>
      </c>
      <c r="B1547" s="162" t="s">
        <v>2440</v>
      </c>
      <c r="C1547" s="163">
        <v>1402600</v>
      </c>
      <c r="D1547" s="164" t="s">
        <v>2422</v>
      </c>
      <c r="E1547" s="165">
        <v>62400</v>
      </c>
      <c r="F1547" s="165">
        <v>12150</v>
      </c>
      <c r="G1547" s="165">
        <v>50250</v>
      </c>
      <c r="H1547" s="165">
        <v>0</v>
      </c>
      <c r="I1547" s="163"/>
      <c r="J1547" s="166">
        <v>0</v>
      </c>
      <c r="K1547" s="167" t="s">
        <v>1464</v>
      </c>
      <c r="L1547" s="167">
        <v>743</v>
      </c>
      <c r="M1547" s="168">
        <v>46099</v>
      </c>
      <c r="N1547" s="169" t="s">
        <v>2441</v>
      </c>
      <c r="O1547" s="162">
        <v>106</v>
      </c>
    </row>
    <row r="1548" spans="1:15" x14ac:dyDescent="0.25">
      <c r="A1548" s="154">
        <v>1548</v>
      </c>
      <c r="B1548" s="162" t="s">
        <v>2440</v>
      </c>
      <c r="C1548" s="163">
        <v>1402600</v>
      </c>
      <c r="D1548" s="164" t="s">
        <v>2422</v>
      </c>
      <c r="E1548" s="165">
        <v>850900</v>
      </c>
      <c r="F1548" s="165">
        <v>160000</v>
      </c>
      <c r="G1548" s="165">
        <v>690900</v>
      </c>
      <c r="H1548" s="165">
        <v>0</v>
      </c>
      <c r="I1548" s="163"/>
      <c r="J1548" s="166">
        <v>0</v>
      </c>
      <c r="K1548" s="167" t="s">
        <v>1464</v>
      </c>
      <c r="L1548" s="167">
        <v>743</v>
      </c>
      <c r="M1548" s="168">
        <v>46099</v>
      </c>
      <c r="N1548" s="169" t="s">
        <v>2442</v>
      </c>
      <c r="O1548" s="162">
        <v>308</v>
      </c>
    </row>
    <row r="1549" spans="1:15" x14ac:dyDescent="0.25">
      <c r="A1549" s="154">
        <v>1549</v>
      </c>
      <c r="B1549" s="162" t="s">
        <v>2440</v>
      </c>
      <c r="C1549" s="163">
        <v>1402600</v>
      </c>
      <c r="D1549" s="164" t="s">
        <v>2422</v>
      </c>
      <c r="E1549" s="165">
        <v>5900</v>
      </c>
      <c r="F1549" s="165">
        <v>0</v>
      </c>
      <c r="G1549" s="165">
        <v>5900</v>
      </c>
      <c r="H1549" s="165">
        <v>0</v>
      </c>
      <c r="I1549" s="163"/>
      <c r="J1549" s="166">
        <v>0</v>
      </c>
      <c r="K1549" s="167" t="s">
        <v>1464</v>
      </c>
      <c r="L1549" s="167">
        <v>743</v>
      </c>
      <c r="M1549" s="168">
        <v>46099</v>
      </c>
      <c r="N1549" s="169" t="s">
        <v>1501</v>
      </c>
      <c r="O1549" s="162">
        <v>307</v>
      </c>
    </row>
    <row r="1550" spans="1:15" x14ac:dyDescent="0.25">
      <c r="A1550" s="154">
        <v>1550</v>
      </c>
      <c r="B1550" s="162" t="s">
        <v>2443</v>
      </c>
      <c r="C1550" s="163">
        <v>11626883</v>
      </c>
      <c r="D1550" s="164" t="s">
        <v>2422</v>
      </c>
      <c r="E1550" s="165">
        <v>63900</v>
      </c>
      <c r="F1550" s="165">
        <v>63900</v>
      </c>
      <c r="G1550" s="165">
        <v>0</v>
      </c>
      <c r="H1550" s="165">
        <v>0</v>
      </c>
      <c r="I1550" s="163"/>
      <c r="J1550" s="166">
        <v>0</v>
      </c>
      <c r="K1550" s="167" t="s">
        <v>1464</v>
      </c>
      <c r="L1550" s="167">
        <v>743</v>
      </c>
      <c r="M1550" s="168">
        <v>46099</v>
      </c>
      <c r="N1550" s="169" t="s">
        <v>2444</v>
      </c>
      <c r="O1550" s="162">
        <v>106</v>
      </c>
    </row>
    <row r="1551" spans="1:15" x14ac:dyDescent="0.25">
      <c r="A1551" s="154">
        <v>1551</v>
      </c>
      <c r="B1551" s="162" t="s">
        <v>2443</v>
      </c>
      <c r="C1551" s="163">
        <v>11626883</v>
      </c>
      <c r="D1551" s="164" t="s">
        <v>2422</v>
      </c>
      <c r="E1551" s="165">
        <v>20600</v>
      </c>
      <c r="F1551" s="165">
        <v>0</v>
      </c>
      <c r="G1551" s="165">
        <v>20600</v>
      </c>
      <c r="H1551" s="165">
        <v>0</v>
      </c>
      <c r="I1551" s="163"/>
      <c r="J1551" s="166">
        <v>0</v>
      </c>
      <c r="K1551" s="167" t="s">
        <v>1464</v>
      </c>
      <c r="L1551" s="167">
        <v>743</v>
      </c>
      <c r="M1551" s="168">
        <v>46099</v>
      </c>
      <c r="N1551" s="169" t="s">
        <v>1501</v>
      </c>
      <c r="O1551" s="162">
        <v>111</v>
      </c>
    </row>
    <row r="1552" spans="1:15" x14ac:dyDescent="0.25">
      <c r="A1552" s="154">
        <v>1552</v>
      </c>
      <c r="B1552" s="162" t="s">
        <v>2443</v>
      </c>
      <c r="C1552" s="163">
        <v>11626883</v>
      </c>
      <c r="D1552" s="164" t="s">
        <v>2422</v>
      </c>
      <c r="E1552" s="165">
        <v>75600</v>
      </c>
      <c r="F1552" s="165">
        <v>37800</v>
      </c>
      <c r="G1552" s="165">
        <v>37800</v>
      </c>
      <c r="H1552" s="165">
        <v>0</v>
      </c>
      <c r="I1552" s="163"/>
      <c r="J1552" s="166">
        <v>0</v>
      </c>
      <c r="K1552" s="167" t="s">
        <v>1464</v>
      </c>
      <c r="L1552" s="167">
        <v>743</v>
      </c>
      <c r="M1552" s="168">
        <v>46099</v>
      </c>
      <c r="N1552" s="169" t="s">
        <v>2445</v>
      </c>
      <c r="O1552" s="162">
        <v>206</v>
      </c>
    </row>
    <row r="1553" spans="1:15" x14ac:dyDescent="0.25">
      <c r="A1553" s="154">
        <v>1553</v>
      </c>
      <c r="B1553" s="162" t="s">
        <v>2446</v>
      </c>
      <c r="C1553" s="163">
        <v>3832000</v>
      </c>
      <c r="D1553" s="164" t="s">
        <v>2422</v>
      </c>
      <c r="E1553" s="165">
        <v>677900</v>
      </c>
      <c r="F1553" s="165">
        <v>0</v>
      </c>
      <c r="G1553" s="165">
        <v>0</v>
      </c>
      <c r="H1553" s="165">
        <v>677900</v>
      </c>
      <c r="I1553" s="163"/>
      <c r="J1553" s="166">
        <v>0</v>
      </c>
      <c r="K1553" s="167" t="s">
        <v>1464</v>
      </c>
      <c r="L1553" s="167">
        <v>743</v>
      </c>
      <c r="M1553" s="168">
        <v>46099</v>
      </c>
      <c r="N1553" s="169" t="s">
        <v>2447</v>
      </c>
      <c r="O1553" s="162">
        <v>303</v>
      </c>
    </row>
    <row r="1554" spans="1:15" x14ac:dyDescent="0.25">
      <c r="A1554" s="154">
        <v>1554</v>
      </c>
      <c r="B1554" s="162" t="s">
        <v>2446</v>
      </c>
      <c r="C1554" s="163">
        <v>3832000</v>
      </c>
      <c r="D1554" s="164" t="s">
        <v>2422</v>
      </c>
      <c r="E1554" s="165">
        <v>9850</v>
      </c>
      <c r="F1554" s="165">
        <v>4925</v>
      </c>
      <c r="G1554" s="165">
        <v>4925</v>
      </c>
      <c r="H1554" s="165">
        <v>0</v>
      </c>
      <c r="I1554" s="163"/>
      <c r="J1554" s="166">
        <v>0</v>
      </c>
      <c r="K1554" s="167" t="s">
        <v>1464</v>
      </c>
      <c r="L1554" s="167">
        <v>743</v>
      </c>
      <c r="M1554" s="168">
        <v>46099</v>
      </c>
      <c r="N1554" s="169" t="s">
        <v>2448</v>
      </c>
      <c r="O1554" s="162">
        <v>206</v>
      </c>
    </row>
    <row r="1555" spans="1:15" x14ac:dyDescent="0.25">
      <c r="A1555" s="154">
        <v>1555</v>
      </c>
      <c r="B1555" s="162" t="s">
        <v>2446</v>
      </c>
      <c r="C1555" s="163">
        <v>3832000</v>
      </c>
      <c r="D1555" s="164" t="s">
        <v>2422</v>
      </c>
      <c r="E1555" s="165">
        <v>800</v>
      </c>
      <c r="F1555" s="165">
        <v>400</v>
      </c>
      <c r="G1555" s="165">
        <v>400</v>
      </c>
      <c r="H1555" s="165">
        <v>0</v>
      </c>
      <c r="I1555" s="163"/>
      <c r="J1555" s="166">
        <v>0</v>
      </c>
      <c r="K1555" s="167" t="s">
        <v>1464</v>
      </c>
      <c r="L1555" s="167">
        <v>743</v>
      </c>
      <c r="M1555" s="168">
        <v>46099</v>
      </c>
      <c r="N1555" s="169" t="s">
        <v>2449</v>
      </c>
      <c r="O1555" s="162">
        <v>207</v>
      </c>
    </row>
    <row r="1556" spans="1:15" x14ac:dyDescent="0.25">
      <c r="A1556" s="154">
        <v>1556</v>
      </c>
      <c r="B1556" s="162" t="s">
        <v>2446</v>
      </c>
      <c r="C1556" s="163">
        <v>3832000</v>
      </c>
      <c r="D1556" s="164" t="s">
        <v>2422</v>
      </c>
      <c r="E1556" s="165">
        <v>5500</v>
      </c>
      <c r="F1556" s="165">
        <v>5500</v>
      </c>
      <c r="G1556" s="165">
        <v>0</v>
      </c>
      <c r="H1556" s="165">
        <v>0</v>
      </c>
      <c r="I1556" s="163"/>
      <c r="J1556" s="166">
        <v>0</v>
      </c>
      <c r="K1556" s="167" t="s">
        <v>1464</v>
      </c>
      <c r="L1556" s="167">
        <v>743</v>
      </c>
      <c r="M1556" s="168">
        <v>46099</v>
      </c>
      <c r="N1556" s="169" t="s">
        <v>2450</v>
      </c>
      <c r="O1556" s="162">
        <v>607</v>
      </c>
    </row>
    <row r="1557" spans="1:15" x14ac:dyDescent="0.25">
      <c r="A1557" s="154">
        <v>1557</v>
      </c>
      <c r="B1557" s="162" t="s">
        <v>2446</v>
      </c>
      <c r="C1557" s="163">
        <v>3832000</v>
      </c>
      <c r="D1557" s="164" t="s">
        <v>2422</v>
      </c>
      <c r="E1557" s="165">
        <v>790200</v>
      </c>
      <c r="F1557" s="165">
        <v>99300</v>
      </c>
      <c r="G1557" s="165">
        <v>690900</v>
      </c>
      <c r="H1557" s="165">
        <v>0</v>
      </c>
      <c r="I1557" s="163"/>
      <c r="J1557" s="166">
        <v>0</v>
      </c>
      <c r="K1557" s="167" t="s">
        <v>1464</v>
      </c>
      <c r="L1557" s="167">
        <v>743</v>
      </c>
      <c r="M1557" s="168">
        <v>46099</v>
      </c>
      <c r="N1557" s="169" t="s">
        <v>2451</v>
      </c>
      <c r="O1557" s="162">
        <v>608</v>
      </c>
    </row>
    <row r="1558" spans="1:15" x14ac:dyDescent="0.25">
      <c r="A1558" s="154">
        <v>1558</v>
      </c>
      <c r="B1558" s="162" t="s">
        <v>2452</v>
      </c>
      <c r="C1558" s="163">
        <v>1625888</v>
      </c>
      <c r="D1558" s="164" t="s">
        <v>2422</v>
      </c>
      <c r="E1558" s="165">
        <v>40600</v>
      </c>
      <c r="F1558" s="165">
        <v>20300</v>
      </c>
      <c r="G1558" s="165">
        <v>20300</v>
      </c>
      <c r="H1558" s="165">
        <v>0</v>
      </c>
      <c r="I1558" s="163"/>
      <c r="J1558" s="166">
        <v>0</v>
      </c>
      <c r="K1558" s="167" t="s">
        <v>1464</v>
      </c>
      <c r="L1558" s="167">
        <v>743</v>
      </c>
      <c r="M1558" s="168">
        <v>46099</v>
      </c>
      <c r="N1558" s="169" t="s">
        <v>2453</v>
      </c>
      <c r="O1558" s="162">
        <v>206</v>
      </c>
    </row>
    <row r="1559" spans="1:15" x14ac:dyDescent="0.25">
      <c r="A1559" s="154">
        <v>1559</v>
      </c>
      <c r="B1559" s="162" t="s">
        <v>2452</v>
      </c>
      <c r="C1559" s="163">
        <v>1625888</v>
      </c>
      <c r="D1559" s="164" t="s">
        <v>2422</v>
      </c>
      <c r="E1559" s="165">
        <v>3200</v>
      </c>
      <c r="F1559" s="165">
        <v>1600</v>
      </c>
      <c r="G1559" s="165">
        <v>1600</v>
      </c>
      <c r="H1559" s="165">
        <v>0</v>
      </c>
      <c r="I1559" s="163"/>
      <c r="J1559" s="166">
        <v>0</v>
      </c>
      <c r="K1559" s="167" t="s">
        <v>1464</v>
      </c>
      <c r="L1559" s="167">
        <v>743</v>
      </c>
      <c r="M1559" s="168">
        <v>46099</v>
      </c>
      <c r="N1559" s="169" t="s">
        <v>2454</v>
      </c>
      <c r="O1559" s="162">
        <v>207</v>
      </c>
    </row>
    <row r="1560" spans="1:15" x14ac:dyDescent="0.25">
      <c r="A1560" s="154">
        <v>1560</v>
      </c>
      <c r="B1560" s="162" t="s">
        <v>2452</v>
      </c>
      <c r="C1560" s="163">
        <v>1625888</v>
      </c>
      <c r="D1560" s="164" t="s">
        <v>2422</v>
      </c>
      <c r="E1560" s="165">
        <v>5500</v>
      </c>
      <c r="F1560" s="165">
        <v>5500</v>
      </c>
      <c r="G1560" s="165">
        <v>0</v>
      </c>
      <c r="H1560" s="165">
        <v>0</v>
      </c>
      <c r="I1560" s="163"/>
      <c r="J1560" s="166">
        <v>0</v>
      </c>
      <c r="K1560" s="167" t="s">
        <v>1464</v>
      </c>
      <c r="L1560" s="167">
        <v>743</v>
      </c>
      <c r="M1560" s="168">
        <v>46099</v>
      </c>
      <c r="N1560" s="169" t="s">
        <v>2450</v>
      </c>
      <c r="O1560" s="162">
        <v>607</v>
      </c>
    </row>
    <row r="1561" spans="1:15" x14ac:dyDescent="0.25">
      <c r="A1561" s="154">
        <v>1561</v>
      </c>
      <c r="B1561" s="162" t="s">
        <v>2452</v>
      </c>
      <c r="C1561" s="163">
        <v>1625888</v>
      </c>
      <c r="D1561" s="164" t="s">
        <v>2422</v>
      </c>
      <c r="E1561" s="165">
        <v>98400</v>
      </c>
      <c r="F1561" s="165">
        <v>98400</v>
      </c>
      <c r="G1561" s="165">
        <v>0</v>
      </c>
      <c r="H1561" s="165">
        <v>0</v>
      </c>
      <c r="I1561" s="163"/>
      <c r="J1561" s="166">
        <v>0</v>
      </c>
      <c r="K1561" s="167" t="s">
        <v>1464</v>
      </c>
      <c r="L1561" s="167">
        <v>743</v>
      </c>
      <c r="M1561" s="168">
        <v>46099</v>
      </c>
      <c r="N1561" s="169" t="s">
        <v>2455</v>
      </c>
      <c r="O1561" s="162">
        <v>608</v>
      </c>
    </row>
    <row r="1562" spans="1:15" x14ac:dyDescent="0.25">
      <c r="A1562" s="154">
        <v>1562</v>
      </c>
      <c r="B1562" s="162" t="s">
        <v>2456</v>
      </c>
      <c r="C1562" s="163">
        <v>11824491</v>
      </c>
      <c r="D1562" s="164" t="s">
        <v>2422</v>
      </c>
      <c r="E1562" s="165">
        <v>17900</v>
      </c>
      <c r="F1562" s="165">
        <v>17900</v>
      </c>
      <c r="G1562" s="165">
        <v>0</v>
      </c>
      <c r="H1562" s="165">
        <v>0</v>
      </c>
      <c r="I1562" s="163"/>
      <c r="J1562" s="166">
        <v>0</v>
      </c>
      <c r="K1562" s="167" t="s">
        <v>1464</v>
      </c>
      <c r="L1562" s="167">
        <v>743</v>
      </c>
      <c r="M1562" s="168">
        <v>46099</v>
      </c>
      <c r="N1562" s="169" t="s">
        <v>2457</v>
      </c>
      <c r="O1562" s="162">
        <v>102</v>
      </c>
    </row>
    <row r="1563" spans="1:15" x14ac:dyDescent="0.25">
      <c r="A1563" s="154">
        <v>1563</v>
      </c>
      <c r="B1563" s="162" t="s">
        <v>2456</v>
      </c>
      <c r="C1563" s="163">
        <v>11824491</v>
      </c>
      <c r="D1563" s="164" t="s">
        <v>2422</v>
      </c>
      <c r="E1563" s="165">
        <v>142946</v>
      </c>
      <c r="F1563" s="165">
        <v>142946</v>
      </c>
      <c r="G1563" s="165">
        <v>0</v>
      </c>
      <c r="H1563" s="165">
        <v>0</v>
      </c>
      <c r="I1563" s="163"/>
      <c r="J1563" s="166">
        <v>0</v>
      </c>
      <c r="K1563" s="167" t="s">
        <v>1464</v>
      </c>
      <c r="L1563" s="167">
        <v>743</v>
      </c>
      <c r="M1563" s="168">
        <v>46099</v>
      </c>
      <c r="N1563" s="169" t="s">
        <v>2458</v>
      </c>
      <c r="O1563" s="162">
        <v>111</v>
      </c>
    </row>
    <row r="1564" spans="1:15" x14ac:dyDescent="0.25">
      <c r="A1564" s="154">
        <v>1564</v>
      </c>
      <c r="B1564" s="162" t="s">
        <v>2456</v>
      </c>
      <c r="C1564" s="163">
        <v>11824491</v>
      </c>
      <c r="D1564" s="164" t="s">
        <v>2422</v>
      </c>
      <c r="E1564" s="165">
        <v>139400</v>
      </c>
      <c r="F1564" s="165">
        <v>32900</v>
      </c>
      <c r="G1564" s="165">
        <v>106500</v>
      </c>
      <c r="H1564" s="165">
        <v>0</v>
      </c>
      <c r="I1564" s="163"/>
      <c r="J1564" s="166">
        <v>0</v>
      </c>
      <c r="K1564" s="167" t="s">
        <v>1464</v>
      </c>
      <c r="L1564" s="167">
        <v>743</v>
      </c>
      <c r="M1564" s="168">
        <v>46099</v>
      </c>
      <c r="N1564" s="169" t="s">
        <v>2459</v>
      </c>
      <c r="O1564" s="162">
        <v>108</v>
      </c>
    </row>
    <row r="1565" spans="1:15" x14ac:dyDescent="0.25">
      <c r="A1565" s="154">
        <v>1565</v>
      </c>
      <c r="B1565" s="162" t="s">
        <v>2456</v>
      </c>
      <c r="C1565" s="163">
        <v>11824491</v>
      </c>
      <c r="D1565" s="164" t="s">
        <v>2422</v>
      </c>
      <c r="E1565" s="165">
        <v>49900</v>
      </c>
      <c r="F1565" s="165">
        <v>24950</v>
      </c>
      <c r="G1565" s="165">
        <v>24950</v>
      </c>
      <c r="H1565" s="165">
        <v>0</v>
      </c>
      <c r="I1565" s="163"/>
      <c r="J1565" s="166">
        <v>0</v>
      </c>
      <c r="K1565" s="167" t="s">
        <v>1464</v>
      </c>
      <c r="L1565" s="167">
        <v>743</v>
      </c>
      <c r="M1565" s="168">
        <v>46099</v>
      </c>
      <c r="N1565" s="169" t="s">
        <v>2460</v>
      </c>
      <c r="O1565" s="162">
        <v>206</v>
      </c>
    </row>
    <row r="1566" spans="1:15" x14ac:dyDescent="0.25">
      <c r="A1566" s="154">
        <v>1566</v>
      </c>
      <c r="B1566" s="162" t="s">
        <v>2456</v>
      </c>
      <c r="C1566" s="163">
        <v>11824491</v>
      </c>
      <c r="D1566" s="164" t="s">
        <v>2422</v>
      </c>
      <c r="E1566" s="165">
        <v>323800</v>
      </c>
      <c r="F1566" s="165">
        <v>215000</v>
      </c>
      <c r="G1566" s="165">
        <v>108800</v>
      </c>
      <c r="H1566" s="165">
        <v>0</v>
      </c>
      <c r="I1566" s="163"/>
      <c r="J1566" s="166">
        <v>0</v>
      </c>
      <c r="K1566" s="167" t="s">
        <v>1464</v>
      </c>
      <c r="L1566" s="167">
        <v>743</v>
      </c>
      <c r="M1566" s="168">
        <v>46099</v>
      </c>
      <c r="N1566" s="169" t="s">
        <v>2461</v>
      </c>
      <c r="O1566" s="162">
        <v>608</v>
      </c>
    </row>
    <row r="1567" spans="1:15" x14ac:dyDescent="0.25">
      <c r="A1567" s="154">
        <v>1567</v>
      </c>
      <c r="B1567" s="162" t="s">
        <v>2456</v>
      </c>
      <c r="C1567" s="163">
        <v>11824491</v>
      </c>
      <c r="D1567" s="164" t="s">
        <v>2422</v>
      </c>
      <c r="E1567" s="165">
        <v>1363200</v>
      </c>
      <c r="F1567" s="165">
        <v>340800</v>
      </c>
      <c r="G1567" s="165">
        <v>1022400</v>
      </c>
      <c r="H1567" s="165">
        <v>0</v>
      </c>
      <c r="I1567" s="163"/>
      <c r="J1567" s="166">
        <v>0</v>
      </c>
      <c r="K1567" s="167" t="s">
        <v>1464</v>
      </c>
      <c r="L1567" s="167">
        <v>743</v>
      </c>
      <c r="M1567" s="168">
        <v>46099</v>
      </c>
      <c r="N1567" s="169" t="s">
        <v>2462</v>
      </c>
      <c r="O1567" s="162">
        <v>601</v>
      </c>
    </row>
    <row r="1568" spans="1:15" x14ac:dyDescent="0.25">
      <c r="A1568" s="154">
        <v>1568</v>
      </c>
      <c r="B1568" s="162" t="s">
        <v>2463</v>
      </c>
      <c r="C1568" s="163">
        <v>711000</v>
      </c>
      <c r="D1568" s="164" t="s">
        <v>2422</v>
      </c>
      <c r="E1568" s="165">
        <v>400</v>
      </c>
      <c r="F1568" s="165">
        <v>200</v>
      </c>
      <c r="G1568" s="165">
        <v>200</v>
      </c>
      <c r="H1568" s="165">
        <v>0</v>
      </c>
      <c r="I1568" s="163"/>
      <c r="J1568" s="166">
        <v>0</v>
      </c>
      <c r="K1568" s="167" t="s">
        <v>1464</v>
      </c>
      <c r="L1568" s="167">
        <v>743</v>
      </c>
      <c r="M1568" s="168">
        <v>46099</v>
      </c>
      <c r="N1568" s="169" t="s">
        <v>2464</v>
      </c>
      <c r="O1568" s="162">
        <v>206</v>
      </c>
    </row>
    <row r="1569" spans="1:15" x14ac:dyDescent="0.25">
      <c r="A1569" s="154">
        <v>1569</v>
      </c>
      <c r="B1569" s="162" t="s">
        <v>2463</v>
      </c>
      <c r="C1569" s="163">
        <v>711000</v>
      </c>
      <c r="D1569" s="164" t="s">
        <v>2422</v>
      </c>
      <c r="E1569" s="165">
        <v>32000</v>
      </c>
      <c r="F1569" s="165">
        <v>0</v>
      </c>
      <c r="G1569" s="165">
        <v>32000</v>
      </c>
      <c r="H1569" s="165">
        <v>0</v>
      </c>
      <c r="I1569" s="163"/>
      <c r="J1569" s="166">
        <v>0</v>
      </c>
      <c r="K1569" s="167" t="s">
        <v>1464</v>
      </c>
      <c r="L1569" s="167">
        <v>743</v>
      </c>
      <c r="M1569" s="168">
        <v>46099</v>
      </c>
      <c r="N1569" s="169" t="s">
        <v>1501</v>
      </c>
      <c r="O1569" s="162">
        <v>602</v>
      </c>
    </row>
    <row r="1570" spans="1:15" x14ac:dyDescent="0.25">
      <c r="A1570" s="154">
        <v>1570</v>
      </c>
      <c r="B1570" s="162" t="s">
        <v>2463</v>
      </c>
      <c r="C1570" s="163">
        <v>711000</v>
      </c>
      <c r="D1570" s="164" t="s">
        <v>2422</v>
      </c>
      <c r="E1570" s="165">
        <v>98400</v>
      </c>
      <c r="F1570" s="165">
        <v>98400</v>
      </c>
      <c r="G1570" s="165">
        <v>0</v>
      </c>
      <c r="H1570" s="165">
        <v>0</v>
      </c>
      <c r="I1570" s="163"/>
      <c r="J1570" s="166">
        <v>0</v>
      </c>
      <c r="K1570" s="167" t="s">
        <v>1464</v>
      </c>
      <c r="L1570" s="167">
        <v>743</v>
      </c>
      <c r="M1570" s="168">
        <v>46099</v>
      </c>
      <c r="N1570" s="169" t="s">
        <v>2465</v>
      </c>
      <c r="O1570" s="162">
        <v>608</v>
      </c>
    </row>
    <row r="1571" spans="1:15" x14ac:dyDescent="0.25">
      <c r="A1571" s="154">
        <v>1571</v>
      </c>
      <c r="B1571" s="162" t="s">
        <v>2466</v>
      </c>
      <c r="C1571" s="163">
        <v>6074500</v>
      </c>
      <c r="D1571" s="164" t="s">
        <v>2422</v>
      </c>
      <c r="E1571" s="165">
        <v>597861</v>
      </c>
      <c r="F1571" s="165">
        <v>597861</v>
      </c>
      <c r="G1571" s="165">
        <v>0</v>
      </c>
      <c r="H1571" s="165">
        <v>0</v>
      </c>
      <c r="I1571" s="163"/>
      <c r="J1571" s="166">
        <v>0</v>
      </c>
      <c r="K1571" s="167" t="s">
        <v>1464</v>
      </c>
      <c r="L1571" s="167">
        <v>743</v>
      </c>
      <c r="M1571" s="168">
        <v>46099</v>
      </c>
      <c r="N1571" s="169" t="s">
        <v>2467</v>
      </c>
      <c r="O1571" s="162">
        <v>106</v>
      </c>
    </row>
    <row r="1572" spans="1:15" x14ac:dyDescent="0.25">
      <c r="A1572" s="154">
        <v>1572</v>
      </c>
      <c r="B1572" s="162" t="s">
        <v>2466</v>
      </c>
      <c r="C1572" s="163">
        <v>6074500</v>
      </c>
      <c r="D1572" s="164" t="s">
        <v>2422</v>
      </c>
      <c r="E1572" s="165">
        <v>49100</v>
      </c>
      <c r="F1572" s="165">
        <v>49100</v>
      </c>
      <c r="G1572" s="165">
        <v>0</v>
      </c>
      <c r="H1572" s="165">
        <v>0</v>
      </c>
      <c r="I1572" s="163"/>
      <c r="J1572" s="166">
        <v>0</v>
      </c>
      <c r="K1572" s="167" t="s">
        <v>1464</v>
      </c>
      <c r="L1572" s="167">
        <v>743</v>
      </c>
      <c r="M1572" s="168">
        <v>46099</v>
      </c>
      <c r="N1572" s="169" t="s">
        <v>2468</v>
      </c>
      <c r="O1572" s="162">
        <v>112</v>
      </c>
    </row>
    <row r="1573" spans="1:15" x14ac:dyDescent="0.25">
      <c r="A1573" s="154">
        <v>1573</v>
      </c>
      <c r="B1573" s="162" t="s">
        <v>2466</v>
      </c>
      <c r="C1573" s="163">
        <v>6074500</v>
      </c>
      <c r="D1573" s="164" t="s">
        <v>2422</v>
      </c>
      <c r="E1573" s="165">
        <v>13100</v>
      </c>
      <c r="F1573" s="165">
        <v>6550</v>
      </c>
      <c r="G1573" s="165">
        <v>6550</v>
      </c>
      <c r="H1573" s="165">
        <v>0</v>
      </c>
      <c r="I1573" s="163"/>
      <c r="J1573" s="166">
        <v>0</v>
      </c>
      <c r="K1573" s="167" t="s">
        <v>1464</v>
      </c>
      <c r="L1573" s="167">
        <v>743</v>
      </c>
      <c r="M1573" s="168">
        <v>46099</v>
      </c>
      <c r="N1573" s="169" t="s">
        <v>2469</v>
      </c>
      <c r="O1573" s="162">
        <v>206</v>
      </c>
    </row>
    <row r="1574" spans="1:15" x14ac:dyDescent="0.25">
      <c r="A1574" s="154">
        <v>1574</v>
      </c>
      <c r="B1574" s="162" t="s">
        <v>2470</v>
      </c>
      <c r="C1574" s="163">
        <v>5754410</v>
      </c>
      <c r="D1574" s="164" t="s">
        <v>2422</v>
      </c>
      <c r="E1574" s="165">
        <v>49900</v>
      </c>
      <c r="F1574" s="165">
        <v>17900</v>
      </c>
      <c r="G1574" s="165">
        <v>32000</v>
      </c>
      <c r="H1574" s="165">
        <v>0</v>
      </c>
      <c r="I1574" s="163"/>
      <c r="J1574" s="166">
        <v>0</v>
      </c>
      <c r="K1574" s="167" t="s">
        <v>1464</v>
      </c>
      <c r="L1574" s="167">
        <v>743</v>
      </c>
      <c r="M1574" s="168">
        <v>46099</v>
      </c>
      <c r="N1574" s="169" t="s">
        <v>2471</v>
      </c>
      <c r="O1574" s="162">
        <v>102</v>
      </c>
    </row>
    <row r="1575" spans="1:15" x14ac:dyDescent="0.25">
      <c r="A1575" s="154">
        <v>1575</v>
      </c>
      <c r="B1575" s="162" t="s">
        <v>2470</v>
      </c>
      <c r="C1575" s="163">
        <v>5754410</v>
      </c>
      <c r="D1575" s="164" t="s">
        <v>2422</v>
      </c>
      <c r="E1575" s="165">
        <v>430468</v>
      </c>
      <c r="F1575" s="165">
        <v>430468</v>
      </c>
      <c r="G1575" s="165">
        <v>0</v>
      </c>
      <c r="H1575" s="165">
        <v>0</v>
      </c>
      <c r="I1575" s="163"/>
      <c r="J1575" s="166">
        <v>0</v>
      </c>
      <c r="K1575" s="167" t="s">
        <v>1464</v>
      </c>
      <c r="L1575" s="167">
        <v>743</v>
      </c>
      <c r="M1575" s="168">
        <v>46099</v>
      </c>
      <c r="N1575" s="169" t="s">
        <v>2472</v>
      </c>
      <c r="O1575" s="162">
        <v>106</v>
      </c>
    </row>
    <row r="1576" spans="1:15" x14ac:dyDescent="0.25">
      <c r="A1576" s="154">
        <v>1576</v>
      </c>
      <c r="B1576" s="162" t="s">
        <v>2470</v>
      </c>
      <c r="C1576" s="163">
        <v>5754410</v>
      </c>
      <c r="D1576" s="164" t="s">
        <v>2422</v>
      </c>
      <c r="E1576" s="165">
        <v>57200</v>
      </c>
      <c r="F1576" s="165">
        <v>57200</v>
      </c>
      <c r="G1576" s="165">
        <v>0</v>
      </c>
      <c r="H1576" s="165">
        <v>0</v>
      </c>
      <c r="I1576" s="163"/>
      <c r="J1576" s="166">
        <v>0</v>
      </c>
      <c r="K1576" s="167" t="s">
        <v>1464</v>
      </c>
      <c r="L1576" s="167">
        <v>743</v>
      </c>
      <c r="M1576" s="168">
        <v>46099</v>
      </c>
      <c r="N1576" s="169" t="s">
        <v>2473</v>
      </c>
      <c r="O1576" s="162">
        <v>111</v>
      </c>
    </row>
    <row r="1577" spans="1:15" x14ac:dyDescent="0.25">
      <c r="A1577" s="154">
        <v>1577</v>
      </c>
      <c r="B1577" s="162" t="s">
        <v>2470</v>
      </c>
      <c r="C1577" s="163">
        <v>5754410</v>
      </c>
      <c r="D1577" s="164" t="s">
        <v>2422</v>
      </c>
      <c r="E1577" s="165">
        <v>8400</v>
      </c>
      <c r="F1577" s="165">
        <v>4200</v>
      </c>
      <c r="G1577" s="165">
        <v>4200</v>
      </c>
      <c r="H1577" s="165">
        <v>0</v>
      </c>
      <c r="I1577" s="163"/>
      <c r="J1577" s="166">
        <v>0</v>
      </c>
      <c r="K1577" s="167" t="s">
        <v>1464</v>
      </c>
      <c r="L1577" s="167">
        <v>743</v>
      </c>
      <c r="M1577" s="168">
        <v>46099</v>
      </c>
      <c r="N1577" s="169" t="s">
        <v>2474</v>
      </c>
      <c r="O1577" s="162">
        <v>207</v>
      </c>
    </row>
    <row r="1578" spans="1:15" x14ac:dyDescent="0.25">
      <c r="A1578" s="154">
        <v>1578</v>
      </c>
      <c r="B1578" s="162" t="s">
        <v>2470</v>
      </c>
      <c r="C1578" s="163">
        <v>5754410</v>
      </c>
      <c r="D1578" s="164" t="s">
        <v>2422</v>
      </c>
      <c r="E1578" s="165">
        <v>340800</v>
      </c>
      <c r="F1578" s="165">
        <v>0</v>
      </c>
      <c r="G1578" s="165">
        <v>340800</v>
      </c>
      <c r="H1578" s="165">
        <v>0</v>
      </c>
      <c r="I1578" s="163"/>
      <c r="J1578" s="166">
        <v>0</v>
      </c>
      <c r="K1578" s="167" t="s">
        <v>1464</v>
      </c>
      <c r="L1578" s="167">
        <v>743</v>
      </c>
      <c r="M1578" s="168">
        <v>46099</v>
      </c>
      <c r="N1578" s="169" t="s">
        <v>1501</v>
      </c>
      <c r="O1578" s="162">
        <v>601</v>
      </c>
    </row>
    <row r="1579" spans="1:15" x14ac:dyDescent="0.25">
      <c r="A1579" s="154">
        <v>1579</v>
      </c>
      <c r="B1579" s="162" t="s">
        <v>2470</v>
      </c>
      <c r="C1579" s="163">
        <v>5754410</v>
      </c>
      <c r="D1579" s="164" t="s">
        <v>2422</v>
      </c>
      <c r="E1579" s="165">
        <v>245000</v>
      </c>
      <c r="F1579" s="165">
        <v>87500</v>
      </c>
      <c r="G1579" s="165">
        <v>157500</v>
      </c>
      <c r="H1579" s="165">
        <v>0</v>
      </c>
      <c r="I1579" s="163"/>
      <c r="J1579" s="166">
        <v>0</v>
      </c>
      <c r="K1579" s="167" t="s">
        <v>1464</v>
      </c>
      <c r="L1579" s="167">
        <v>743</v>
      </c>
      <c r="M1579" s="168">
        <v>46099</v>
      </c>
      <c r="N1579" s="169" t="s">
        <v>2475</v>
      </c>
      <c r="O1579" s="162">
        <v>608</v>
      </c>
    </row>
    <row r="1580" spans="1:15" x14ac:dyDescent="0.25">
      <c r="A1580" s="154">
        <v>1580</v>
      </c>
      <c r="B1580" s="162" t="s">
        <v>2476</v>
      </c>
      <c r="C1580" s="163">
        <v>11135760</v>
      </c>
      <c r="D1580" s="164" t="s">
        <v>2422</v>
      </c>
      <c r="E1580" s="165">
        <v>265400</v>
      </c>
      <c r="F1580" s="165">
        <v>265400</v>
      </c>
      <c r="G1580" s="165">
        <v>0</v>
      </c>
      <c r="H1580" s="165">
        <v>0</v>
      </c>
      <c r="I1580" s="163"/>
      <c r="J1580" s="166">
        <v>0</v>
      </c>
      <c r="K1580" s="167" t="s">
        <v>1464</v>
      </c>
      <c r="L1580" s="167">
        <v>743</v>
      </c>
      <c r="M1580" s="168">
        <v>46099</v>
      </c>
      <c r="N1580" s="169" t="s">
        <v>2477</v>
      </c>
      <c r="O1580" s="162">
        <v>108</v>
      </c>
    </row>
    <row r="1581" spans="1:15" x14ac:dyDescent="0.25">
      <c r="A1581" s="154">
        <v>1581</v>
      </c>
      <c r="B1581" s="162" t="s">
        <v>2476</v>
      </c>
      <c r="C1581" s="163">
        <v>11135760</v>
      </c>
      <c r="D1581" s="164" t="s">
        <v>2422</v>
      </c>
      <c r="E1581" s="165">
        <v>28300</v>
      </c>
      <c r="F1581" s="165">
        <v>14150</v>
      </c>
      <c r="G1581" s="165">
        <v>14150</v>
      </c>
      <c r="H1581" s="165">
        <v>0</v>
      </c>
      <c r="I1581" s="163"/>
      <c r="J1581" s="166">
        <v>0</v>
      </c>
      <c r="K1581" s="167" t="s">
        <v>1464</v>
      </c>
      <c r="L1581" s="167">
        <v>743</v>
      </c>
      <c r="M1581" s="168">
        <v>46099</v>
      </c>
      <c r="N1581" s="169" t="s">
        <v>2478</v>
      </c>
      <c r="O1581" s="162">
        <v>206</v>
      </c>
    </row>
    <row r="1582" spans="1:15" x14ac:dyDescent="0.25">
      <c r="A1582" s="154">
        <v>1582</v>
      </c>
      <c r="B1582" s="162" t="s">
        <v>2479</v>
      </c>
      <c r="C1582" s="163">
        <v>6364205</v>
      </c>
      <c r="D1582" s="164" t="s">
        <v>2422</v>
      </c>
      <c r="E1582" s="165">
        <v>17900</v>
      </c>
      <c r="F1582" s="165">
        <v>17900</v>
      </c>
      <c r="G1582" s="165">
        <v>0</v>
      </c>
      <c r="H1582" s="165">
        <v>0</v>
      </c>
      <c r="I1582" s="163"/>
      <c r="J1582" s="166">
        <v>0</v>
      </c>
      <c r="K1582" s="167" t="s">
        <v>1464</v>
      </c>
      <c r="L1582" s="167">
        <v>743</v>
      </c>
      <c r="M1582" s="168">
        <v>46099</v>
      </c>
      <c r="N1582" s="169" t="s">
        <v>2480</v>
      </c>
      <c r="O1582" s="162">
        <v>102</v>
      </c>
    </row>
    <row r="1583" spans="1:15" x14ac:dyDescent="0.25">
      <c r="A1583" s="154">
        <v>1583</v>
      </c>
      <c r="B1583" s="162" t="s">
        <v>2479</v>
      </c>
      <c r="C1583" s="163">
        <v>6364205</v>
      </c>
      <c r="D1583" s="164" t="s">
        <v>2422</v>
      </c>
      <c r="E1583" s="165">
        <v>92300</v>
      </c>
      <c r="F1583" s="165">
        <v>92300</v>
      </c>
      <c r="G1583" s="165">
        <v>0</v>
      </c>
      <c r="H1583" s="165">
        <v>0</v>
      </c>
      <c r="I1583" s="163"/>
      <c r="J1583" s="166">
        <v>0</v>
      </c>
      <c r="K1583" s="167" t="s">
        <v>1464</v>
      </c>
      <c r="L1583" s="167">
        <v>743</v>
      </c>
      <c r="M1583" s="168">
        <v>46099</v>
      </c>
      <c r="N1583" s="169" t="s">
        <v>2481</v>
      </c>
      <c r="O1583" s="162">
        <v>106</v>
      </c>
    </row>
    <row r="1584" spans="1:15" x14ac:dyDescent="0.25">
      <c r="A1584" s="154">
        <v>1584</v>
      </c>
      <c r="B1584" s="162" t="s">
        <v>2479</v>
      </c>
      <c r="C1584" s="163">
        <v>6364205</v>
      </c>
      <c r="D1584" s="164" t="s">
        <v>2422</v>
      </c>
      <c r="E1584" s="165">
        <v>13500</v>
      </c>
      <c r="F1584" s="165">
        <v>6750</v>
      </c>
      <c r="G1584" s="165">
        <v>6750</v>
      </c>
      <c r="H1584" s="165">
        <v>0</v>
      </c>
      <c r="I1584" s="163"/>
      <c r="J1584" s="166">
        <v>0</v>
      </c>
      <c r="K1584" s="167" t="s">
        <v>1464</v>
      </c>
      <c r="L1584" s="167">
        <v>743</v>
      </c>
      <c r="M1584" s="168">
        <v>46099</v>
      </c>
      <c r="N1584" s="169" t="s">
        <v>2482</v>
      </c>
      <c r="O1584" s="162">
        <v>206</v>
      </c>
    </row>
    <row r="1585" spans="1:15" x14ac:dyDescent="0.25">
      <c r="A1585" s="154">
        <v>1585</v>
      </c>
      <c r="B1585" s="162" t="s">
        <v>2479</v>
      </c>
      <c r="C1585" s="163">
        <v>6364205</v>
      </c>
      <c r="D1585" s="164" t="s">
        <v>2422</v>
      </c>
      <c r="E1585" s="165">
        <v>108800</v>
      </c>
      <c r="F1585" s="165">
        <v>108800</v>
      </c>
      <c r="G1585" s="165">
        <v>0</v>
      </c>
      <c r="H1585" s="165">
        <v>0</v>
      </c>
      <c r="I1585" s="163"/>
      <c r="J1585" s="166">
        <v>0</v>
      </c>
      <c r="K1585" s="167" t="s">
        <v>1464</v>
      </c>
      <c r="L1585" s="167">
        <v>743</v>
      </c>
      <c r="M1585" s="168">
        <v>46099</v>
      </c>
      <c r="N1585" s="169" t="s">
        <v>2483</v>
      </c>
      <c r="O1585" s="162">
        <v>608</v>
      </c>
    </row>
    <row r="1586" spans="1:15" x14ac:dyDescent="0.25">
      <c r="A1586" s="154">
        <v>1586</v>
      </c>
      <c r="B1586" s="162" t="s">
        <v>2479</v>
      </c>
      <c r="C1586" s="163">
        <v>6364205</v>
      </c>
      <c r="D1586" s="164" t="s">
        <v>2422</v>
      </c>
      <c r="E1586" s="165">
        <v>32000</v>
      </c>
      <c r="F1586" s="165">
        <v>0</v>
      </c>
      <c r="G1586" s="165">
        <v>32000</v>
      </c>
      <c r="H1586" s="165">
        <v>0</v>
      </c>
      <c r="I1586" s="163"/>
      <c r="J1586" s="166">
        <v>0</v>
      </c>
      <c r="K1586" s="167" t="s">
        <v>1464</v>
      </c>
      <c r="L1586" s="167">
        <v>743</v>
      </c>
      <c r="M1586" s="168">
        <v>46099</v>
      </c>
      <c r="N1586" s="169" t="s">
        <v>1501</v>
      </c>
      <c r="O1586" s="162">
        <v>105</v>
      </c>
    </row>
    <row r="1587" spans="1:15" x14ac:dyDescent="0.25">
      <c r="A1587" s="154">
        <v>1587</v>
      </c>
      <c r="B1587" s="162" t="s">
        <v>2484</v>
      </c>
      <c r="C1587" s="163">
        <v>9161851</v>
      </c>
      <c r="D1587" s="164" t="s">
        <v>2422</v>
      </c>
      <c r="E1587" s="165">
        <v>145900</v>
      </c>
      <c r="F1587" s="165">
        <v>145900</v>
      </c>
      <c r="G1587" s="165">
        <v>0</v>
      </c>
      <c r="H1587" s="165">
        <v>0</v>
      </c>
      <c r="I1587" s="163"/>
      <c r="J1587" s="166">
        <v>0</v>
      </c>
      <c r="K1587" s="167" t="s">
        <v>1464</v>
      </c>
      <c r="L1587" s="167">
        <v>743</v>
      </c>
      <c r="M1587" s="168">
        <v>46099</v>
      </c>
      <c r="N1587" s="169" t="s">
        <v>2485</v>
      </c>
      <c r="O1587" s="162">
        <v>111</v>
      </c>
    </row>
    <row r="1588" spans="1:15" x14ac:dyDescent="0.25">
      <c r="A1588" s="154">
        <v>1588</v>
      </c>
      <c r="B1588" s="162" t="s">
        <v>2484</v>
      </c>
      <c r="C1588" s="163">
        <v>9161851</v>
      </c>
      <c r="D1588" s="164" t="s">
        <v>2422</v>
      </c>
      <c r="E1588" s="165">
        <v>23800</v>
      </c>
      <c r="F1588" s="165">
        <v>11900</v>
      </c>
      <c r="G1588" s="165">
        <v>11900</v>
      </c>
      <c r="H1588" s="165">
        <v>0</v>
      </c>
      <c r="I1588" s="163"/>
      <c r="J1588" s="166">
        <v>0</v>
      </c>
      <c r="K1588" s="167" t="s">
        <v>1464</v>
      </c>
      <c r="L1588" s="167">
        <v>743</v>
      </c>
      <c r="M1588" s="168">
        <v>46099</v>
      </c>
      <c r="N1588" s="169" t="s">
        <v>2486</v>
      </c>
      <c r="O1588" s="162">
        <v>206</v>
      </c>
    </row>
    <row r="1589" spans="1:15" x14ac:dyDescent="0.25">
      <c r="A1589" s="154">
        <v>1589</v>
      </c>
      <c r="B1589" s="162" t="s">
        <v>2484</v>
      </c>
      <c r="C1589" s="163">
        <v>9161851</v>
      </c>
      <c r="D1589" s="164" t="s">
        <v>2422</v>
      </c>
      <c r="E1589" s="165">
        <v>157432</v>
      </c>
      <c r="F1589" s="165">
        <v>0</v>
      </c>
      <c r="G1589" s="165">
        <v>157432</v>
      </c>
      <c r="H1589" s="165">
        <v>0</v>
      </c>
      <c r="I1589" s="163"/>
      <c r="J1589" s="166">
        <v>0</v>
      </c>
      <c r="K1589" s="167" t="s">
        <v>1464</v>
      </c>
      <c r="L1589" s="167">
        <v>743</v>
      </c>
      <c r="M1589" s="168">
        <v>46099</v>
      </c>
      <c r="N1589" s="169" t="s">
        <v>1501</v>
      </c>
      <c r="O1589" s="162">
        <v>608</v>
      </c>
    </row>
    <row r="1590" spans="1:15" x14ac:dyDescent="0.25">
      <c r="A1590" s="154">
        <v>1590</v>
      </c>
      <c r="B1590" s="162" t="s">
        <v>2487</v>
      </c>
      <c r="C1590" s="163">
        <v>11696013</v>
      </c>
      <c r="D1590" s="164" t="s">
        <v>2422</v>
      </c>
      <c r="E1590" s="165">
        <v>51700</v>
      </c>
      <c r="F1590" s="165">
        <v>0</v>
      </c>
      <c r="G1590" s="165">
        <v>51700</v>
      </c>
      <c r="H1590" s="165">
        <v>0</v>
      </c>
      <c r="I1590" s="163"/>
      <c r="J1590" s="166">
        <v>0</v>
      </c>
      <c r="K1590" s="167" t="s">
        <v>1464</v>
      </c>
      <c r="L1590" s="167">
        <v>743</v>
      </c>
      <c r="M1590" s="168">
        <v>46099</v>
      </c>
      <c r="N1590" s="169" t="s">
        <v>1501</v>
      </c>
      <c r="O1590" s="162">
        <v>527</v>
      </c>
    </row>
    <row r="1591" spans="1:15" x14ac:dyDescent="0.25">
      <c r="A1591" s="154">
        <v>1591</v>
      </c>
      <c r="B1591" s="162" t="s">
        <v>2487</v>
      </c>
      <c r="C1591" s="163">
        <v>11696013</v>
      </c>
      <c r="D1591" s="164" t="s">
        <v>2422</v>
      </c>
      <c r="E1591" s="165">
        <v>239450</v>
      </c>
      <c r="F1591" s="165">
        <v>119725</v>
      </c>
      <c r="G1591" s="165">
        <v>119725</v>
      </c>
      <c r="H1591" s="165">
        <v>0</v>
      </c>
      <c r="I1591" s="163"/>
      <c r="J1591" s="166">
        <v>0</v>
      </c>
      <c r="K1591" s="167" t="s">
        <v>1464</v>
      </c>
      <c r="L1591" s="167">
        <v>743</v>
      </c>
      <c r="M1591" s="168">
        <v>46099</v>
      </c>
      <c r="N1591" s="169" t="s">
        <v>2488</v>
      </c>
      <c r="O1591" s="162">
        <v>206</v>
      </c>
    </row>
    <row r="1592" spans="1:15" x14ac:dyDescent="0.25">
      <c r="A1592" s="154">
        <v>1592</v>
      </c>
      <c r="B1592" s="162" t="s">
        <v>2487</v>
      </c>
      <c r="C1592" s="163">
        <v>11696013</v>
      </c>
      <c r="D1592" s="164" t="s">
        <v>2422</v>
      </c>
      <c r="E1592" s="165">
        <v>52300</v>
      </c>
      <c r="F1592" s="165">
        <v>31700</v>
      </c>
      <c r="G1592" s="165">
        <v>20600</v>
      </c>
      <c r="H1592" s="165">
        <v>0</v>
      </c>
      <c r="I1592" s="163"/>
      <c r="J1592" s="166">
        <v>0</v>
      </c>
      <c r="K1592" s="167" t="s">
        <v>1464</v>
      </c>
      <c r="L1592" s="167">
        <v>743</v>
      </c>
      <c r="M1592" s="168">
        <v>46099</v>
      </c>
      <c r="N1592" s="169" t="s">
        <v>2489</v>
      </c>
      <c r="O1592" s="162">
        <v>112</v>
      </c>
    </row>
    <row r="1593" spans="1:15" x14ac:dyDescent="0.25">
      <c r="A1593" s="154">
        <v>1593</v>
      </c>
      <c r="B1593" s="162" t="s">
        <v>2487</v>
      </c>
      <c r="C1593" s="163">
        <v>11696013</v>
      </c>
      <c r="D1593" s="164" t="s">
        <v>2422</v>
      </c>
      <c r="E1593" s="165">
        <v>181700</v>
      </c>
      <c r="F1593" s="165">
        <v>181700</v>
      </c>
      <c r="G1593" s="165">
        <v>0</v>
      </c>
      <c r="H1593" s="165">
        <v>0</v>
      </c>
      <c r="I1593" s="163"/>
      <c r="J1593" s="166">
        <v>0</v>
      </c>
      <c r="K1593" s="167" t="s">
        <v>1464</v>
      </c>
      <c r="L1593" s="167">
        <v>743</v>
      </c>
      <c r="M1593" s="168">
        <v>46099</v>
      </c>
      <c r="N1593" s="169" t="s">
        <v>2490</v>
      </c>
      <c r="O1593" s="162">
        <v>108</v>
      </c>
    </row>
    <row r="1594" spans="1:15" x14ac:dyDescent="0.25">
      <c r="A1594" s="154">
        <v>1594</v>
      </c>
      <c r="B1594" s="162" t="s">
        <v>2487</v>
      </c>
      <c r="C1594" s="163">
        <v>11696013</v>
      </c>
      <c r="D1594" s="164" t="s">
        <v>2422</v>
      </c>
      <c r="E1594" s="165">
        <v>625500</v>
      </c>
      <c r="F1594" s="165">
        <v>0</v>
      </c>
      <c r="G1594" s="165">
        <v>625500</v>
      </c>
      <c r="H1594" s="165">
        <v>0</v>
      </c>
      <c r="I1594" s="163"/>
      <c r="J1594" s="166">
        <v>0</v>
      </c>
      <c r="K1594" s="167" t="s">
        <v>1464</v>
      </c>
      <c r="L1594" s="167">
        <v>743</v>
      </c>
      <c r="M1594" s="168">
        <v>46099</v>
      </c>
      <c r="N1594" s="169" t="s">
        <v>1501</v>
      </c>
      <c r="O1594" s="162">
        <v>608</v>
      </c>
    </row>
    <row r="1595" spans="1:15" x14ac:dyDescent="0.25">
      <c r="A1595" s="154">
        <v>1595</v>
      </c>
      <c r="B1595" s="162" t="s">
        <v>2487</v>
      </c>
      <c r="C1595" s="163">
        <v>11696013</v>
      </c>
      <c r="D1595" s="164" t="s">
        <v>2422</v>
      </c>
      <c r="E1595" s="165">
        <v>1866020</v>
      </c>
      <c r="F1595" s="165">
        <v>0</v>
      </c>
      <c r="G1595" s="165">
        <v>0</v>
      </c>
      <c r="H1595" s="165">
        <v>1866020</v>
      </c>
      <c r="I1595" s="163"/>
      <c r="J1595" s="166">
        <v>0</v>
      </c>
      <c r="K1595" s="167" t="s">
        <v>1464</v>
      </c>
      <c r="L1595" s="167">
        <v>743</v>
      </c>
      <c r="M1595" s="168">
        <v>46099</v>
      </c>
      <c r="N1595" s="169" t="s">
        <v>2491</v>
      </c>
      <c r="O1595" s="162">
        <v>112</v>
      </c>
    </row>
    <row r="1596" spans="1:15" x14ac:dyDescent="0.25">
      <c r="A1596" s="154">
        <v>1596</v>
      </c>
      <c r="B1596" s="162" t="s">
        <v>2492</v>
      </c>
      <c r="C1596" s="163">
        <v>90400</v>
      </c>
      <c r="D1596" s="164" t="s">
        <v>2422</v>
      </c>
      <c r="E1596" s="165">
        <v>90400</v>
      </c>
      <c r="F1596" s="165">
        <v>0</v>
      </c>
      <c r="G1596" s="165">
        <v>0</v>
      </c>
      <c r="H1596" s="165">
        <v>90400</v>
      </c>
      <c r="I1596" s="163"/>
      <c r="J1596" s="166">
        <v>0</v>
      </c>
      <c r="K1596" s="167" t="s">
        <v>1464</v>
      </c>
      <c r="L1596" s="167">
        <v>743</v>
      </c>
      <c r="M1596" s="168">
        <v>46099</v>
      </c>
      <c r="N1596" s="169" t="s">
        <v>2493</v>
      </c>
      <c r="O1596" s="162">
        <v>849</v>
      </c>
    </row>
    <row r="1597" spans="1:15" x14ac:dyDescent="0.25">
      <c r="A1597" s="154">
        <v>1597</v>
      </c>
      <c r="B1597" s="162" t="s">
        <v>2494</v>
      </c>
      <c r="C1597" s="163">
        <v>777495</v>
      </c>
      <c r="D1597" s="164" t="s">
        <v>2422</v>
      </c>
      <c r="E1597" s="165">
        <v>28800</v>
      </c>
      <c r="F1597" s="165">
        <v>14400</v>
      </c>
      <c r="G1597" s="165">
        <v>14400</v>
      </c>
      <c r="H1597" s="165">
        <v>0</v>
      </c>
      <c r="I1597" s="163"/>
      <c r="J1597" s="166">
        <v>0</v>
      </c>
      <c r="K1597" s="167" t="s">
        <v>1464</v>
      </c>
      <c r="L1597" s="167">
        <v>743</v>
      </c>
      <c r="M1597" s="168">
        <v>46099</v>
      </c>
      <c r="N1597" s="169" t="s">
        <v>2495</v>
      </c>
      <c r="O1597" s="162">
        <v>206</v>
      </c>
    </row>
    <row r="1598" spans="1:15" x14ac:dyDescent="0.25">
      <c r="A1598" s="154">
        <v>1598</v>
      </c>
      <c r="B1598" s="162" t="s">
        <v>2494</v>
      </c>
      <c r="C1598" s="163">
        <v>777495</v>
      </c>
      <c r="D1598" s="164" t="s">
        <v>2422</v>
      </c>
      <c r="E1598" s="165">
        <v>8195</v>
      </c>
      <c r="F1598" s="165">
        <v>4097</v>
      </c>
      <c r="G1598" s="165">
        <v>4098</v>
      </c>
      <c r="H1598" s="165">
        <v>0</v>
      </c>
      <c r="I1598" s="163"/>
      <c r="J1598" s="166">
        <v>0</v>
      </c>
      <c r="K1598" s="167" t="s">
        <v>1464</v>
      </c>
      <c r="L1598" s="167">
        <v>743</v>
      </c>
      <c r="M1598" s="168">
        <v>46099</v>
      </c>
      <c r="N1598" s="169" t="s">
        <v>2496</v>
      </c>
      <c r="O1598" s="162">
        <v>207</v>
      </c>
    </row>
    <row r="1599" spans="1:15" x14ac:dyDescent="0.25">
      <c r="A1599" s="154">
        <v>1599</v>
      </c>
      <c r="B1599" s="162" t="s">
        <v>2497</v>
      </c>
      <c r="C1599" s="163">
        <v>3071069</v>
      </c>
      <c r="D1599" s="164" t="s">
        <v>2422</v>
      </c>
      <c r="E1599" s="165">
        <v>16495</v>
      </c>
      <c r="F1599" s="165">
        <v>8247</v>
      </c>
      <c r="G1599" s="165">
        <v>8248</v>
      </c>
      <c r="H1599" s="165">
        <v>0</v>
      </c>
      <c r="I1599" s="163"/>
      <c r="J1599" s="166">
        <v>0</v>
      </c>
      <c r="K1599" s="167" t="s">
        <v>1464</v>
      </c>
      <c r="L1599" s="167">
        <v>743</v>
      </c>
      <c r="M1599" s="168">
        <v>46099</v>
      </c>
      <c r="N1599" s="169" t="s">
        <v>2498</v>
      </c>
      <c r="O1599" s="162">
        <v>206</v>
      </c>
    </row>
    <row r="1600" spans="1:15" x14ac:dyDescent="0.25">
      <c r="A1600" s="154">
        <v>1600</v>
      </c>
      <c r="B1600" s="162" t="s">
        <v>2497</v>
      </c>
      <c r="C1600" s="163">
        <v>3071069</v>
      </c>
      <c r="D1600" s="164" t="s">
        <v>2422</v>
      </c>
      <c r="E1600" s="165">
        <v>800</v>
      </c>
      <c r="F1600" s="165">
        <v>400</v>
      </c>
      <c r="G1600" s="165">
        <v>400</v>
      </c>
      <c r="H1600" s="165">
        <v>0</v>
      </c>
      <c r="I1600" s="163"/>
      <c r="J1600" s="166">
        <v>0</v>
      </c>
      <c r="K1600" s="167" t="s">
        <v>1464</v>
      </c>
      <c r="L1600" s="167">
        <v>743</v>
      </c>
      <c r="M1600" s="168">
        <v>46099</v>
      </c>
      <c r="N1600" s="169" t="s">
        <v>2499</v>
      </c>
      <c r="O1600" s="162">
        <v>207</v>
      </c>
    </row>
    <row r="1601" spans="1:15" x14ac:dyDescent="0.25">
      <c r="A1601" s="154">
        <v>1601</v>
      </c>
      <c r="B1601" s="162" t="s">
        <v>2497</v>
      </c>
      <c r="C1601" s="163">
        <v>3071069</v>
      </c>
      <c r="D1601" s="164" t="s">
        <v>2422</v>
      </c>
      <c r="E1601" s="165">
        <v>1002500</v>
      </c>
      <c r="F1601" s="165">
        <v>1002500</v>
      </c>
      <c r="G1601" s="165">
        <v>0</v>
      </c>
      <c r="H1601" s="165">
        <v>0</v>
      </c>
      <c r="I1601" s="163"/>
      <c r="J1601" s="166">
        <v>0</v>
      </c>
      <c r="K1601" s="167" t="s">
        <v>1464</v>
      </c>
      <c r="L1601" s="167">
        <v>743</v>
      </c>
      <c r="M1601" s="168">
        <v>46099</v>
      </c>
      <c r="N1601" s="169" t="s">
        <v>2500</v>
      </c>
      <c r="O1601" s="162">
        <v>608</v>
      </c>
    </row>
    <row r="1602" spans="1:15" x14ac:dyDescent="0.25">
      <c r="A1602" s="154">
        <v>1602</v>
      </c>
      <c r="B1602" s="162" t="s">
        <v>2501</v>
      </c>
      <c r="C1602" s="163">
        <v>7972945</v>
      </c>
      <c r="D1602" s="164" t="s">
        <v>2422</v>
      </c>
      <c r="E1602" s="165">
        <v>1365400</v>
      </c>
      <c r="F1602" s="165">
        <v>0</v>
      </c>
      <c r="G1602" s="165">
        <v>0</v>
      </c>
      <c r="H1602" s="165">
        <v>1365400</v>
      </c>
      <c r="I1602" s="163"/>
      <c r="J1602" s="166">
        <v>0</v>
      </c>
      <c r="K1602" s="167" t="s">
        <v>1464</v>
      </c>
      <c r="L1602" s="167">
        <v>743</v>
      </c>
      <c r="M1602" s="168">
        <v>46099</v>
      </c>
      <c r="N1602" s="169" t="s">
        <v>2502</v>
      </c>
      <c r="O1602" s="162">
        <v>109</v>
      </c>
    </row>
    <row r="1603" spans="1:15" x14ac:dyDescent="0.25">
      <c r="A1603" s="154">
        <v>1603</v>
      </c>
      <c r="B1603" s="162" t="s">
        <v>2501</v>
      </c>
      <c r="C1603" s="163">
        <v>7972945</v>
      </c>
      <c r="D1603" s="164" t="s">
        <v>2422</v>
      </c>
      <c r="E1603" s="165">
        <v>17900</v>
      </c>
      <c r="F1603" s="165">
        <v>17900</v>
      </c>
      <c r="G1603" s="165">
        <v>0</v>
      </c>
      <c r="H1603" s="165">
        <v>0</v>
      </c>
      <c r="I1603" s="163"/>
      <c r="J1603" s="166">
        <v>0</v>
      </c>
      <c r="K1603" s="167" t="s">
        <v>1464</v>
      </c>
      <c r="L1603" s="167">
        <v>743</v>
      </c>
      <c r="M1603" s="168">
        <v>46099</v>
      </c>
      <c r="N1603" s="169" t="s">
        <v>2503</v>
      </c>
      <c r="O1603" s="162">
        <v>102</v>
      </c>
    </row>
    <row r="1604" spans="1:15" x14ac:dyDescent="0.25">
      <c r="A1604" s="154">
        <v>1604</v>
      </c>
      <c r="B1604" s="162" t="s">
        <v>2501</v>
      </c>
      <c r="C1604" s="163">
        <v>7972945</v>
      </c>
      <c r="D1604" s="164" t="s">
        <v>2422</v>
      </c>
      <c r="E1604" s="165">
        <v>209900</v>
      </c>
      <c r="F1604" s="165">
        <v>209900</v>
      </c>
      <c r="G1604" s="165">
        <v>0</v>
      </c>
      <c r="H1604" s="165">
        <v>0</v>
      </c>
      <c r="I1604" s="163"/>
      <c r="J1604" s="166">
        <v>0</v>
      </c>
      <c r="K1604" s="167" t="s">
        <v>1464</v>
      </c>
      <c r="L1604" s="167">
        <v>743</v>
      </c>
      <c r="M1604" s="168">
        <v>46099</v>
      </c>
      <c r="N1604" s="169" t="s">
        <v>2504</v>
      </c>
      <c r="O1604" s="162">
        <v>108</v>
      </c>
    </row>
    <row r="1605" spans="1:15" x14ac:dyDescent="0.25">
      <c r="A1605" s="154">
        <v>1605</v>
      </c>
      <c r="B1605" s="162" t="s">
        <v>2501</v>
      </c>
      <c r="C1605" s="163">
        <v>7972945</v>
      </c>
      <c r="D1605" s="164" t="s">
        <v>2422</v>
      </c>
      <c r="E1605" s="165">
        <v>45600</v>
      </c>
      <c r="F1605" s="165">
        <v>22800</v>
      </c>
      <c r="G1605" s="165">
        <v>22800</v>
      </c>
      <c r="H1605" s="165">
        <v>0</v>
      </c>
      <c r="I1605" s="163"/>
      <c r="J1605" s="166">
        <v>0</v>
      </c>
      <c r="K1605" s="167" t="s">
        <v>1464</v>
      </c>
      <c r="L1605" s="167">
        <v>743</v>
      </c>
      <c r="M1605" s="168">
        <v>46099</v>
      </c>
      <c r="N1605" s="169" t="s">
        <v>2505</v>
      </c>
      <c r="O1605" s="162">
        <v>206</v>
      </c>
    </row>
    <row r="1606" spans="1:15" x14ac:dyDescent="0.25">
      <c r="A1606" s="154">
        <v>1606</v>
      </c>
      <c r="B1606" s="162" t="s">
        <v>2501</v>
      </c>
      <c r="C1606" s="163">
        <v>7972945</v>
      </c>
      <c r="D1606" s="164" t="s">
        <v>2422</v>
      </c>
      <c r="E1606" s="165">
        <v>79061</v>
      </c>
      <c r="F1606" s="165">
        <v>0</v>
      </c>
      <c r="G1606" s="165">
        <v>0</v>
      </c>
      <c r="H1606" s="165">
        <v>79061</v>
      </c>
      <c r="I1606" s="163"/>
      <c r="J1606" s="166">
        <v>0</v>
      </c>
      <c r="K1606" s="167" t="s">
        <v>1464</v>
      </c>
      <c r="L1606" s="167">
        <v>743</v>
      </c>
      <c r="M1606" s="168">
        <v>46099</v>
      </c>
      <c r="N1606" s="169" t="s">
        <v>2506</v>
      </c>
      <c r="O1606" s="162">
        <v>302</v>
      </c>
    </row>
    <row r="1607" spans="1:15" x14ac:dyDescent="0.25">
      <c r="A1607" s="154">
        <v>1607</v>
      </c>
      <c r="B1607" s="162" t="s">
        <v>2501</v>
      </c>
      <c r="C1607" s="163">
        <v>7972945</v>
      </c>
      <c r="D1607" s="164" t="s">
        <v>2422</v>
      </c>
      <c r="E1607" s="165">
        <v>598600</v>
      </c>
      <c r="F1607" s="165">
        <v>0</v>
      </c>
      <c r="G1607" s="165">
        <v>0</v>
      </c>
      <c r="H1607" s="165">
        <v>598600</v>
      </c>
      <c r="I1607" s="163"/>
      <c r="J1607" s="166">
        <v>0</v>
      </c>
      <c r="K1607" s="167" t="s">
        <v>1464</v>
      </c>
      <c r="L1607" s="167">
        <v>743</v>
      </c>
      <c r="M1607" s="168">
        <v>46099</v>
      </c>
      <c r="N1607" s="169" t="s">
        <v>2507</v>
      </c>
      <c r="O1607" s="162">
        <v>303</v>
      </c>
    </row>
    <row r="1608" spans="1:15" x14ac:dyDescent="0.25">
      <c r="A1608" s="154">
        <v>1608</v>
      </c>
      <c r="B1608" s="162" t="s">
        <v>2501</v>
      </c>
      <c r="C1608" s="163">
        <v>7972945</v>
      </c>
      <c r="D1608" s="164" t="s">
        <v>2422</v>
      </c>
      <c r="E1608" s="165">
        <v>234600</v>
      </c>
      <c r="F1608" s="165">
        <v>165100</v>
      </c>
      <c r="G1608" s="165">
        <v>69500</v>
      </c>
      <c r="H1608" s="165">
        <v>0</v>
      </c>
      <c r="I1608" s="163"/>
      <c r="J1608" s="166">
        <v>0</v>
      </c>
      <c r="K1608" s="167" t="s">
        <v>1464</v>
      </c>
      <c r="L1608" s="167">
        <v>743</v>
      </c>
      <c r="M1608" s="168">
        <v>46099</v>
      </c>
      <c r="N1608" s="169" t="s">
        <v>2508</v>
      </c>
      <c r="O1608" s="162">
        <v>608</v>
      </c>
    </row>
    <row r="1609" spans="1:15" x14ac:dyDescent="0.25">
      <c r="A1609" s="154">
        <v>1609</v>
      </c>
      <c r="B1609" s="162" t="s">
        <v>2501</v>
      </c>
      <c r="C1609" s="163">
        <v>7972945</v>
      </c>
      <c r="D1609" s="164" t="s">
        <v>2422</v>
      </c>
      <c r="E1609" s="165">
        <v>113600</v>
      </c>
      <c r="F1609" s="165">
        <v>77600</v>
      </c>
      <c r="G1609" s="165">
        <v>36000</v>
      </c>
      <c r="H1609" s="165">
        <v>0</v>
      </c>
      <c r="I1609" s="163"/>
      <c r="J1609" s="166">
        <v>0</v>
      </c>
      <c r="K1609" s="167" t="s">
        <v>1464</v>
      </c>
      <c r="L1609" s="167">
        <v>743</v>
      </c>
      <c r="M1609" s="168">
        <v>46099</v>
      </c>
      <c r="N1609" s="169" t="s">
        <v>2509</v>
      </c>
      <c r="O1609" s="162">
        <v>606</v>
      </c>
    </row>
    <row r="1610" spans="1:15" x14ac:dyDescent="0.25">
      <c r="A1610" s="154">
        <v>1610</v>
      </c>
      <c r="B1610" s="162" t="s">
        <v>2510</v>
      </c>
      <c r="C1610" s="163">
        <v>313100</v>
      </c>
      <c r="D1610" s="164" t="s">
        <v>2422</v>
      </c>
      <c r="E1610" s="165">
        <v>400</v>
      </c>
      <c r="F1610" s="165">
        <v>200</v>
      </c>
      <c r="G1610" s="165">
        <v>200</v>
      </c>
      <c r="H1610" s="165">
        <v>0</v>
      </c>
      <c r="I1610" s="163"/>
      <c r="J1610" s="166">
        <v>0</v>
      </c>
      <c r="K1610" s="167" t="s">
        <v>1464</v>
      </c>
      <c r="L1610" s="167">
        <v>743</v>
      </c>
      <c r="M1610" s="168">
        <v>46099</v>
      </c>
      <c r="N1610" s="169" t="s">
        <v>2511</v>
      </c>
      <c r="O1610" s="162">
        <v>206</v>
      </c>
    </row>
    <row r="1611" spans="1:15" x14ac:dyDescent="0.25">
      <c r="A1611" s="154">
        <v>1611</v>
      </c>
      <c r="B1611" s="162" t="s">
        <v>2510</v>
      </c>
      <c r="C1611" s="163">
        <v>313100</v>
      </c>
      <c r="D1611" s="164" t="s">
        <v>2422</v>
      </c>
      <c r="E1611" s="165">
        <v>69700</v>
      </c>
      <c r="F1611" s="165">
        <v>0</v>
      </c>
      <c r="G1611" s="165">
        <v>69700</v>
      </c>
      <c r="H1611" s="165">
        <v>0</v>
      </c>
      <c r="I1611" s="163"/>
      <c r="J1611" s="166">
        <v>0</v>
      </c>
      <c r="K1611" s="167" t="s">
        <v>1464</v>
      </c>
      <c r="L1611" s="167">
        <v>743</v>
      </c>
      <c r="M1611" s="168">
        <v>46099</v>
      </c>
      <c r="N1611" s="169" t="s">
        <v>1501</v>
      </c>
      <c r="O1611" s="162">
        <v>608</v>
      </c>
    </row>
    <row r="1612" spans="1:15" x14ac:dyDescent="0.25">
      <c r="A1612" s="154">
        <v>1612</v>
      </c>
      <c r="B1612" s="162" t="s">
        <v>2512</v>
      </c>
      <c r="C1612" s="163">
        <v>2373100</v>
      </c>
      <c r="D1612" s="164" t="s">
        <v>2422</v>
      </c>
      <c r="E1612" s="165">
        <v>3800</v>
      </c>
      <c r="F1612" s="165">
        <v>3800</v>
      </c>
      <c r="G1612" s="165">
        <v>0</v>
      </c>
      <c r="H1612" s="165">
        <v>0</v>
      </c>
      <c r="I1612" s="163"/>
      <c r="J1612" s="166">
        <v>0</v>
      </c>
      <c r="K1612" s="167" t="s">
        <v>1464</v>
      </c>
      <c r="L1612" s="167">
        <v>743</v>
      </c>
      <c r="M1612" s="168">
        <v>46099</v>
      </c>
      <c r="N1612" s="169" t="s">
        <v>2513</v>
      </c>
      <c r="O1612" s="162">
        <v>204</v>
      </c>
    </row>
    <row r="1613" spans="1:15" x14ac:dyDescent="0.25">
      <c r="A1613" s="154">
        <v>1613</v>
      </c>
      <c r="B1613" s="162" t="s">
        <v>2512</v>
      </c>
      <c r="C1613" s="163">
        <v>2373100</v>
      </c>
      <c r="D1613" s="164" t="s">
        <v>2422</v>
      </c>
      <c r="E1613" s="165">
        <v>98400</v>
      </c>
      <c r="F1613" s="165">
        <v>98400</v>
      </c>
      <c r="G1613" s="165">
        <v>0</v>
      </c>
      <c r="H1613" s="165">
        <v>0</v>
      </c>
      <c r="I1613" s="163"/>
      <c r="J1613" s="166">
        <v>0</v>
      </c>
      <c r="K1613" s="167" t="s">
        <v>1464</v>
      </c>
      <c r="L1613" s="167">
        <v>743</v>
      </c>
      <c r="M1613" s="168">
        <v>46099</v>
      </c>
      <c r="N1613" s="169" t="s">
        <v>2514</v>
      </c>
      <c r="O1613" s="162">
        <v>608</v>
      </c>
    </row>
    <row r="1614" spans="1:15" x14ac:dyDescent="0.25">
      <c r="A1614" s="154">
        <v>1614</v>
      </c>
      <c r="B1614" s="162" t="s">
        <v>2512</v>
      </c>
      <c r="C1614" s="163">
        <v>2373100</v>
      </c>
      <c r="D1614" s="164" t="s">
        <v>2422</v>
      </c>
      <c r="E1614" s="165">
        <v>1002500</v>
      </c>
      <c r="F1614" s="165">
        <v>1002500</v>
      </c>
      <c r="G1614" s="165">
        <v>0</v>
      </c>
      <c r="H1614" s="165">
        <v>0</v>
      </c>
      <c r="I1614" s="163"/>
      <c r="J1614" s="166">
        <v>0</v>
      </c>
      <c r="K1614" s="167" t="s">
        <v>1464</v>
      </c>
      <c r="L1614" s="167">
        <v>743</v>
      </c>
      <c r="M1614" s="168">
        <v>46099</v>
      </c>
      <c r="N1614" s="169" t="s">
        <v>2515</v>
      </c>
      <c r="O1614" s="162">
        <v>608</v>
      </c>
    </row>
    <row r="1615" spans="1:15" x14ac:dyDescent="0.25">
      <c r="A1615" s="154">
        <v>1615</v>
      </c>
      <c r="B1615" s="162" t="s">
        <v>2516</v>
      </c>
      <c r="C1615" s="163">
        <v>1825995</v>
      </c>
      <c r="D1615" s="164" t="s">
        <v>2422</v>
      </c>
      <c r="E1615" s="165">
        <v>11995</v>
      </c>
      <c r="F1615" s="165">
        <v>5997</v>
      </c>
      <c r="G1615" s="165">
        <v>5998</v>
      </c>
      <c r="H1615" s="165">
        <v>0</v>
      </c>
      <c r="I1615" s="163"/>
      <c r="J1615" s="166">
        <v>0</v>
      </c>
      <c r="K1615" s="167" t="s">
        <v>1464</v>
      </c>
      <c r="L1615" s="167">
        <v>743</v>
      </c>
      <c r="M1615" s="168">
        <v>46099</v>
      </c>
      <c r="N1615" s="169" t="s">
        <v>2517</v>
      </c>
      <c r="O1615" s="162">
        <v>207</v>
      </c>
    </row>
    <row r="1616" spans="1:15" x14ac:dyDescent="0.25">
      <c r="A1616" s="154">
        <v>1616</v>
      </c>
      <c r="B1616" s="162" t="s">
        <v>2518</v>
      </c>
      <c r="C1616" s="163">
        <v>11253610</v>
      </c>
      <c r="D1616" s="164" t="s">
        <v>2422</v>
      </c>
      <c r="E1616" s="165">
        <v>32000</v>
      </c>
      <c r="F1616" s="165">
        <v>0</v>
      </c>
      <c r="G1616" s="165">
        <v>32000</v>
      </c>
      <c r="H1616" s="165">
        <v>0</v>
      </c>
      <c r="I1616" s="163"/>
      <c r="J1616" s="166">
        <v>0</v>
      </c>
      <c r="K1616" s="167" t="s">
        <v>1464</v>
      </c>
      <c r="L1616" s="167">
        <v>743</v>
      </c>
      <c r="M1616" s="168">
        <v>46099</v>
      </c>
      <c r="N1616" s="169" t="s">
        <v>1501</v>
      </c>
      <c r="O1616" s="162">
        <v>102</v>
      </c>
    </row>
    <row r="1617" spans="1:15" x14ac:dyDescent="0.25">
      <c r="A1617" s="154">
        <v>1617</v>
      </c>
      <c r="B1617" s="162" t="s">
        <v>2518</v>
      </c>
      <c r="C1617" s="163">
        <v>11253610</v>
      </c>
      <c r="D1617" s="164" t="s">
        <v>2422</v>
      </c>
      <c r="E1617" s="165">
        <v>60400</v>
      </c>
      <c r="F1617" s="165">
        <v>60400</v>
      </c>
      <c r="G1617" s="165">
        <v>0</v>
      </c>
      <c r="H1617" s="165">
        <v>0</v>
      </c>
      <c r="I1617" s="163"/>
      <c r="J1617" s="166">
        <v>0</v>
      </c>
      <c r="K1617" s="167" t="s">
        <v>1464</v>
      </c>
      <c r="L1617" s="167">
        <v>743</v>
      </c>
      <c r="M1617" s="168">
        <v>46099</v>
      </c>
      <c r="N1617" s="169" t="s">
        <v>2519</v>
      </c>
      <c r="O1617" s="162">
        <v>106</v>
      </c>
    </row>
    <row r="1618" spans="1:15" x14ac:dyDescent="0.25">
      <c r="A1618" s="154">
        <v>1618</v>
      </c>
      <c r="B1618" s="162" t="s">
        <v>2518</v>
      </c>
      <c r="C1618" s="163">
        <v>11253610</v>
      </c>
      <c r="D1618" s="164" t="s">
        <v>2422</v>
      </c>
      <c r="E1618" s="165">
        <v>351800</v>
      </c>
      <c r="F1618" s="165">
        <v>351800</v>
      </c>
      <c r="G1618" s="165">
        <v>0</v>
      </c>
      <c r="H1618" s="165">
        <v>0</v>
      </c>
      <c r="I1618" s="163"/>
      <c r="J1618" s="166">
        <v>0</v>
      </c>
      <c r="K1618" s="167" t="s">
        <v>1464</v>
      </c>
      <c r="L1618" s="167">
        <v>743</v>
      </c>
      <c r="M1618" s="168">
        <v>46099</v>
      </c>
      <c r="N1618" s="169" t="s">
        <v>2520</v>
      </c>
      <c r="O1618" s="162">
        <v>607</v>
      </c>
    </row>
    <row r="1619" spans="1:15" x14ac:dyDescent="0.25">
      <c r="A1619" s="154">
        <v>1619</v>
      </c>
      <c r="B1619" s="162" t="s">
        <v>2518</v>
      </c>
      <c r="C1619" s="163">
        <v>11253610</v>
      </c>
      <c r="D1619" s="164" t="s">
        <v>2422</v>
      </c>
      <c r="E1619" s="165">
        <v>10400</v>
      </c>
      <c r="F1619" s="165">
        <v>0</v>
      </c>
      <c r="G1619" s="165">
        <v>10400</v>
      </c>
      <c r="H1619" s="165">
        <v>0</v>
      </c>
      <c r="I1619" s="163"/>
      <c r="J1619" s="166">
        <v>0</v>
      </c>
      <c r="K1619" s="167" t="s">
        <v>1464</v>
      </c>
      <c r="L1619" s="167">
        <v>743</v>
      </c>
      <c r="M1619" s="168">
        <v>46099</v>
      </c>
      <c r="N1619" s="169" t="s">
        <v>1501</v>
      </c>
      <c r="O1619" s="162">
        <v>608</v>
      </c>
    </row>
    <row r="1620" spans="1:15" x14ac:dyDescent="0.25">
      <c r="A1620" s="154">
        <v>1620</v>
      </c>
      <c r="B1620" s="162" t="s">
        <v>2518</v>
      </c>
      <c r="C1620" s="163">
        <v>11253610</v>
      </c>
      <c r="D1620" s="164" t="s">
        <v>2422</v>
      </c>
      <c r="E1620" s="165">
        <v>719200</v>
      </c>
      <c r="F1620" s="165">
        <v>619900</v>
      </c>
      <c r="G1620" s="165">
        <v>99300</v>
      </c>
      <c r="H1620" s="165">
        <v>0</v>
      </c>
      <c r="I1620" s="163"/>
      <c r="J1620" s="166">
        <v>0</v>
      </c>
      <c r="K1620" s="167" t="s">
        <v>1464</v>
      </c>
      <c r="L1620" s="167">
        <v>743</v>
      </c>
      <c r="M1620" s="168">
        <v>46099</v>
      </c>
      <c r="N1620" s="169" t="s">
        <v>2521</v>
      </c>
      <c r="O1620" s="162">
        <v>608</v>
      </c>
    </row>
    <row r="1621" spans="1:15" x14ac:dyDescent="0.25">
      <c r="A1621" s="154">
        <v>1621</v>
      </c>
      <c r="B1621" s="162" t="s">
        <v>2518</v>
      </c>
      <c r="C1621" s="163">
        <v>11253610</v>
      </c>
      <c r="D1621" s="164" t="s">
        <v>2422</v>
      </c>
      <c r="E1621" s="165">
        <v>2692000</v>
      </c>
      <c r="F1621" s="165">
        <v>2371000</v>
      </c>
      <c r="G1621" s="165">
        <v>321000</v>
      </c>
      <c r="H1621" s="165">
        <v>0</v>
      </c>
      <c r="I1621" s="163"/>
      <c r="J1621" s="166">
        <v>0</v>
      </c>
      <c r="K1621" s="167" t="s">
        <v>1464</v>
      </c>
      <c r="L1621" s="167">
        <v>743</v>
      </c>
      <c r="M1621" s="168">
        <v>46099</v>
      </c>
      <c r="N1621" s="169" t="s">
        <v>2522</v>
      </c>
      <c r="O1621" s="162">
        <v>608</v>
      </c>
    </row>
    <row r="1622" spans="1:15" x14ac:dyDescent="0.25">
      <c r="A1622" s="154">
        <v>1622</v>
      </c>
      <c r="B1622" s="162" t="s">
        <v>2523</v>
      </c>
      <c r="C1622" s="163">
        <v>588295</v>
      </c>
      <c r="D1622" s="164" t="s">
        <v>2422</v>
      </c>
      <c r="E1622" s="165">
        <v>5700</v>
      </c>
      <c r="F1622" s="165">
        <v>2850</v>
      </c>
      <c r="G1622" s="165">
        <v>2850</v>
      </c>
      <c r="H1622" s="165">
        <v>0</v>
      </c>
      <c r="I1622" s="163"/>
      <c r="J1622" s="166">
        <v>0</v>
      </c>
      <c r="K1622" s="167" t="s">
        <v>1464</v>
      </c>
      <c r="L1622" s="167">
        <v>743</v>
      </c>
      <c r="M1622" s="168">
        <v>46099</v>
      </c>
      <c r="N1622" s="169" t="s">
        <v>2524</v>
      </c>
      <c r="O1622" s="162">
        <v>207</v>
      </c>
    </row>
    <row r="1623" spans="1:15" x14ac:dyDescent="0.25">
      <c r="A1623" s="154">
        <v>1623</v>
      </c>
      <c r="B1623" s="162" t="s">
        <v>2523</v>
      </c>
      <c r="C1623" s="163">
        <v>588295</v>
      </c>
      <c r="D1623" s="164" t="s">
        <v>2422</v>
      </c>
      <c r="E1623" s="165">
        <v>29645</v>
      </c>
      <c r="F1623" s="165">
        <v>14822</v>
      </c>
      <c r="G1623" s="165">
        <v>14823</v>
      </c>
      <c r="H1623" s="165">
        <v>0</v>
      </c>
      <c r="I1623" s="163"/>
      <c r="J1623" s="166">
        <v>0</v>
      </c>
      <c r="K1623" s="167" t="s">
        <v>1464</v>
      </c>
      <c r="L1623" s="167">
        <v>743</v>
      </c>
      <c r="M1623" s="168">
        <v>46099</v>
      </c>
      <c r="N1623" s="169" t="s">
        <v>2525</v>
      </c>
      <c r="O1623" s="162">
        <v>208</v>
      </c>
    </row>
    <row r="1624" spans="1:15" x14ac:dyDescent="0.25">
      <c r="A1624" s="154">
        <v>1624</v>
      </c>
      <c r="B1624" s="162" t="s">
        <v>2526</v>
      </c>
      <c r="C1624" s="163">
        <v>1420000</v>
      </c>
      <c r="D1624" s="164" t="s">
        <v>2422</v>
      </c>
      <c r="E1624" s="165">
        <v>965669</v>
      </c>
      <c r="F1624" s="165">
        <v>965669</v>
      </c>
      <c r="G1624" s="165">
        <v>0</v>
      </c>
      <c r="H1624" s="165">
        <v>0</v>
      </c>
      <c r="I1624" s="163"/>
      <c r="J1624" s="166">
        <v>965669</v>
      </c>
      <c r="K1624" s="167" t="s">
        <v>1466</v>
      </c>
      <c r="L1624" s="167">
        <v>743</v>
      </c>
      <c r="M1624" s="168">
        <v>46099</v>
      </c>
      <c r="N1624" s="169" t="s">
        <v>2527</v>
      </c>
      <c r="O1624" s="162">
        <v>112</v>
      </c>
    </row>
    <row r="1625" spans="1:15" x14ac:dyDescent="0.25">
      <c r="A1625" s="154">
        <v>1625</v>
      </c>
      <c r="B1625" s="162" t="s">
        <v>2528</v>
      </c>
      <c r="C1625" s="163">
        <v>9601246</v>
      </c>
      <c r="D1625" s="164" t="s">
        <v>2422</v>
      </c>
      <c r="E1625" s="165">
        <v>1787500</v>
      </c>
      <c r="F1625" s="165">
        <v>1136400</v>
      </c>
      <c r="G1625" s="165">
        <v>651100</v>
      </c>
      <c r="H1625" s="165">
        <v>0</v>
      </c>
      <c r="I1625" s="163"/>
      <c r="J1625" s="166">
        <v>0</v>
      </c>
      <c r="K1625" s="167" t="s">
        <v>1464</v>
      </c>
      <c r="L1625" s="167">
        <v>743</v>
      </c>
      <c r="M1625" s="168">
        <v>46099</v>
      </c>
      <c r="N1625" s="169" t="s">
        <v>2529</v>
      </c>
      <c r="O1625" s="162">
        <v>608</v>
      </c>
    </row>
    <row r="1626" spans="1:15" x14ac:dyDescent="0.25">
      <c r="A1626" s="154">
        <v>1626</v>
      </c>
      <c r="B1626" s="162" t="s">
        <v>2528</v>
      </c>
      <c r="C1626" s="163">
        <v>9601246</v>
      </c>
      <c r="D1626" s="164" t="s">
        <v>2422</v>
      </c>
      <c r="E1626" s="165">
        <v>77300</v>
      </c>
      <c r="F1626" s="165">
        <v>77300</v>
      </c>
      <c r="G1626" s="165">
        <v>0</v>
      </c>
      <c r="H1626" s="165">
        <v>0</v>
      </c>
      <c r="I1626" s="163"/>
      <c r="J1626" s="166">
        <v>0</v>
      </c>
      <c r="K1626" s="167" t="s">
        <v>1464</v>
      </c>
      <c r="L1626" s="167">
        <v>743</v>
      </c>
      <c r="M1626" s="168">
        <v>46099</v>
      </c>
      <c r="N1626" s="169" t="s">
        <v>2530</v>
      </c>
      <c r="O1626" s="162">
        <v>108</v>
      </c>
    </row>
    <row r="1627" spans="1:15" x14ac:dyDescent="0.25">
      <c r="A1627" s="154">
        <v>1627</v>
      </c>
      <c r="B1627" s="162" t="s">
        <v>2528</v>
      </c>
      <c r="C1627" s="163">
        <v>9601246</v>
      </c>
      <c r="D1627" s="164" t="s">
        <v>2422</v>
      </c>
      <c r="E1627" s="165">
        <v>61200</v>
      </c>
      <c r="F1627" s="165">
        <v>0</v>
      </c>
      <c r="G1627" s="165">
        <v>61200</v>
      </c>
      <c r="H1627" s="165">
        <v>0</v>
      </c>
      <c r="I1627" s="163"/>
      <c r="J1627" s="166">
        <v>0</v>
      </c>
      <c r="K1627" s="167" t="s">
        <v>1464</v>
      </c>
      <c r="L1627" s="167">
        <v>743</v>
      </c>
      <c r="M1627" s="168">
        <v>46099</v>
      </c>
      <c r="N1627" s="169" t="s">
        <v>1501</v>
      </c>
      <c r="O1627" s="162">
        <v>102</v>
      </c>
    </row>
    <row r="1628" spans="1:15" x14ac:dyDescent="0.25">
      <c r="A1628" s="154">
        <v>1628</v>
      </c>
      <c r="B1628" s="162" t="s">
        <v>2528</v>
      </c>
      <c r="C1628" s="163">
        <v>9601246</v>
      </c>
      <c r="D1628" s="164" t="s">
        <v>2422</v>
      </c>
      <c r="E1628" s="165">
        <v>624700</v>
      </c>
      <c r="F1628" s="165">
        <v>0</v>
      </c>
      <c r="G1628" s="165">
        <v>624700</v>
      </c>
      <c r="H1628" s="165">
        <v>0</v>
      </c>
      <c r="I1628" s="163"/>
      <c r="J1628" s="166">
        <v>0</v>
      </c>
      <c r="K1628" s="167" t="s">
        <v>1464</v>
      </c>
      <c r="L1628" s="167">
        <v>743</v>
      </c>
      <c r="M1628" s="168">
        <v>46099</v>
      </c>
      <c r="N1628" s="169" t="s">
        <v>1501</v>
      </c>
      <c r="O1628" s="162">
        <v>607</v>
      </c>
    </row>
    <row r="1629" spans="1:15" x14ac:dyDescent="0.25">
      <c r="A1629" s="154">
        <v>1629</v>
      </c>
      <c r="B1629" s="162" t="s">
        <v>2528</v>
      </c>
      <c r="C1629" s="163">
        <v>9601246</v>
      </c>
      <c r="D1629" s="164" t="s">
        <v>2422</v>
      </c>
      <c r="E1629" s="165">
        <v>24200</v>
      </c>
      <c r="F1629" s="165">
        <v>12100</v>
      </c>
      <c r="G1629" s="165">
        <v>12100</v>
      </c>
      <c r="H1629" s="165">
        <v>0</v>
      </c>
      <c r="I1629" s="163"/>
      <c r="J1629" s="166">
        <v>0</v>
      </c>
      <c r="K1629" s="167" t="s">
        <v>1464</v>
      </c>
      <c r="L1629" s="167">
        <v>743</v>
      </c>
      <c r="M1629" s="168">
        <v>46099</v>
      </c>
      <c r="N1629" s="169" t="s">
        <v>2531</v>
      </c>
      <c r="O1629" s="162">
        <v>206</v>
      </c>
    </row>
    <row r="1630" spans="1:15" x14ac:dyDescent="0.25">
      <c r="A1630" s="154">
        <v>1630</v>
      </c>
      <c r="B1630" s="162" t="s">
        <v>2532</v>
      </c>
      <c r="C1630" s="163">
        <v>32749188</v>
      </c>
      <c r="D1630" s="164" t="s">
        <v>2533</v>
      </c>
      <c r="E1630" s="165">
        <v>1979681</v>
      </c>
      <c r="F1630" s="165">
        <v>0</v>
      </c>
      <c r="G1630" s="165">
        <v>0</v>
      </c>
      <c r="H1630" s="165">
        <v>1979681</v>
      </c>
      <c r="I1630" s="163"/>
      <c r="J1630" s="166"/>
      <c r="K1630" s="167"/>
      <c r="L1630" s="167">
        <v>747</v>
      </c>
      <c r="M1630" s="168">
        <v>46098</v>
      </c>
      <c r="N1630" s="169" t="s">
        <v>2534</v>
      </c>
      <c r="O1630" s="162">
        <v>120</v>
      </c>
    </row>
    <row r="1631" spans="1:15" x14ac:dyDescent="0.25">
      <c r="A1631" s="154">
        <v>1631</v>
      </c>
      <c r="B1631" s="162" t="s">
        <v>2535</v>
      </c>
      <c r="C1631" s="163">
        <v>13612888</v>
      </c>
      <c r="D1631" s="164" t="s">
        <v>2533</v>
      </c>
      <c r="E1631" s="165">
        <v>12916760</v>
      </c>
      <c r="F1631" s="165">
        <v>0</v>
      </c>
      <c r="G1631" s="165">
        <v>12916760</v>
      </c>
      <c r="H1631" s="165">
        <v>0</v>
      </c>
      <c r="I1631" s="163"/>
      <c r="J1631" s="166"/>
      <c r="K1631" s="167"/>
      <c r="L1631" s="167">
        <v>747</v>
      </c>
      <c r="M1631" s="168">
        <v>46098</v>
      </c>
      <c r="N1631" s="169" t="s">
        <v>1829</v>
      </c>
      <c r="O1631" s="162" t="s">
        <v>1865</v>
      </c>
    </row>
    <row r="1632" spans="1:15" x14ac:dyDescent="0.25">
      <c r="A1632" s="154">
        <v>1632</v>
      </c>
      <c r="B1632" s="162" t="s">
        <v>2536</v>
      </c>
      <c r="C1632" s="163">
        <v>956900</v>
      </c>
      <c r="D1632" s="164" t="s">
        <v>2533</v>
      </c>
      <c r="E1632" s="165">
        <v>170800</v>
      </c>
      <c r="F1632" s="165">
        <v>0</v>
      </c>
      <c r="G1632" s="165">
        <v>0</v>
      </c>
      <c r="H1632" s="165">
        <v>170800</v>
      </c>
      <c r="I1632" s="163"/>
      <c r="J1632" s="166"/>
      <c r="K1632" s="167"/>
      <c r="L1632" s="167">
        <v>747</v>
      </c>
      <c r="M1632" s="168">
        <v>46098</v>
      </c>
      <c r="N1632" s="169" t="s">
        <v>2537</v>
      </c>
      <c r="O1632" s="162" t="s">
        <v>2290</v>
      </c>
    </row>
    <row r="1633" spans="1:15" x14ac:dyDescent="0.25">
      <c r="A1633" s="154">
        <v>1633</v>
      </c>
      <c r="B1633" s="162" t="s">
        <v>2538</v>
      </c>
      <c r="C1633" s="163">
        <v>1478400</v>
      </c>
      <c r="D1633" s="164" t="s">
        <v>2533</v>
      </c>
      <c r="E1633" s="165">
        <v>170800</v>
      </c>
      <c r="F1633" s="165">
        <v>0</v>
      </c>
      <c r="G1633" s="165">
        <v>0</v>
      </c>
      <c r="H1633" s="165">
        <v>170800</v>
      </c>
      <c r="I1633" s="163"/>
      <c r="J1633" s="166"/>
      <c r="K1633" s="167"/>
      <c r="L1633" s="167">
        <v>747</v>
      </c>
      <c r="M1633" s="168">
        <v>46098</v>
      </c>
      <c r="N1633" s="169" t="s">
        <v>2537</v>
      </c>
      <c r="O1633" s="162" t="s">
        <v>194</v>
      </c>
    </row>
    <row r="1634" spans="1:15" x14ac:dyDescent="0.25">
      <c r="A1634" s="154">
        <v>1634</v>
      </c>
      <c r="B1634" s="162" t="s">
        <v>2539</v>
      </c>
      <c r="C1634" s="163">
        <v>1478400</v>
      </c>
      <c r="D1634" s="164" t="s">
        <v>2533</v>
      </c>
      <c r="E1634" s="165">
        <v>170800</v>
      </c>
      <c r="F1634" s="165">
        <v>0</v>
      </c>
      <c r="G1634" s="165">
        <v>0</v>
      </c>
      <c r="H1634" s="165">
        <v>170800</v>
      </c>
      <c r="I1634" s="163"/>
      <c r="J1634" s="166"/>
      <c r="K1634" s="167"/>
      <c r="L1634" s="167">
        <v>747</v>
      </c>
      <c r="M1634" s="168">
        <v>46098</v>
      </c>
      <c r="N1634" s="169" t="s">
        <v>2537</v>
      </c>
      <c r="O1634" s="162" t="s">
        <v>194</v>
      </c>
    </row>
    <row r="1635" spans="1:15" x14ac:dyDescent="0.25">
      <c r="A1635" s="154">
        <v>1635</v>
      </c>
      <c r="B1635" s="162" t="s">
        <v>2540</v>
      </c>
      <c r="C1635" s="163">
        <v>1478400</v>
      </c>
      <c r="D1635" s="164" t="s">
        <v>2533</v>
      </c>
      <c r="E1635" s="165">
        <v>170800</v>
      </c>
      <c r="F1635" s="165">
        <v>0</v>
      </c>
      <c r="G1635" s="165">
        <v>0</v>
      </c>
      <c r="H1635" s="165">
        <v>170800</v>
      </c>
      <c r="I1635" s="163"/>
      <c r="J1635" s="166"/>
      <c r="K1635" s="167"/>
      <c r="L1635" s="167">
        <v>747</v>
      </c>
      <c r="M1635" s="168">
        <v>46098</v>
      </c>
      <c r="N1635" s="169" t="s">
        <v>2537</v>
      </c>
      <c r="O1635" s="162" t="s">
        <v>194</v>
      </c>
    </row>
    <row r="1636" spans="1:15" x14ac:dyDescent="0.25">
      <c r="A1636" s="154">
        <v>1636</v>
      </c>
      <c r="B1636" s="162" t="s">
        <v>2541</v>
      </c>
      <c r="C1636" s="163">
        <v>956900</v>
      </c>
      <c r="D1636" s="164" t="s">
        <v>2533</v>
      </c>
      <c r="E1636" s="165">
        <v>170800</v>
      </c>
      <c r="F1636" s="165">
        <v>0</v>
      </c>
      <c r="G1636" s="165">
        <v>0</v>
      </c>
      <c r="H1636" s="165">
        <v>170800</v>
      </c>
      <c r="I1636" s="163"/>
      <c r="J1636" s="166"/>
      <c r="K1636" s="167"/>
      <c r="L1636" s="167">
        <v>747</v>
      </c>
      <c r="M1636" s="168">
        <v>46098</v>
      </c>
      <c r="N1636" s="169" t="s">
        <v>2542</v>
      </c>
      <c r="O1636" s="162" t="s">
        <v>194</v>
      </c>
    </row>
    <row r="1637" spans="1:15" x14ac:dyDescent="0.25">
      <c r="A1637" s="154">
        <v>1637</v>
      </c>
      <c r="B1637" s="162" t="s">
        <v>2543</v>
      </c>
      <c r="C1637" s="163">
        <v>1478400</v>
      </c>
      <c r="D1637" s="164" t="s">
        <v>2533</v>
      </c>
      <c r="E1637" s="165">
        <v>170800</v>
      </c>
      <c r="F1637" s="165">
        <v>0</v>
      </c>
      <c r="G1637" s="165">
        <v>0</v>
      </c>
      <c r="H1637" s="165">
        <v>170800</v>
      </c>
      <c r="I1637" s="163"/>
      <c r="J1637" s="166"/>
      <c r="K1637" s="167"/>
      <c r="L1637" s="167">
        <v>747</v>
      </c>
      <c r="M1637" s="168">
        <v>46098</v>
      </c>
      <c r="N1637" s="169" t="s">
        <v>2544</v>
      </c>
      <c r="O1637" s="162" t="s">
        <v>194</v>
      </c>
    </row>
    <row r="1638" spans="1:15" x14ac:dyDescent="0.25">
      <c r="A1638" s="154">
        <v>1638</v>
      </c>
      <c r="B1638" s="170" t="s">
        <v>2545</v>
      </c>
      <c r="C1638" s="171">
        <v>17193174</v>
      </c>
      <c r="D1638" s="164" t="s">
        <v>2546</v>
      </c>
      <c r="E1638" s="171">
        <v>2269700</v>
      </c>
      <c r="F1638" s="171">
        <v>170716</v>
      </c>
      <c r="G1638" s="171">
        <f>E1638-F1638</f>
        <v>2098984</v>
      </c>
      <c r="H1638" s="171">
        <v>0</v>
      </c>
      <c r="I1638" s="163"/>
      <c r="J1638" s="166">
        <v>0</v>
      </c>
      <c r="K1638" s="167" t="s">
        <v>1464</v>
      </c>
      <c r="L1638" s="167">
        <v>750</v>
      </c>
      <c r="M1638" s="168">
        <v>46084</v>
      </c>
      <c r="N1638" s="172" t="s">
        <v>2547</v>
      </c>
      <c r="O1638" s="173" t="s">
        <v>2548</v>
      </c>
    </row>
    <row r="1639" spans="1:15" x14ac:dyDescent="0.25">
      <c r="A1639" s="154">
        <v>1639</v>
      </c>
      <c r="B1639" s="170" t="s">
        <v>2549</v>
      </c>
      <c r="C1639" s="171">
        <v>218121</v>
      </c>
      <c r="D1639" s="164" t="s">
        <v>2546</v>
      </c>
      <c r="E1639" s="171">
        <v>7504</v>
      </c>
      <c r="F1639" s="171">
        <v>7504</v>
      </c>
      <c r="G1639" s="171">
        <f t="shared" ref="G1639:G1695" si="0">E1639-F1639</f>
        <v>0</v>
      </c>
      <c r="H1639" s="171">
        <v>0</v>
      </c>
      <c r="I1639" s="163"/>
      <c r="J1639" s="166">
        <v>0</v>
      </c>
      <c r="K1639" s="167" t="s">
        <v>1464</v>
      </c>
      <c r="L1639" s="167">
        <v>750</v>
      </c>
      <c r="M1639" s="168">
        <v>46084</v>
      </c>
      <c r="N1639" s="172" t="s">
        <v>2547</v>
      </c>
      <c r="O1639" s="173" t="s">
        <v>1418</v>
      </c>
    </row>
    <row r="1640" spans="1:15" x14ac:dyDescent="0.25">
      <c r="A1640" s="154">
        <v>1640</v>
      </c>
      <c r="B1640" s="170" t="s">
        <v>2550</v>
      </c>
      <c r="C1640" s="171">
        <v>5467869</v>
      </c>
      <c r="D1640" s="164" t="s">
        <v>2546</v>
      </c>
      <c r="E1640" s="171">
        <v>400047</v>
      </c>
      <c r="F1640" s="171">
        <v>84877</v>
      </c>
      <c r="G1640" s="171">
        <f t="shared" si="0"/>
        <v>315170</v>
      </c>
      <c r="H1640" s="171">
        <v>0</v>
      </c>
      <c r="I1640" s="163"/>
      <c r="J1640" s="166">
        <v>0</v>
      </c>
      <c r="K1640" s="167" t="s">
        <v>1464</v>
      </c>
      <c r="L1640" s="167">
        <v>750</v>
      </c>
      <c r="M1640" s="168">
        <v>46084</v>
      </c>
      <c r="N1640" s="172" t="s">
        <v>2547</v>
      </c>
      <c r="O1640" s="173" t="s">
        <v>2551</v>
      </c>
    </row>
    <row r="1641" spans="1:15" ht="25.5" x14ac:dyDescent="0.25">
      <c r="A1641" s="154">
        <v>1641</v>
      </c>
      <c r="B1641" s="170" t="s">
        <v>2552</v>
      </c>
      <c r="C1641" s="171">
        <v>4733493</v>
      </c>
      <c r="D1641" s="164" t="s">
        <v>2546</v>
      </c>
      <c r="E1641" s="171">
        <v>3480318</v>
      </c>
      <c r="F1641" s="171" t="s">
        <v>2553</v>
      </c>
      <c r="G1641" s="171">
        <v>3480318</v>
      </c>
      <c r="H1641" s="171">
        <v>0</v>
      </c>
      <c r="I1641" s="163"/>
      <c r="J1641" s="166">
        <v>0</v>
      </c>
      <c r="K1641" s="167" t="s">
        <v>1464</v>
      </c>
      <c r="L1641" s="167">
        <v>750</v>
      </c>
      <c r="M1641" s="168">
        <v>46084</v>
      </c>
      <c r="N1641" s="174" t="s">
        <v>2554</v>
      </c>
      <c r="O1641" s="173" t="s">
        <v>2555</v>
      </c>
    </row>
    <row r="1642" spans="1:15" x14ac:dyDescent="0.25">
      <c r="A1642" s="154">
        <v>1642</v>
      </c>
      <c r="B1642" s="170" t="s">
        <v>2556</v>
      </c>
      <c r="C1642" s="171">
        <v>67481794</v>
      </c>
      <c r="D1642" s="164" t="s">
        <v>2546</v>
      </c>
      <c r="E1642" s="171">
        <v>5551700</v>
      </c>
      <c r="F1642" s="171">
        <v>714800</v>
      </c>
      <c r="G1642" s="171">
        <f t="shared" si="0"/>
        <v>4836900</v>
      </c>
      <c r="H1642" s="171">
        <v>0</v>
      </c>
      <c r="I1642" s="163"/>
      <c r="J1642" s="166">
        <v>0</v>
      </c>
      <c r="K1642" s="167" t="s">
        <v>1464</v>
      </c>
      <c r="L1642" s="167">
        <v>750</v>
      </c>
      <c r="M1642" s="168">
        <v>46084</v>
      </c>
      <c r="N1642" s="172" t="s">
        <v>2547</v>
      </c>
      <c r="O1642" s="173" t="s">
        <v>2557</v>
      </c>
    </row>
    <row r="1643" spans="1:15" x14ac:dyDescent="0.25">
      <c r="A1643" s="154">
        <v>1643</v>
      </c>
      <c r="B1643" s="170" t="s">
        <v>2558</v>
      </c>
      <c r="C1643" s="171">
        <v>102518237</v>
      </c>
      <c r="D1643" s="164" t="s">
        <v>2546</v>
      </c>
      <c r="E1643" s="171">
        <v>13128368</v>
      </c>
      <c r="F1643" s="171">
        <v>133274</v>
      </c>
      <c r="G1643" s="171">
        <f t="shared" si="0"/>
        <v>12995094</v>
      </c>
      <c r="H1643" s="175">
        <v>0</v>
      </c>
      <c r="I1643" s="163"/>
      <c r="J1643" s="166">
        <v>0</v>
      </c>
      <c r="K1643" s="167" t="s">
        <v>1464</v>
      </c>
      <c r="L1643" s="167">
        <v>750</v>
      </c>
      <c r="M1643" s="168">
        <v>46084</v>
      </c>
      <c r="N1643" s="172" t="s">
        <v>2547</v>
      </c>
      <c r="O1643" s="173" t="s">
        <v>2559</v>
      </c>
    </row>
    <row r="1644" spans="1:15" x14ac:dyDescent="0.25">
      <c r="A1644" s="154">
        <v>1644</v>
      </c>
      <c r="B1644" s="170" t="s">
        <v>2560</v>
      </c>
      <c r="C1644" s="171">
        <v>137715346</v>
      </c>
      <c r="D1644" s="164" t="s">
        <v>2546</v>
      </c>
      <c r="E1644" s="171">
        <v>53287192</v>
      </c>
      <c r="F1644" s="171">
        <v>1907370</v>
      </c>
      <c r="G1644" s="171">
        <f t="shared" si="0"/>
        <v>51379822</v>
      </c>
      <c r="H1644" s="171">
        <v>0</v>
      </c>
      <c r="I1644" s="163"/>
      <c r="J1644" s="166">
        <v>0</v>
      </c>
      <c r="K1644" s="167" t="s">
        <v>1464</v>
      </c>
      <c r="L1644" s="167">
        <v>750</v>
      </c>
      <c r="M1644" s="168">
        <v>46084</v>
      </c>
      <c r="N1644" s="172" t="s">
        <v>2547</v>
      </c>
      <c r="O1644" s="173" t="s">
        <v>2561</v>
      </c>
    </row>
    <row r="1645" spans="1:15" x14ac:dyDescent="0.25">
      <c r="A1645" s="154">
        <v>1645</v>
      </c>
      <c r="B1645" s="170" t="s">
        <v>2562</v>
      </c>
      <c r="C1645" s="171">
        <v>32878230</v>
      </c>
      <c r="D1645" s="164" t="s">
        <v>2546</v>
      </c>
      <c r="E1645" s="171">
        <v>2168100</v>
      </c>
      <c r="F1645" s="171">
        <v>16800</v>
      </c>
      <c r="G1645" s="171">
        <f t="shared" si="0"/>
        <v>2151300</v>
      </c>
      <c r="H1645" s="171">
        <v>0</v>
      </c>
      <c r="I1645" s="163"/>
      <c r="J1645" s="166">
        <v>0</v>
      </c>
      <c r="K1645" s="167" t="s">
        <v>1464</v>
      </c>
      <c r="L1645" s="167">
        <v>750</v>
      </c>
      <c r="M1645" s="168">
        <v>46084</v>
      </c>
      <c r="N1645" s="172" t="s">
        <v>2547</v>
      </c>
      <c r="O1645" s="173" t="s">
        <v>2563</v>
      </c>
    </row>
    <row r="1646" spans="1:15" x14ac:dyDescent="0.25">
      <c r="A1646" s="154">
        <v>1646</v>
      </c>
      <c r="B1646" s="170" t="s">
        <v>2564</v>
      </c>
      <c r="C1646" s="171">
        <v>38771839</v>
      </c>
      <c r="D1646" s="164" t="s">
        <v>2546</v>
      </c>
      <c r="E1646" s="171">
        <v>2361436</v>
      </c>
      <c r="F1646" s="171">
        <v>259638</v>
      </c>
      <c r="G1646" s="171">
        <f t="shared" si="0"/>
        <v>2101798</v>
      </c>
      <c r="H1646" s="171">
        <v>0</v>
      </c>
      <c r="I1646" s="163"/>
      <c r="J1646" s="166">
        <v>0</v>
      </c>
      <c r="K1646" s="167" t="s">
        <v>1464</v>
      </c>
      <c r="L1646" s="167">
        <v>750</v>
      </c>
      <c r="M1646" s="168">
        <v>46084</v>
      </c>
      <c r="N1646" s="172" t="s">
        <v>2547</v>
      </c>
      <c r="O1646" s="173" t="s">
        <v>2565</v>
      </c>
    </row>
    <row r="1647" spans="1:15" x14ac:dyDescent="0.25">
      <c r="A1647" s="154">
        <v>1647</v>
      </c>
      <c r="B1647" s="170" t="s">
        <v>2566</v>
      </c>
      <c r="C1647" s="171">
        <v>1398205</v>
      </c>
      <c r="D1647" s="164" t="s">
        <v>2546</v>
      </c>
      <c r="E1647" s="171">
        <v>125200</v>
      </c>
      <c r="F1647" s="171">
        <v>125200</v>
      </c>
      <c r="G1647" s="171">
        <f t="shared" si="0"/>
        <v>0</v>
      </c>
      <c r="H1647" s="171">
        <v>0</v>
      </c>
      <c r="I1647" s="163"/>
      <c r="J1647" s="166">
        <v>0</v>
      </c>
      <c r="K1647" s="167" t="s">
        <v>1464</v>
      </c>
      <c r="L1647" s="167">
        <v>750</v>
      </c>
      <c r="M1647" s="168">
        <v>46084</v>
      </c>
      <c r="N1647" s="172" t="s">
        <v>2547</v>
      </c>
      <c r="O1647" s="173" t="s">
        <v>224</v>
      </c>
    </row>
    <row r="1648" spans="1:15" x14ac:dyDescent="0.25">
      <c r="A1648" s="154">
        <v>1648</v>
      </c>
      <c r="B1648" s="170" t="s">
        <v>2567</v>
      </c>
      <c r="C1648" s="171">
        <v>1565822</v>
      </c>
      <c r="D1648" s="164" t="s">
        <v>2546</v>
      </c>
      <c r="E1648" s="171">
        <v>86224</v>
      </c>
      <c r="F1648" s="171">
        <v>68704</v>
      </c>
      <c r="G1648" s="171">
        <f t="shared" si="0"/>
        <v>17520</v>
      </c>
      <c r="H1648" s="171">
        <v>0</v>
      </c>
      <c r="I1648" s="163"/>
      <c r="J1648" s="166">
        <v>0</v>
      </c>
      <c r="K1648" s="167" t="s">
        <v>1464</v>
      </c>
      <c r="L1648" s="167">
        <v>750</v>
      </c>
      <c r="M1648" s="168">
        <v>46084</v>
      </c>
      <c r="N1648" s="172" t="s">
        <v>2547</v>
      </c>
      <c r="O1648" s="173" t="s">
        <v>2568</v>
      </c>
    </row>
    <row r="1649" spans="1:15" x14ac:dyDescent="0.25">
      <c r="A1649" s="154">
        <v>1649</v>
      </c>
      <c r="B1649" s="170" t="s">
        <v>2569</v>
      </c>
      <c r="C1649" s="171">
        <v>56623589</v>
      </c>
      <c r="D1649" s="164" t="s">
        <v>2546</v>
      </c>
      <c r="E1649" s="171">
        <v>14651670</v>
      </c>
      <c r="F1649" s="171">
        <v>1272920</v>
      </c>
      <c r="G1649" s="171">
        <f t="shared" si="0"/>
        <v>13378750</v>
      </c>
      <c r="H1649" s="171">
        <v>0</v>
      </c>
      <c r="I1649" s="163"/>
      <c r="J1649" s="166">
        <v>0</v>
      </c>
      <c r="K1649" s="167" t="s">
        <v>1464</v>
      </c>
      <c r="L1649" s="167">
        <v>750</v>
      </c>
      <c r="M1649" s="168">
        <v>46084</v>
      </c>
      <c r="N1649" s="172" t="s">
        <v>2547</v>
      </c>
      <c r="O1649" s="173" t="s">
        <v>2570</v>
      </c>
    </row>
    <row r="1650" spans="1:15" x14ac:dyDescent="0.25">
      <c r="A1650" s="154">
        <v>1650</v>
      </c>
      <c r="B1650" s="170" t="s">
        <v>2571</v>
      </c>
      <c r="C1650" s="171">
        <v>31303105</v>
      </c>
      <c r="D1650" s="164" t="s">
        <v>2546</v>
      </c>
      <c r="E1650" s="171">
        <v>4014952</v>
      </c>
      <c r="F1650" s="171">
        <v>62640</v>
      </c>
      <c r="G1650" s="171">
        <f t="shared" si="0"/>
        <v>3952312</v>
      </c>
      <c r="H1650" s="171">
        <v>0</v>
      </c>
      <c r="I1650" s="163"/>
      <c r="J1650" s="166">
        <v>0</v>
      </c>
      <c r="K1650" s="167" t="s">
        <v>1464</v>
      </c>
      <c r="L1650" s="167">
        <v>750</v>
      </c>
      <c r="M1650" s="168">
        <v>46084</v>
      </c>
      <c r="N1650" s="172" t="s">
        <v>2547</v>
      </c>
      <c r="O1650" s="173" t="s">
        <v>2572</v>
      </c>
    </row>
    <row r="1651" spans="1:15" x14ac:dyDescent="0.25">
      <c r="A1651" s="154">
        <v>1651</v>
      </c>
      <c r="B1651" s="170" t="s">
        <v>2573</v>
      </c>
      <c r="C1651" s="171">
        <v>28660422</v>
      </c>
      <c r="D1651" s="164" t="s">
        <v>2546</v>
      </c>
      <c r="E1651" s="171">
        <v>2689172</v>
      </c>
      <c r="F1651" s="171">
        <v>369264</v>
      </c>
      <c r="G1651" s="171">
        <f t="shared" si="0"/>
        <v>2319908</v>
      </c>
      <c r="H1651" s="171">
        <v>0</v>
      </c>
      <c r="I1651" s="163"/>
      <c r="J1651" s="166">
        <v>0</v>
      </c>
      <c r="K1651" s="167" t="s">
        <v>1464</v>
      </c>
      <c r="L1651" s="167">
        <v>750</v>
      </c>
      <c r="M1651" s="168">
        <v>46084</v>
      </c>
      <c r="N1651" s="172" t="s">
        <v>2547</v>
      </c>
      <c r="O1651" s="173" t="s">
        <v>2574</v>
      </c>
    </row>
    <row r="1652" spans="1:15" x14ac:dyDescent="0.25">
      <c r="A1652" s="154">
        <v>1652</v>
      </c>
      <c r="B1652" s="170" t="s">
        <v>2575</v>
      </c>
      <c r="C1652" s="171">
        <v>25251961</v>
      </c>
      <c r="D1652" s="164" t="s">
        <v>2546</v>
      </c>
      <c r="E1652" s="171">
        <v>3612877</v>
      </c>
      <c r="F1652" s="171">
        <v>25944</v>
      </c>
      <c r="G1652" s="171">
        <f t="shared" si="0"/>
        <v>3586933</v>
      </c>
      <c r="H1652" s="171">
        <v>0</v>
      </c>
      <c r="I1652" s="163"/>
      <c r="J1652" s="166">
        <v>0</v>
      </c>
      <c r="K1652" s="167" t="s">
        <v>1464</v>
      </c>
      <c r="L1652" s="167">
        <v>750</v>
      </c>
      <c r="M1652" s="168">
        <v>46084</v>
      </c>
      <c r="N1652" s="172" t="s">
        <v>2547</v>
      </c>
      <c r="O1652" s="173" t="s">
        <v>2576</v>
      </c>
    </row>
    <row r="1653" spans="1:15" ht="25.5" x14ac:dyDescent="0.25">
      <c r="A1653" s="154">
        <v>1653</v>
      </c>
      <c r="B1653" s="170" t="s">
        <v>2577</v>
      </c>
      <c r="C1653" s="171">
        <v>13828751</v>
      </c>
      <c r="D1653" s="164" t="s">
        <v>2546</v>
      </c>
      <c r="E1653" s="171">
        <v>13828751</v>
      </c>
      <c r="F1653" s="171" t="s">
        <v>2553</v>
      </c>
      <c r="G1653" s="171">
        <v>13828751</v>
      </c>
      <c r="H1653" s="171">
        <v>0</v>
      </c>
      <c r="I1653" s="163"/>
      <c r="J1653" s="166">
        <v>0</v>
      </c>
      <c r="K1653" s="167" t="s">
        <v>1464</v>
      </c>
      <c r="L1653" s="167">
        <v>750</v>
      </c>
      <c r="M1653" s="168">
        <v>46084</v>
      </c>
      <c r="N1653" s="174" t="s">
        <v>2554</v>
      </c>
      <c r="O1653" s="173" t="s">
        <v>2578</v>
      </c>
    </row>
    <row r="1654" spans="1:15" x14ac:dyDescent="0.25">
      <c r="A1654" s="154">
        <v>1654</v>
      </c>
      <c r="B1654" s="170" t="s">
        <v>2579</v>
      </c>
      <c r="C1654" s="171">
        <v>10280559</v>
      </c>
      <c r="D1654" s="164" t="s">
        <v>2546</v>
      </c>
      <c r="E1654" s="171">
        <v>1414716</v>
      </c>
      <c r="F1654" s="171">
        <v>211250</v>
      </c>
      <c r="G1654" s="171">
        <f t="shared" si="0"/>
        <v>1203466</v>
      </c>
      <c r="H1654" s="171">
        <v>0</v>
      </c>
      <c r="I1654" s="163"/>
      <c r="J1654" s="166">
        <v>0</v>
      </c>
      <c r="K1654" s="167" t="s">
        <v>1464</v>
      </c>
      <c r="L1654" s="167">
        <v>750</v>
      </c>
      <c r="M1654" s="168">
        <v>46084</v>
      </c>
      <c r="N1654" s="172" t="s">
        <v>2547</v>
      </c>
      <c r="O1654" s="173" t="s">
        <v>2580</v>
      </c>
    </row>
    <row r="1655" spans="1:15" x14ac:dyDescent="0.25">
      <c r="A1655" s="154">
        <v>1655</v>
      </c>
      <c r="B1655" s="170" t="s">
        <v>2581</v>
      </c>
      <c r="C1655" s="171">
        <v>7923084</v>
      </c>
      <c r="D1655" s="164" t="s">
        <v>2546</v>
      </c>
      <c r="E1655" s="171">
        <v>699719</v>
      </c>
      <c r="F1655" s="171">
        <v>279280</v>
      </c>
      <c r="G1655" s="171">
        <f t="shared" si="0"/>
        <v>420439</v>
      </c>
      <c r="H1655" s="171">
        <v>0</v>
      </c>
      <c r="I1655" s="163"/>
      <c r="J1655" s="166">
        <v>0</v>
      </c>
      <c r="K1655" s="167" t="s">
        <v>1464</v>
      </c>
      <c r="L1655" s="167">
        <v>750</v>
      </c>
      <c r="M1655" s="168">
        <v>46084</v>
      </c>
      <c r="N1655" s="172" t="s">
        <v>2547</v>
      </c>
      <c r="O1655" s="173" t="s">
        <v>2582</v>
      </c>
    </row>
    <row r="1656" spans="1:15" x14ac:dyDescent="0.25">
      <c r="A1656" s="154">
        <v>1656</v>
      </c>
      <c r="B1656" s="170" t="s">
        <v>2583</v>
      </c>
      <c r="C1656" s="171">
        <v>7036793</v>
      </c>
      <c r="D1656" s="164" t="s">
        <v>2546</v>
      </c>
      <c r="E1656" s="171">
        <v>1074443</v>
      </c>
      <c r="F1656" s="171">
        <v>844450</v>
      </c>
      <c r="G1656" s="171">
        <f t="shared" si="0"/>
        <v>229993</v>
      </c>
      <c r="H1656" s="171">
        <v>0</v>
      </c>
      <c r="I1656" s="163"/>
      <c r="J1656" s="166">
        <v>0</v>
      </c>
      <c r="K1656" s="167" t="s">
        <v>1464</v>
      </c>
      <c r="L1656" s="167">
        <v>750</v>
      </c>
      <c r="M1656" s="168">
        <v>46084</v>
      </c>
      <c r="N1656" s="172" t="s">
        <v>2547</v>
      </c>
      <c r="O1656" s="173" t="s">
        <v>2584</v>
      </c>
    </row>
    <row r="1657" spans="1:15" x14ac:dyDescent="0.25">
      <c r="A1657" s="154">
        <v>1657</v>
      </c>
      <c r="B1657" s="170" t="s">
        <v>2585</v>
      </c>
      <c r="C1657" s="171">
        <v>6307800</v>
      </c>
      <c r="D1657" s="164" t="s">
        <v>2546</v>
      </c>
      <c r="E1657" s="171">
        <v>644020</v>
      </c>
      <c r="F1657" s="171">
        <v>210510</v>
      </c>
      <c r="G1657" s="171">
        <f t="shared" si="0"/>
        <v>433510</v>
      </c>
      <c r="H1657" s="171">
        <v>0</v>
      </c>
      <c r="I1657" s="163"/>
      <c r="J1657" s="166">
        <v>0</v>
      </c>
      <c r="K1657" s="167" t="s">
        <v>1464</v>
      </c>
      <c r="L1657" s="167">
        <v>750</v>
      </c>
      <c r="M1657" s="168">
        <v>46084</v>
      </c>
      <c r="N1657" s="172" t="s">
        <v>2547</v>
      </c>
      <c r="O1657" s="173" t="s">
        <v>2586</v>
      </c>
    </row>
    <row r="1658" spans="1:15" x14ac:dyDescent="0.25">
      <c r="A1658" s="154">
        <v>1658</v>
      </c>
      <c r="B1658" s="170" t="s">
        <v>2587</v>
      </c>
      <c r="C1658" s="171">
        <v>3899603</v>
      </c>
      <c r="D1658" s="164" t="s">
        <v>2546</v>
      </c>
      <c r="E1658" s="171">
        <v>666020</v>
      </c>
      <c r="F1658" s="171">
        <v>245420</v>
      </c>
      <c r="G1658" s="171">
        <f t="shared" si="0"/>
        <v>420600</v>
      </c>
      <c r="H1658" s="171">
        <v>0</v>
      </c>
      <c r="I1658" s="163"/>
      <c r="J1658" s="166">
        <v>0</v>
      </c>
      <c r="K1658" s="167" t="s">
        <v>1464</v>
      </c>
      <c r="L1658" s="167">
        <v>750</v>
      </c>
      <c r="M1658" s="168">
        <v>46084</v>
      </c>
      <c r="N1658" s="172" t="s">
        <v>2547</v>
      </c>
      <c r="O1658" s="173" t="s">
        <v>2588</v>
      </c>
    </row>
    <row r="1659" spans="1:15" x14ac:dyDescent="0.25">
      <c r="A1659" s="154">
        <v>1659</v>
      </c>
      <c r="B1659" s="170" t="s">
        <v>2589</v>
      </c>
      <c r="C1659" s="171">
        <v>5761819</v>
      </c>
      <c r="D1659" s="164" t="s">
        <v>2546</v>
      </c>
      <c r="E1659" s="171">
        <v>1211760</v>
      </c>
      <c r="F1659" s="171">
        <v>202460</v>
      </c>
      <c r="G1659" s="171">
        <f t="shared" si="0"/>
        <v>1009300</v>
      </c>
      <c r="H1659" s="171">
        <v>0</v>
      </c>
      <c r="I1659" s="163"/>
      <c r="J1659" s="166">
        <v>0</v>
      </c>
      <c r="K1659" s="167" t="s">
        <v>1464</v>
      </c>
      <c r="L1659" s="167">
        <v>750</v>
      </c>
      <c r="M1659" s="168">
        <v>46084</v>
      </c>
      <c r="N1659" s="172" t="s">
        <v>2547</v>
      </c>
      <c r="O1659" s="173" t="s">
        <v>2590</v>
      </c>
    </row>
    <row r="1660" spans="1:15" x14ac:dyDescent="0.25">
      <c r="A1660" s="154">
        <v>1660</v>
      </c>
      <c r="B1660" s="170" t="s">
        <v>2591</v>
      </c>
      <c r="C1660" s="171">
        <v>4548280</v>
      </c>
      <c r="D1660" s="164" t="s">
        <v>2546</v>
      </c>
      <c r="E1660" s="171">
        <v>1072080</v>
      </c>
      <c r="F1660" s="171">
        <v>986600</v>
      </c>
      <c r="G1660" s="171">
        <f t="shared" si="0"/>
        <v>85480</v>
      </c>
      <c r="H1660" s="171">
        <v>0</v>
      </c>
      <c r="I1660" s="163"/>
      <c r="J1660" s="166">
        <v>0</v>
      </c>
      <c r="K1660" s="167" t="s">
        <v>1464</v>
      </c>
      <c r="L1660" s="167">
        <v>750</v>
      </c>
      <c r="M1660" s="168">
        <v>46084</v>
      </c>
      <c r="N1660" s="172" t="s">
        <v>2547</v>
      </c>
      <c r="O1660" s="173" t="s">
        <v>2592</v>
      </c>
    </row>
    <row r="1661" spans="1:15" x14ac:dyDescent="0.25">
      <c r="A1661" s="154">
        <v>1661</v>
      </c>
      <c r="B1661" s="170" t="s">
        <v>2593</v>
      </c>
      <c r="C1661" s="171">
        <v>13729617</v>
      </c>
      <c r="D1661" s="164" t="s">
        <v>2546</v>
      </c>
      <c r="E1661" s="171">
        <v>4063486</v>
      </c>
      <c r="F1661" s="171">
        <v>3326850</v>
      </c>
      <c r="G1661" s="171">
        <f t="shared" si="0"/>
        <v>736636</v>
      </c>
      <c r="H1661" s="171">
        <v>0</v>
      </c>
      <c r="I1661" s="163"/>
      <c r="J1661" s="166">
        <v>0</v>
      </c>
      <c r="K1661" s="167" t="s">
        <v>1464</v>
      </c>
      <c r="L1661" s="167">
        <v>750</v>
      </c>
      <c r="M1661" s="168">
        <v>46084</v>
      </c>
      <c r="N1661" s="172" t="s">
        <v>2547</v>
      </c>
      <c r="O1661" s="173" t="s">
        <v>2594</v>
      </c>
    </row>
    <row r="1662" spans="1:15" x14ac:dyDescent="0.25">
      <c r="A1662" s="154">
        <v>1662</v>
      </c>
      <c r="B1662" s="170" t="s">
        <v>2595</v>
      </c>
      <c r="C1662" s="171">
        <v>10014242</v>
      </c>
      <c r="D1662" s="164" t="s">
        <v>2546</v>
      </c>
      <c r="E1662" s="171">
        <v>2898483</v>
      </c>
      <c r="F1662" s="171">
        <v>2629720</v>
      </c>
      <c r="G1662" s="171">
        <f t="shared" si="0"/>
        <v>268763</v>
      </c>
      <c r="H1662" s="171">
        <v>0</v>
      </c>
      <c r="I1662" s="163"/>
      <c r="J1662" s="166">
        <v>0</v>
      </c>
      <c r="K1662" s="167" t="s">
        <v>1464</v>
      </c>
      <c r="L1662" s="167">
        <v>750</v>
      </c>
      <c r="M1662" s="168">
        <v>46084</v>
      </c>
      <c r="N1662" s="172" t="s">
        <v>2547</v>
      </c>
      <c r="O1662" s="173" t="s">
        <v>2596</v>
      </c>
    </row>
    <row r="1663" spans="1:15" x14ac:dyDescent="0.25">
      <c r="A1663" s="154">
        <v>1663</v>
      </c>
      <c r="B1663" s="170" t="s">
        <v>2597</v>
      </c>
      <c r="C1663" s="171">
        <v>8066750</v>
      </c>
      <c r="D1663" s="164" t="s">
        <v>2546</v>
      </c>
      <c r="E1663" s="171">
        <v>1593070</v>
      </c>
      <c r="F1663" s="171">
        <v>774530</v>
      </c>
      <c r="G1663" s="171">
        <f t="shared" si="0"/>
        <v>818540</v>
      </c>
      <c r="H1663" s="171">
        <v>0</v>
      </c>
      <c r="I1663" s="163"/>
      <c r="J1663" s="166">
        <v>0</v>
      </c>
      <c r="K1663" s="167" t="s">
        <v>1464</v>
      </c>
      <c r="L1663" s="167">
        <v>750</v>
      </c>
      <c r="M1663" s="168">
        <v>46084</v>
      </c>
      <c r="N1663" s="172" t="s">
        <v>2547</v>
      </c>
      <c r="O1663" s="173" t="s">
        <v>2598</v>
      </c>
    </row>
    <row r="1664" spans="1:15" x14ac:dyDescent="0.25">
      <c r="A1664" s="154">
        <v>1664</v>
      </c>
      <c r="B1664" s="170" t="s">
        <v>2599</v>
      </c>
      <c r="C1664" s="171">
        <v>7520603</v>
      </c>
      <c r="D1664" s="164" t="s">
        <v>2546</v>
      </c>
      <c r="E1664" s="171">
        <v>926820</v>
      </c>
      <c r="F1664" s="171">
        <v>573140</v>
      </c>
      <c r="G1664" s="171">
        <f t="shared" si="0"/>
        <v>353680</v>
      </c>
      <c r="H1664" s="171">
        <v>0</v>
      </c>
      <c r="I1664" s="163"/>
      <c r="J1664" s="166">
        <v>0</v>
      </c>
      <c r="K1664" s="167" t="s">
        <v>1464</v>
      </c>
      <c r="L1664" s="167">
        <v>750</v>
      </c>
      <c r="M1664" s="168">
        <v>46084</v>
      </c>
      <c r="N1664" s="172" t="s">
        <v>2547</v>
      </c>
      <c r="O1664" s="173" t="s">
        <v>2600</v>
      </c>
    </row>
    <row r="1665" spans="1:15" x14ac:dyDescent="0.25">
      <c r="A1665" s="154">
        <v>1665</v>
      </c>
      <c r="B1665" s="170" t="s">
        <v>2601</v>
      </c>
      <c r="C1665" s="171">
        <v>14153488</v>
      </c>
      <c r="D1665" s="164" t="s">
        <v>2546</v>
      </c>
      <c r="E1665" s="171">
        <v>4265948</v>
      </c>
      <c r="F1665" s="171">
        <v>2685350</v>
      </c>
      <c r="G1665" s="171">
        <f t="shared" si="0"/>
        <v>1580598</v>
      </c>
      <c r="H1665" s="171">
        <v>0</v>
      </c>
      <c r="I1665" s="163"/>
      <c r="J1665" s="166">
        <v>0</v>
      </c>
      <c r="K1665" s="167" t="s">
        <v>1464</v>
      </c>
      <c r="L1665" s="167">
        <v>750</v>
      </c>
      <c r="M1665" s="168">
        <v>46084</v>
      </c>
      <c r="N1665" s="172" t="s">
        <v>2547</v>
      </c>
      <c r="O1665" s="173" t="s">
        <v>2602</v>
      </c>
    </row>
    <row r="1666" spans="1:15" x14ac:dyDescent="0.25">
      <c r="A1666" s="154">
        <v>1666</v>
      </c>
      <c r="B1666" s="170" t="s">
        <v>2603</v>
      </c>
      <c r="C1666" s="171">
        <v>4335980</v>
      </c>
      <c r="D1666" s="164" t="s">
        <v>2546</v>
      </c>
      <c r="E1666" s="171">
        <v>595178</v>
      </c>
      <c r="F1666" s="171">
        <v>124800</v>
      </c>
      <c r="G1666" s="171">
        <f t="shared" si="0"/>
        <v>470378</v>
      </c>
      <c r="H1666" s="171">
        <v>0</v>
      </c>
      <c r="I1666" s="163"/>
      <c r="J1666" s="166">
        <v>0</v>
      </c>
      <c r="K1666" s="167" t="s">
        <v>1464</v>
      </c>
      <c r="L1666" s="167">
        <v>750</v>
      </c>
      <c r="M1666" s="168">
        <v>46084</v>
      </c>
      <c r="N1666" s="172" t="s">
        <v>2547</v>
      </c>
      <c r="O1666" s="173" t="s">
        <v>2604</v>
      </c>
    </row>
    <row r="1667" spans="1:15" ht="25.5" x14ac:dyDescent="0.25">
      <c r="A1667" s="154">
        <v>1667</v>
      </c>
      <c r="B1667" s="170" t="s">
        <v>2605</v>
      </c>
      <c r="C1667" s="171">
        <v>4716500</v>
      </c>
      <c r="D1667" s="164" t="s">
        <v>2546</v>
      </c>
      <c r="E1667" s="171">
        <v>3435000</v>
      </c>
      <c r="F1667" s="171" t="s">
        <v>2553</v>
      </c>
      <c r="G1667" s="171">
        <v>3435000</v>
      </c>
      <c r="H1667" s="171">
        <v>0</v>
      </c>
      <c r="I1667" s="163"/>
      <c r="J1667" s="166">
        <v>0</v>
      </c>
      <c r="K1667" s="167" t="s">
        <v>1464</v>
      </c>
      <c r="L1667" s="167">
        <v>750</v>
      </c>
      <c r="M1667" s="168">
        <v>46084</v>
      </c>
      <c r="N1667" s="174" t="s">
        <v>2554</v>
      </c>
      <c r="O1667" s="173" t="s">
        <v>201</v>
      </c>
    </row>
    <row r="1668" spans="1:15" ht="25.5" x14ac:dyDescent="0.25">
      <c r="A1668" s="154">
        <v>1668</v>
      </c>
      <c r="B1668" s="170" t="s">
        <v>2606</v>
      </c>
      <c r="C1668" s="171">
        <v>888800</v>
      </c>
      <c r="D1668" s="164" t="s">
        <v>2546</v>
      </c>
      <c r="E1668" s="171">
        <v>900</v>
      </c>
      <c r="F1668" s="171" t="s">
        <v>2553</v>
      </c>
      <c r="G1668" s="171">
        <v>900</v>
      </c>
      <c r="H1668" s="171">
        <v>0</v>
      </c>
      <c r="I1668" s="163"/>
      <c r="J1668" s="166">
        <v>0</v>
      </c>
      <c r="K1668" s="167" t="s">
        <v>1464</v>
      </c>
      <c r="L1668" s="167">
        <v>750</v>
      </c>
      <c r="M1668" s="168">
        <v>46084</v>
      </c>
      <c r="N1668" s="174" t="s">
        <v>2554</v>
      </c>
      <c r="O1668" s="173" t="s">
        <v>221</v>
      </c>
    </row>
    <row r="1669" spans="1:15" x14ac:dyDescent="0.25">
      <c r="A1669" s="154">
        <v>1669</v>
      </c>
      <c r="B1669" s="170" t="s">
        <v>2607</v>
      </c>
      <c r="C1669" s="171">
        <v>971600</v>
      </c>
      <c r="D1669" s="164" t="s">
        <v>2546</v>
      </c>
      <c r="E1669" s="171">
        <v>22002</v>
      </c>
      <c r="F1669" s="171">
        <v>22002</v>
      </c>
      <c r="G1669" s="171">
        <f t="shared" si="0"/>
        <v>0</v>
      </c>
      <c r="H1669" s="171">
        <v>0</v>
      </c>
      <c r="I1669" s="163"/>
      <c r="J1669" s="166">
        <v>0</v>
      </c>
      <c r="K1669" s="167" t="s">
        <v>1464</v>
      </c>
      <c r="L1669" s="167">
        <v>750</v>
      </c>
      <c r="M1669" s="168">
        <v>46084</v>
      </c>
      <c r="N1669" s="172" t="s">
        <v>2547</v>
      </c>
      <c r="O1669" s="173" t="s">
        <v>1016</v>
      </c>
    </row>
    <row r="1670" spans="1:15" ht="25.5" x14ac:dyDescent="0.25">
      <c r="A1670" s="154">
        <v>1670</v>
      </c>
      <c r="B1670" s="170" t="s">
        <v>2608</v>
      </c>
      <c r="C1670" s="171">
        <v>979401</v>
      </c>
      <c r="D1670" s="164" t="s">
        <v>2546</v>
      </c>
      <c r="E1670" s="171">
        <v>55200</v>
      </c>
      <c r="F1670" s="171" t="s">
        <v>2553</v>
      </c>
      <c r="G1670" s="171">
        <v>55200</v>
      </c>
      <c r="H1670" s="171">
        <v>0</v>
      </c>
      <c r="I1670" s="163"/>
      <c r="J1670" s="166">
        <v>0</v>
      </c>
      <c r="K1670" s="167" t="s">
        <v>1464</v>
      </c>
      <c r="L1670" s="167">
        <v>750</v>
      </c>
      <c r="M1670" s="168">
        <v>46084</v>
      </c>
      <c r="N1670" s="174" t="s">
        <v>2554</v>
      </c>
      <c r="O1670" s="173" t="s">
        <v>221</v>
      </c>
    </row>
    <row r="1671" spans="1:15" x14ac:dyDescent="0.25">
      <c r="A1671" s="154">
        <v>1671</v>
      </c>
      <c r="B1671" s="170" t="s">
        <v>2609</v>
      </c>
      <c r="C1671" s="171">
        <v>57251782</v>
      </c>
      <c r="D1671" s="164" t="s">
        <v>2546</v>
      </c>
      <c r="E1671" s="171">
        <v>57251782</v>
      </c>
      <c r="F1671" s="171">
        <v>5990700</v>
      </c>
      <c r="G1671" s="171">
        <f t="shared" si="0"/>
        <v>51261082</v>
      </c>
      <c r="H1671" s="171">
        <v>0</v>
      </c>
      <c r="I1671" s="163"/>
      <c r="J1671" s="166">
        <v>0</v>
      </c>
      <c r="K1671" s="167" t="s">
        <v>1464</v>
      </c>
      <c r="L1671" s="167">
        <v>750</v>
      </c>
      <c r="M1671" s="168">
        <v>46084</v>
      </c>
      <c r="N1671" s="172" t="s">
        <v>2547</v>
      </c>
      <c r="O1671" s="173" t="s">
        <v>2610</v>
      </c>
    </row>
    <row r="1672" spans="1:15" x14ac:dyDescent="0.25">
      <c r="A1672" s="154">
        <v>1672</v>
      </c>
      <c r="B1672" s="170" t="s">
        <v>2611</v>
      </c>
      <c r="C1672" s="171">
        <v>18202780</v>
      </c>
      <c r="D1672" s="164" t="s">
        <v>2546</v>
      </c>
      <c r="E1672" s="171">
        <v>4855293</v>
      </c>
      <c r="F1672" s="171">
        <v>1069100</v>
      </c>
      <c r="G1672" s="171">
        <f t="shared" si="0"/>
        <v>3786193</v>
      </c>
      <c r="H1672" s="171">
        <v>0</v>
      </c>
      <c r="I1672" s="163"/>
      <c r="J1672" s="166">
        <v>0</v>
      </c>
      <c r="K1672" s="167" t="s">
        <v>1464</v>
      </c>
      <c r="L1672" s="167">
        <v>750</v>
      </c>
      <c r="M1672" s="168">
        <v>46084</v>
      </c>
      <c r="N1672" s="172" t="s">
        <v>2547</v>
      </c>
      <c r="O1672" s="173" t="s">
        <v>2612</v>
      </c>
    </row>
    <row r="1673" spans="1:15" x14ac:dyDescent="0.25">
      <c r="A1673" s="154">
        <v>1673</v>
      </c>
      <c r="B1673" s="170" t="s">
        <v>2613</v>
      </c>
      <c r="C1673" s="171">
        <v>14165868</v>
      </c>
      <c r="D1673" s="164" t="s">
        <v>2546</v>
      </c>
      <c r="E1673" s="171">
        <v>14165868</v>
      </c>
      <c r="F1673" s="171">
        <v>10800</v>
      </c>
      <c r="G1673" s="171">
        <f t="shared" si="0"/>
        <v>14155068</v>
      </c>
      <c r="H1673" s="171">
        <v>0</v>
      </c>
      <c r="I1673" s="163"/>
      <c r="J1673" s="166">
        <v>0</v>
      </c>
      <c r="K1673" s="167" t="s">
        <v>1464</v>
      </c>
      <c r="L1673" s="167">
        <v>750</v>
      </c>
      <c r="M1673" s="168">
        <v>46084</v>
      </c>
      <c r="N1673" s="172" t="s">
        <v>2547</v>
      </c>
      <c r="O1673" s="173" t="s">
        <v>2614</v>
      </c>
    </row>
    <row r="1674" spans="1:15" ht="25.5" x14ac:dyDescent="0.25">
      <c r="A1674" s="154">
        <v>1674</v>
      </c>
      <c r="B1674" s="170" t="s">
        <v>2615</v>
      </c>
      <c r="C1674" s="171">
        <v>9050722</v>
      </c>
      <c r="D1674" s="164" t="s">
        <v>2546</v>
      </c>
      <c r="E1674" s="171">
        <v>1434138</v>
      </c>
      <c r="F1674" s="171" t="s">
        <v>2553</v>
      </c>
      <c r="G1674" s="171">
        <v>1434138</v>
      </c>
      <c r="H1674" s="171">
        <v>0</v>
      </c>
      <c r="I1674" s="163"/>
      <c r="J1674" s="166">
        <v>0</v>
      </c>
      <c r="K1674" s="167" t="s">
        <v>1464</v>
      </c>
      <c r="L1674" s="167">
        <v>750</v>
      </c>
      <c r="M1674" s="168">
        <v>46084</v>
      </c>
      <c r="N1674" s="174" t="s">
        <v>2554</v>
      </c>
      <c r="O1674" s="173" t="s">
        <v>2616</v>
      </c>
    </row>
    <row r="1675" spans="1:15" x14ac:dyDescent="0.25">
      <c r="A1675" s="154">
        <v>1675</v>
      </c>
      <c r="B1675" s="170" t="s">
        <v>2617</v>
      </c>
      <c r="C1675" s="171">
        <v>18984066</v>
      </c>
      <c r="D1675" s="164" t="s">
        <v>2546</v>
      </c>
      <c r="E1675" s="171">
        <v>7480570</v>
      </c>
      <c r="F1675" s="171">
        <v>2080204</v>
      </c>
      <c r="G1675" s="171">
        <f t="shared" si="0"/>
        <v>5400366</v>
      </c>
      <c r="H1675" s="171">
        <v>0</v>
      </c>
      <c r="I1675" s="163"/>
      <c r="J1675" s="166">
        <v>0</v>
      </c>
      <c r="K1675" s="167" t="s">
        <v>1464</v>
      </c>
      <c r="L1675" s="167">
        <v>750</v>
      </c>
      <c r="M1675" s="168">
        <v>46084</v>
      </c>
      <c r="N1675" s="172" t="s">
        <v>2547</v>
      </c>
      <c r="O1675" s="173" t="s">
        <v>2618</v>
      </c>
    </row>
    <row r="1676" spans="1:15" x14ac:dyDescent="0.25">
      <c r="A1676" s="154">
        <v>1676</v>
      </c>
      <c r="B1676" s="170" t="s">
        <v>2619</v>
      </c>
      <c r="C1676" s="171">
        <v>7864680</v>
      </c>
      <c r="D1676" s="164" t="s">
        <v>2546</v>
      </c>
      <c r="E1676" s="171">
        <v>1413969</v>
      </c>
      <c r="F1676" s="171">
        <v>272800</v>
      </c>
      <c r="G1676" s="171">
        <f t="shared" si="0"/>
        <v>1141169</v>
      </c>
      <c r="H1676" s="171">
        <v>0</v>
      </c>
      <c r="I1676" s="163"/>
      <c r="J1676" s="166">
        <v>0</v>
      </c>
      <c r="K1676" s="167" t="s">
        <v>1464</v>
      </c>
      <c r="L1676" s="167">
        <v>750</v>
      </c>
      <c r="M1676" s="168">
        <v>46084</v>
      </c>
      <c r="N1676" s="172" t="s">
        <v>2547</v>
      </c>
      <c r="O1676" s="173" t="s">
        <v>2620</v>
      </c>
    </row>
    <row r="1677" spans="1:15" x14ac:dyDescent="0.25">
      <c r="A1677" s="154">
        <v>1677</v>
      </c>
      <c r="B1677" s="167" t="s">
        <v>2621</v>
      </c>
      <c r="C1677" s="176">
        <v>5461829</v>
      </c>
      <c r="D1677" s="164" t="s">
        <v>2546</v>
      </c>
      <c r="E1677" s="176">
        <v>1134478</v>
      </c>
      <c r="F1677" s="176">
        <v>491200</v>
      </c>
      <c r="G1677" s="176">
        <f t="shared" si="0"/>
        <v>643278</v>
      </c>
      <c r="H1677" s="176">
        <v>0</v>
      </c>
      <c r="I1677" s="163"/>
      <c r="J1677" s="166">
        <v>0</v>
      </c>
      <c r="K1677" s="167" t="s">
        <v>1464</v>
      </c>
      <c r="L1677" s="167">
        <v>750</v>
      </c>
      <c r="M1677" s="168">
        <v>46084</v>
      </c>
      <c r="N1677" s="177" t="s">
        <v>2547</v>
      </c>
      <c r="O1677" s="167" t="s">
        <v>2622</v>
      </c>
    </row>
    <row r="1678" spans="1:15" x14ac:dyDescent="0.25">
      <c r="A1678" s="154">
        <v>1678</v>
      </c>
      <c r="B1678" s="167" t="s">
        <v>2623</v>
      </c>
      <c r="C1678" s="176">
        <v>21803363</v>
      </c>
      <c r="D1678" s="164" t="s">
        <v>2546</v>
      </c>
      <c r="E1678" s="176">
        <v>21803363</v>
      </c>
      <c r="F1678" s="176">
        <v>1431200</v>
      </c>
      <c r="G1678" s="176">
        <f t="shared" si="0"/>
        <v>20372163</v>
      </c>
      <c r="H1678" s="176">
        <v>0</v>
      </c>
      <c r="I1678" s="163"/>
      <c r="J1678" s="166">
        <v>0</v>
      </c>
      <c r="K1678" s="167" t="s">
        <v>1464</v>
      </c>
      <c r="L1678" s="167">
        <v>750</v>
      </c>
      <c r="M1678" s="168">
        <v>46084</v>
      </c>
      <c r="N1678" s="177" t="s">
        <v>2547</v>
      </c>
      <c r="O1678" s="167" t="s">
        <v>221</v>
      </c>
    </row>
    <row r="1679" spans="1:15" x14ac:dyDescent="0.25">
      <c r="A1679" s="154">
        <v>1679</v>
      </c>
      <c r="B1679" s="167" t="s">
        <v>2624</v>
      </c>
      <c r="C1679" s="176">
        <v>26602010</v>
      </c>
      <c r="D1679" s="164" t="s">
        <v>2546</v>
      </c>
      <c r="E1679" s="176">
        <v>5486123</v>
      </c>
      <c r="F1679" s="176">
        <v>2256140</v>
      </c>
      <c r="G1679" s="176">
        <f t="shared" si="0"/>
        <v>3229983</v>
      </c>
      <c r="H1679" s="176">
        <v>0</v>
      </c>
      <c r="I1679" s="163"/>
      <c r="J1679" s="166">
        <v>0</v>
      </c>
      <c r="K1679" s="167" t="s">
        <v>1464</v>
      </c>
      <c r="L1679" s="167">
        <v>750</v>
      </c>
      <c r="M1679" s="168">
        <v>46084</v>
      </c>
      <c r="N1679" s="177" t="s">
        <v>2547</v>
      </c>
      <c r="O1679" s="167" t="s">
        <v>2625</v>
      </c>
    </row>
    <row r="1680" spans="1:15" x14ac:dyDescent="0.25">
      <c r="A1680" s="154">
        <v>1680</v>
      </c>
      <c r="B1680" s="167" t="s">
        <v>2626</v>
      </c>
      <c r="C1680" s="176">
        <v>8627634</v>
      </c>
      <c r="D1680" s="164" t="s">
        <v>2546</v>
      </c>
      <c r="E1680" s="176">
        <v>373133</v>
      </c>
      <c r="F1680" s="176">
        <v>13978</v>
      </c>
      <c r="G1680" s="176">
        <f t="shared" si="0"/>
        <v>359155</v>
      </c>
      <c r="H1680" s="176">
        <v>0</v>
      </c>
      <c r="I1680" s="163"/>
      <c r="J1680" s="166">
        <v>0</v>
      </c>
      <c r="K1680" s="167" t="s">
        <v>1464</v>
      </c>
      <c r="L1680" s="167">
        <v>750</v>
      </c>
      <c r="M1680" s="168">
        <v>46084</v>
      </c>
      <c r="N1680" s="177" t="s">
        <v>2547</v>
      </c>
      <c r="O1680" s="167" t="s">
        <v>221</v>
      </c>
    </row>
    <row r="1681" spans="1:15" x14ac:dyDescent="0.25">
      <c r="A1681" s="154">
        <v>1681</v>
      </c>
      <c r="B1681" s="167" t="s">
        <v>2627</v>
      </c>
      <c r="C1681" s="176">
        <v>27503281</v>
      </c>
      <c r="D1681" s="164" t="s">
        <v>2546</v>
      </c>
      <c r="E1681" s="176">
        <v>2053000</v>
      </c>
      <c r="F1681" s="176">
        <v>846600</v>
      </c>
      <c r="G1681" s="176">
        <f t="shared" si="0"/>
        <v>1206400</v>
      </c>
      <c r="H1681" s="176">
        <v>0</v>
      </c>
      <c r="I1681" s="163"/>
      <c r="J1681" s="166">
        <v>0</v>
      </c>
      <c r="K1681" s="167" t="s">
        <v>1464</v>
      </c>
      <c r="L1681" s="167">
        <v>750</v>
      </c>
      <c r="M1681" s="168">
        <v>46084</v>
      </c>
      <c r="N1681" s="177" t="s">
        <v>2547</v>
      </c>
      <c r="O1681" s="167" t="s">
        <v>2628</v>
      </c>
    </row>
    <row r="1682" spans="1:15" x14ac:dyDescent="0.25">
      <c r="A1682" s="154">
        <v>1682</v>
      </c>
      <c r="B1682" s="167" t="s">
        <v>2629</v>
      </c>
      <c r="C1682" s="176">
        <v>30085787</v>
      </c>
      <c r="D1682" s="164" t="s">
        <v>2546</v>
      </c>
      <c r="E1682" s="176">
        <v>9379887</v>
      </c>
      <c r="F1682" s="176">
        <v>638200</v>
      </c>
      <c r="G1682" s="176">
        <f t="shared" si="0"/>
        <v>8741687</v>
      </c>
      <c r="H1682" s="176">
        <v>0</v>
      </c>
      <c r="I1682" s="163"/>
      <c r="J1682" s="166">
        <v>0</v>
      </c>
      <c r="K1682" s="167" t="s">
        <v>1464</v>
      </c>
      <c r="L1682" s="167">
        <v>750</v>
      </c>
      <c r="M1682" s="168">
        <v>46084</v>
      </c>
      <c r="N1682" s="177" t="s">
        <v>2547</v>
      </c>
      <c r="O1682" s="167" t="s">
        <v>2630</v>
      </c>
    </row>
    <row r="1683" spans="1:15" x14ac:dyDescent="0.25">
      <c r="A1683" s="154">
        <v>1683</v>
      </c>
      <c r="B1683" s="167" t="s">
        <v>2631</v>
      </c>
      <c r="C1683" s="176">
        <v>10430941</v>
      </c>
      <c r="D1683" s="164" t="s">
        <v>2546</v>
      </c>
      <c r="E1683" s="176">
        <v>4140606</v>
      </c>
      <c r="F1683" s="176">
        <v>751100</v>
      </c>
      <c r="G1683" s="176">
        <f t="shared" si="0"/>
        <v>3389506</v>
      </c>
      <c r="H1683" s="176">
        <v>0</v>
      </c>
      <c r="I1683" s="163"/>
      <c r="J1683" s="166">
        <v>0</v>
      </c>
      <c r="K1683" s="167" t="s">
        <v>1464</v>
      </c>
      <c r="L1683" s="167">
        <v>750</v>
      </c>
      <c r="M1683" s="168">
        <v>46084</v>
      </c>
      <c r="N1683" s="177" t="s">
        <v>2547</v>
      </c>
      <c r="O1683" s="167" t="s">
        <v>2632</v>
      </c>
    </row>
    <row r="1684" spans="1:15" x14ac:dyDescent="0.25">
      <c r="A1684" s="154">
        <v>1684</v>
      </c>
      <c r="B1684" s="167" t="s">
        <v>2633</v>
      </c>
      <c r="C1684" s="176">
        <v>1752446</v>
      </c>
      <c r="D1684" s="164" t="s">
        <v>2546</v>
      </c>
      <c r="E1684" s="176">
        <v>44100</v>
      </c>
      <c r="F1684" s="176">
        <v>44100</v>
      </c>
      <c r="G1684" s="176">
        <f t="shared" si="0"/>
        <v>0</v>
      </c>
      <c r="H1684" s="176">
        <v>0</v>
      </c>
      <c r="I1684" s="163"/>
      <c r="J1684" s="166">
        <v>0</v>
      </c>
      <c r="K1684" s="167" t="s">
        <v>1464</v>
      </c>
      <c r="L1684" s="167">
        <v>750</v>
      </c>
      <c r="M1684" s="168">
        <v>46084</v>
      </c>
      <c r="N1684" s="177" t="s">
        <v>2547</v>
      </c>
      <c r="O1684" s="167" t="s">
        <v>2634</v>
      </c>
    </row>
    <row r="1685" spans="1:15" x14ac:dyDescent="0.25">
      <c r="A1685" s="154">
        <v>1685</v>
      </c>
      <c r="B1685" s="167" t="s">
        <v>2635</v>
      </c>
      <c r="C1685" s="178">
        <v>11034473</v>
      </c>
      <c r="D1685" s="164" t="s">
        <v>2546</v>
      </c>
      <c r="E1685" s="178">
        <v>11034473</v>
      </c>
      <c r="F1685" s="178">
        <v>0</v>
      </c>
      <c r="G1685" s="178">
        <f t="shared" si="0"/>
        <v>11034473</v>
      </c>
      <c r="H1685" s="178">
        <v>0</v>
      </c>
      <c r="I1685" s="163"/>
      <c r="J1685" s="166">
        <v>0</v>
      </c>
      <c r="K1685" s="167" t="s">
        <v>1464</v>
      </c>
      <c r="L1685" s="167">
        <v>750</v>
      </c>
      <c r="M1685" s="168">
        <v>46084</v>
      </c>
      <c r="N1685" s="179" t="s">
        <v>2554</v>
      </c>
      <c r="O1685" s="167" t="s">
        <v>221</v>
      </c>
    </row>
    <row r="1686" spans="1:15" x14ac:dyDescent="0.25">
      <c r="A1686" s="154">
        <v>1686</v>
      </c>
      <c r="B1686" s="167" t="s">
        <v>2636</v>
      </c>
      <c r="C1686" s="176">
        <v>5370830</v>
      </c>
      <c r="D1686" s="164" t="s">
        <v>2546</v>
      </c>
      <c r="E1686" s="176">
        <v>1768800</v>
      </c>
      <c r="F1686" s="176">
        <v>1754500</v>
      </c>
      <c r="G1686" s="176">
        <f t="shared" si="0"/>
        <v>14300</v>
      </c>
      <c r="H1686" s="176">
        <v>0</v>
      </c>
      <c r="I1686" s="163"/>
      <c r="J1686" s="166">
        <v>0</v>
      </c>
      <c r="K1686" s="167" t="s">
        <v>1464</v>
      </c>
      <c r="L1686" s="167">
        <v>750</v>
      </c>
      <c r="M1686" s="168">
        <v>46084</v>
      </c>
      <c r="N1686" s="177" t="s">
        <v>2547</v>
      </c>
      <c r="O1686" s="167" t="s">
        <v>2637</v>
      </c>
    </row>
    <row r="1687" spans="1:15" x14ac:dyDescent="0.25">
      <c r="A1687" s="154">
        <v>1687</v>
      </c>
      <c r="B1687" s="167" t="s">
        <v>2638</v>
      </c>
      <c r="C1687" s="176">
        <v>13729715</v>
      </c>
      <c r="D1687" s="164" t="s">
        <v>2546</v>
      </c>
      <c r="E1687" s="176">
        <v>2777415</v>
      </c>
      <c r="F1687" s="176">
        <v>1726400</v>
      </c>
      <c r="G1687" s="176">
        <f t="shared" si="0"/>
        <v>1051015</v>
      </c>
      <c r="H1687" s="176">
        <v>0</v>
      </c>
      <c r="I1687" s="163"/>
      <c r="J1687" s="166">
        <v>0</v>
      </c>
      <c r="K1687" s="167" t="s">
        <v>1464</v>
      </c>
      <c r="L1687" s="167">
        <v>750</v>
      </c>
      <c r="M1687" s="168">
        <v>46084</v>
      </c>
      <c r="N1687" s="177" t="s">
        <v>2547</v>
      </c>
      <c r="O1687" s="167" t="s">
        <v>2639</v>
      </c>
    </row>
    <row r="1688" spans="1:15" ht="25.5" x14ac:dyDescent="0.25">
      <c r="A1688" s="154">
        <v>1688</v>
      </c>
      <c r="B1688" s="167" t="s">
        <v>2640</v>
      </c>
      <c r="C1688" s="178">
        <v>4545500</v>
      </c>
      <c r="D1688" s="164" t="s">
        <v>2546</v>
      </c>
      <c r="E1688" s="178">
        <v>576200</v>
      </c>
      <c r="F1688" s="178" t="s">
        <v>2553</v>
      </c>
      <c r="G1688" s="178">
        <v>576200</v>
      </c>
      <c r="H1688" s="178">
        <v>0</v>
      </c>
      <c r="I1688" s="163"/>
      <c r="J1688" s="166">
        <v>0</v>
      </c>
      <c r="K1688" s="167" t="s">
        <v>1464</v>
      </c>
      <c r="L1688" s="167">
        <v>750</v>
      </c>
      <c r="M1688" s="168">
        <v>46084</v>
      </c>
      <c r="N1688" s="180" t="s">
        <v>2554</v>
      </c>
      <c r="O1688" s="167" t="s">
        <v>2641</v>
      </c>
    </row>
    <row r="1689" spans="1:15" ht="25.5" x14ac:dyDescent="0.25">
      <c r="A1689" s="154">
        <v>1689</v>
      </c>
      <c r="B1689" s="181" t="s">
        <v>2642</v>
      </c>
      <c r="C1689" s="178">
        <v>32390297</v>
      </c>
      <c r="D1689" s="164" t="s">
        <v>2546</v>
      </c>
      <c r="E1689" s="178">
        <v>9562600</v>
      </c>
      <c r="F1689" s="178" t="s">
        <v>2553</v>
      </c>
      <c r="G1689" s="178">
        <v>9562600</v>
      </c>
      <c r="H1689" s="178">
        <v>0</v>
      </c>
      <c r="I1689" s="163"/>
      <c r="J1689" s="166">
        <v>0</v>
      </c>
      <c r="K1689" s="167" t="s">
        <v>1464</v>
      </c>
      <c r="L1689" s="167">
        <v>750</v>
      </c>
      <c r="M1689" s="168">
        <v>46084</v>
      </c>
      <c r="N1689" s="180" t="s">
        <v>2554</v>
      </c>
      <c r="O1689" s="182"/>
    </row>
    <row r="1690" spans="1:15" x14ac:dyDescent="0.25">
      <c r="A1690" s="154">
        <v>1690</v>
      </c>
      <c r="B1690" s="181" t="s">
        <v>2643</v>
      </c>
      <c r="C1690" s="178">
        <v>1319306</v>
      </c>
      <c r="D1690" s="164" t="s">
        <v>2546</v>
      </c>
      <c r="E1690" s="178">
        <v>207252</v>
      </c>
      <c r="F1690" s="178">
        <v>207252</v>
      </c>
      <c r="G1690" s="178">
        <f t="shared" si="0"/>
        <v>0</v>
      </c>
      <c r="H1690" s="178">
        <v>0</v>
      </c>
      <c r="I1690" s="163"/>
      <c r="J1690" s="166">
        <v>0</v>
      </c>
      <c r="K1690" s="167" t="s">
        <v>1464</v>
      </c>
      <c r="L1690" s="167">
        <v>750</v>
      </c>
      <c r="M1690" s="168">
        <v>46084</v>
      </c>
      <c r="N1690" s="177" t="s">
        <v>2547</v>
      </c>
      <c r="O1690" s="182"/>
    </row>
    <row r="1691" spans="1:15" x14ac:dyDescent="0.25">
      <c r="A1691" s="154">
        <v>1691</v>
      </c>
      <c r="B1691" s="183" t="s">
        <v>2644</v>
      </c>
      <c r="C1691" s="178">
        <v>297914</v>
      </c>
      <c r="D1691" s="164" t="s">
        <v>2546</v>
      </c>
      <c r="E1691" s="178">
        <v>204510</v>
      </c>
      <c r="F1691" s="178">
        <v>204510</v>
      </c>
      <c r="G1691" s="178">
        <f t="shared" si="0"/>
        <v>0</v>
      </c>
      <c r="H1691" s="178">
        <v>0</v>
      </c>
      <c r="I1691" s="163"/>
      <c r="J1691" s="166">
        <v>0</v>
      </c>
      <c r="K1691" s="167" t="s">
        <v>1464</v>
      </c>
      <c r="L1691" s="167">
        <v>750</v>
      </c>
      <c r="M1691" s="168">
        <v>46084</v>
      </c>
      <c r="N1691" s="177" t="s">
        <v>2547</v>
      </c>
      <c r="O1691" s="182"/>
    </row>
    <row r="1692" spans="1:15" ht="25.5" x14ac:dyDescent="0.25">
      <c r="A1692" s="154">
        <v>1692</v>
      </c>
      <c r="B1692" s="183" t="s">
        <v>2645</v>
      </c>
      <c r="C1692" s="178">
        <v>1165600</v>
      </c>
      <c r="D1692" s="164" t="s">
        <v>2546</v>
      </c>
      <c r="E1692" s="178">
        <v>20620</v>
      </c>
      <c r="F1692" s="178" t="s">
        <v>2553</v>
      </c>
      <c r="G1692" s="178">
        <v>20620</v>
      </c>
      <c r="H1692" s="178">
        <v>0</v>
      </c>
      <c r="I1692" s="163"/>
      <c r="J1692" s="166">
        <v>0</v>
      </c>
      <c r="K1692" s="167" t="s">
        <v>1464</v>
      </c>
      <c r="L1692" s="167">
        <v>750</v>
      </c>
      <c r="M1692" s="168">
        <v>46084</v>
      </c>
      <c r="N1692" s="180" t="s">
        <v>2554</v>
      </c>
      <c r="O1692" s="182"/>
    </row>
    <row r="1693" spans="1:15" x14ac:dyDescent="0.25">
      <c r="A1693" s="154">
        <v>1693</v>
      </c>
      <c r="B1693" s="183" t="s">
        <v>2646</v>
      </c>
      <c r="C1693" s="178">
        <v>1259000</v>
      </c>
      <c r="D1693" s="164" t="s">
        <v>2546</v>
      </c>
      <c r="E1693" s="178">
        <v>25170</v>
      </c>
      <c r="F1693" s="178">
        <v>3150</v>
      </c>
      <c r="G1693" s="178">
        <f t="shared" si="0"/>
        <v>22020</v>
      </c>
      <c r="H1693" s="178">
        <v>0</v>
      </c>
      <c r="I1693" s="163"/>
      <c r="J1693" s="166">
        <v>0</v>
      </c>
      <c r="K1693" s="167" t="s">
        <v>1464</v>
      </c>
      <c r="L1693" s="167">
        <v>750</v>
      </c>
      <c r="M1693" s="168">
        <v>46084</v>
      </c>
      <c r="N1693" s="177" t="s">
        <v>2547</v>
      </c>
      <c r="O1693" s="182"/>
    </row>
    <row r="1694" spans="1:15" ht="25.5" x14ac:dyDescent="0.25">
      <c r="A1694" s="154">
        <v>1694</v>
      </c>
      <c r="B1694" s="183" t="s">
        <v>2647</v>
      </c>
      <c r="C1694" s="178">
        <v>1068555</v>
      </c>
      <c r="D1694" s="164" t="s">
        <v>2546</v>
      </c>
      <c r="E1694" s="178">
        <v>16006</v>
      </c>
      <c r="F1694" s="178" t="s">
        <v>2553</v>
      </c>
      <c r="G1694" s="178">
        <v>16006</v>
      </c>
      <c r="H1694" s="178">
        <v>0</v>
      </c>
      <c r="I1694" s="163"/>
      <c r="J1694" s="166">
        <v>0</v>
      </c>
      <c r="K1694" s="167" t="s">
        <v>1464</v>
      </c>
      <c r="L1694" s="167">
        <v>750</v>
      </c>
      <c r="M1694" s="168">
        <v>46084</v>
      </c>
      <c r="N1694" s="180" t="s">
        <v>2554</v>
      </c>
      <c r="O1694" s="182"/>
    </row>
    <row r="1695" spans="1:15" x14ac:dyDescent="0.25">
      <c r="A1695" s="154">
        <v>1695</v>
      </c>
      <c r="B1695" s="183" t="s">
        <v>2648</v>
      </c>
      <c r="C1695" s="178">
        <v>48106279</v>
      </c>
      <c r="D1695" s="164" t="s">
        <v>2546</v>
      </c>
      <c r="E1695" s="178">
        <v>1143694</v>
      </c>
      <c r="F1695" s="178">
        <v>96756</v>
      </c>
      <c r="G1695" s="178">
        <f t="shared" si="0"/>
        <v>1046938</v>
      </c>
      <c r="H1695" s="178">
        <v>0</v>
      </c>
      <c r="I1695" s="163"/>
      <c r="J1695" s="166">
        <v>0</v>
      </c>
      <c r="K1695" s="167" t="s">
        <v>1464</v>
      </c>
      <c r="L1695" s="167">
        <v>750</v>
      </c>
      <c r="M1695" s="168">
        <v>46084</v>
      </c>
      <c r="N1695" s="184" t="s">
        <v>2547</v>
      </c>
      <c r="O1695" s="182"/>
    </row>
    <row r="1696" spans="1:15" ht="51.75" x14ac:dyDescent="0.25">
      <c r="A1696" s="185">
        <v>1696</v>
      </c>
      <c r="B1696" s="181" t="s">
        <v>2649</v>
      </c>
      <c r="C1696" s="186">
        <v>2084205</v>
      </c>
      <c r="D1696" s="187" t="s">
        <v>2650</v>
      </c>
      <c r="E1696" s="186">
        <v>4800</v>
      </c>
      <c r="F1696" s="186">
        <v>4800</v>
      </c>
      <c r="G1696" s="186">
        <v>0</v>
      </c>
      <c r="H1696" s="186">
        <v>0</v>
      </c>
      <c r="I1696" s="188"/>
      <c r="J1696" s="189">
        <v>0</v>
      </c>
      <c r="K1696" s="190" t="s">
        <v>1464</v>
      </c>
      <c r="L1696" s="190">
        <v>745</v>
      </c>
      <c r="M1696" s="191">
        <v>46097</v>
      </c>
      <c r="N1696" s="192" t="s">
        <v>2651</v>
      </c>
      <c r="O1696" s="181">
        <v>111</v>
      </c>
    </row>
    <row r="1697" spans="1:15" x14ac:dyDescent="0.25">
      <c r="A1697" s="154">
        <v>1697</v>
      </c>
      <c r="B1697" s="181" t="s">
        <v>2649</v>
      </c>
      <c r="C1697" s="186">
        <v>2084205</v>
      </c>
      <c r="D1697" s="193" t="s">
        <v>2650</v>
      </c>
      <c r="E1697" s="186">
        <v>725000</v>
      </c>
      <c r="F1697" s="186">
        <v>0</v>
      </c>
      <c r="G1697" s="186">
        <v>725000</v>
      </c>
      <c r="H1697" s="186">
        <v>0</v>
      </c>
      <c r="I1697" s="163"/>
      <c r="J1697" s="166">
        <v>0</v>
      </c>
      <c r="K1697" s="167" t="s">
        <v>1464</v>
      </c>
      <c r="L1697" s="167">
        <v>745</v>
      </c>
      <c r="M1697" s="168">
        <v>46097</v>
      </c>
      <c r="N1697" s="194" t="s">
        <v>2652</v>
      </c>
      <c r="O1697" s="181">
        <v>408</v>
      </c>
    </row>
    <row r="1698" spans="1:15" x14ac:dyDescent="0.25">
      <c r="A1698" s="154">
        <v>1698</v>
      </c>
      <c r="B1698" s="181" t="s">
        <v>2653</v>
      </c>
      <c r="C1698" s="195">
        <v>602659</v>
      </c>
      <c r="D1698" s="193" t="s">
        <v>2650</v>
      </c>
      <c r="E1698" s="195">
        <v>7252</v>
      </c>
      <c r="F1698" s="195">
        <v>7252</v>
      </c>
      <c r="G1698" s="195">
        <v>0</v>
      </c>
      <c r="H1698" s="195">
        <v>0</v>
      </c>
      <c r="I1698" s="163"/>
      <c r="J1698" s="166">
        <v>0</v>
      </c>
      <c r="K1698" s="167" t="s">
        <v>1464</v>
      </c>
      <c r="L1698" s="167">
        <v>745</v>
      </c>
      <c r="M1698" s="168">
        <v>46097</v>
      </c>
      <c r="N1698" s="192" t="s">
        <v>2654</v>
      </c>
      <c r="O1698" s="181">
        <v>202</v>
      </c>
    </row>
    <row r="1699" spans="1:15" x14ac:dyDescent="0.25">
      <c r="A1699" s="154">
        <v>1699</v>
      </c>
      <c r="B1699" s="181" t="s">
        <v>2653</v>
      </c>
      <c r="C1699" s="195">
        <v>602659</v>
      </c>
      <c r="D1699" s="193" t="s">
        <v>2650</v>
      </c>
      <c r="E1699" s="195">
        <v>38035</v>
      </c>
      <c r="F1699" s="195">
        <v>38035</v>
      </c>
      <c r="G1699" s="195">
        <v>0</v>
      </c>
      <c r="H1699" s="195">
        <v>0</v>
      </c>
      <c r="I1699" s="163"/>
      <c r="J1699" s="166">
        <v>0</v>
      </c>
      <c r="K1699" s="167" t="s">
        <v>1464</v>
      </c>
      <c r="L1699" s="167">
        <v>745</v>
      </c>
      <c r="M1699" s="168">
        <v>46097</v>
      </c>
      <c r="N1699" s="192" t="s">
        <v>2655</v>
      </c>
      <c r="O1699" s="181">
        <v>201</v>
      </c>
    </row>
    <row r="1700" spans="1:15" x14ac:dyDescent="0.25">
      <c r="A1700" s="154">
        <v>1700</v>
      </c>
      <c r="B1700" s="162" t="s">
        <v>2656</v>
      </c>
      <c r="C1700" s="163">
        <v>2150217</v>
      </c>
      <c r="D1700" s="164" t="s">
        <v>2657</v>
      </c>
      <c r="E1700" s="165">
        <v>2150217</v>
      </c>
      <c r="F1700" s="165">
        <v>2150217</v>
      </c>
      <c r="G1700" s="165">
        <v>0</v>
      </c>
      <c r="H1700" s="195">
        <v>0</v>
      </c>
      <c r="I1700" s="163"/>
      <c r="J1700" s="166">
        <v>0</v>
      </c>
      <c r="K1700" s="167" t="s">
        <v>1464</v>
      </c>
      <c r="L1700" s="167">
        <v>725</v>
      </c>
      <c r="M1700" s="168">
        <v>46091</v>
      </c>
      <c r="N1700" s="192" t="s">
        <v>2658</v>
      </c>
      <c r="O1700" s="181">
        <v>816</v>
      </c>
    </row>
    <row r="1701" spans="1:15" x14ac:dyDescent="0.25">
      <c r="A1701" s="154">
        <v>1701</v>
      </c>
      <c r="B1701" s="196" t="s">
        <v>2659</v>
      </c>
      <c r="C1701" s="197">
        <v>93400</v>
      </c>
      <c r="D1701" s="164" t="s">
        <v>2660</v>
      </c>
      <c r="E1701" s="198">
        <v>27699</v>
      </c>
      <c r="F1701" s="198">
        <v>13952</v>
      </c>
      <c r="G1701" s="198">
        <v>13747</v>
      </c>
      <c r="H1701" s="198">
        <v>0</v>
      </c>
      <c r="I1701" s="163"/>
      <c r="J1701" s="166">
        <v>0</v>
      </c>
      <c r="K1701" s="167" t="s">
        <v>1464</v>
      </c>
      <c r="L1701" s="167">
        <v>744</v>
      </c>
      <c r="M1701" s="168">
        <v>46096</v>
      </c>
      <c r="N1701" s="192" t="s">
        <v>2661</v>
      </c>
      <c r="O1701" s="181" t="s">
        <v>212</v>
      </c>
    </row>
    <row r="1702" spans="1:15" x14ac:dyDescent="0.25">
      <c r="A1702" s="154">
        <v>1702</v>
      </c>
      <c r="B1702" s="196" t="s">
        <v>2662</v>
      </c>
      <c r="C1702" s="197">
        <v>1819675</v>
      </c>
      <c r="D1702" s="164" t="s">
        <v>2660</v>
      </c>
      <c r="E1702" s="198">
        <v>27700</v>
      </c>
      <c r="F1702" s="198">
        <v>13952</v>
      </c>
      <c r="G1702" s="198">
        <v>13748</v>
      </c>
      <c r="H1702" s="198">
        <v>0</v>
      </c>
      <c r="I1702" s="163"/>
      <c r="J1702" s="166">
        <v>0</v>
      </c>
      <c r="K1702" s="167" t="s">
        <v>1464</v>
      </c>
      <c r="L1702" s="167">
        <v>744</v>
      </c>
      <c r="M1702" s="168">
        <v>46096</v>
      </c>
      <c r="N1702" s="192" t="s">
        <v>2663</v>
      </c>
      <c r="O1702" s="181" t="s">
        <v>185</v>
      </c>
    </row>
    <row r="1703" spans="1:15" x14ac:dyDescent="0.25">
      <c r="A1703" s="154">
        <v>1703</v>
      </c>
      <c r="B1703" s="196" t="s">
        <v>2662</v>
      </c>
      <c r="C1703" s="197">
        <v>1819675</v>
      </c>
      <c r="D1703" s="164" t="s">
        <v>2660</v>
      </c>
      <c r="E1703" s="198">
        <v>39000</v>
      </c>
      <c r="F1703" s="198">
        <v>19602</v>
      </c>
      <c r="G1703" s="198">
        <v>19398</v>
      </c>
      <c r="H1703" s="198">
        <v>0</v>
      </c>
      <c r="I1703" s="163"/>
      <c r="J1703" s="166">
        <v>0</v>
      </c>
      <c r="K1703" s="167" t="s">
        <v>1464</v>
      </c>
      <c r="L1703" s="167">
        <v>744</v>
      </c>
      <c r="M1703" s="168">
        <v>46096</v>
      </c>
      <c r="N1703" s="192" t="s">
        <v>2661</v>
      </c>
      <c r="O1703" s="181" t="s">
        <v>212</v>
      </c>
    </row>
    <row r="1704" spans="1:15" x14ac:dyDescent="0.25">
      <c r="A1704" s="154">
        <v>1704</v>
      </c>
      <c r="B1704" s="196" t="s">
        <v>2662</v>
      </c>
      <c r="C1704" s="197">
        <v>1819675</v>
      </c>
      <c r="D1704" s="164" t="s">
        <v>2660</v>
      </c>
      <c r="E1704" s="198">
        <v>260465</v>
      </c>
      <c r="F1704" s="198">
        <v>130335</v>
      </c>
      <c r="G1704" s="198">
        <v>130130</v>
      </c>
      <c r="H1704" s="198">
        <v>0</v>
      </c>
      <c r="I1704" s="163"/>
      <c r="J1704" s="166">
        <v>0</v>
      </c>
      <c r="K1704" s="167" t="s">
        <v>1464</v>
      </c>
      <c r="L1704" s="167">
        <v>744</v>
      </c>
      <c r="M1704" s="168">
        <v>46096</v>
      </c>
      <c r="N1704" s="199" t="s">
        <v>2664</v>
      </c>
      <c r="O1704" s="181" t="s">
        <v>215</v>
      </c>
    </row>
    <row r="1705" spans="1:15" x14ac:dyDescent="0.25">
      <c r="A1705" s="154">
        <v>1705</v>
      </c>
      <c r="B1705" s="196" t="s">
        <v>2662</v>
      </c>
      <c r="C1705" s="197">
        <v>1819675</v>
      </c>
      <c r="D1705" s="164" t="s">
        <v>2660</v>
      </c>
      <c r="E1705" s="198">
        <v>11857</v>
      </c>
      <c r="F1705" s="198">
        <v>6031</v>
      </c>
      <c r="G1705" s="198">
        <v>5826</v>
      </c>
      <c r="H1705" s="198">
        <v>0</v>
      </c>
      <c r="I1705" s="163"/>
      <c r="J1705" s="166">
        <v>0</v>
      </c>
      <c r="K1705" s="167" t="s">
        <v>1464</v>
      </c>
      <c r="L1705" s="167">
        <v>744</v>
      </c>
      <c r="M1705" s="168">
        <v>46096</v>
      </c>
      <c r="N1705" s="192" t="s">
        <v>2665</v>
      </c>
      <c r="O1705" s="181" t="s">
        <v>1016</v>
      </c>
    </row>
    <row r="1706" spans="1:15" x14ac:dyDescent="0.25">
      <c r="A1706" s="154">
        <v>1706</v>
      </c>
      <c r="B1706" s="196" t="s">
        <v>2662</v>
      </c>
      <c r="C1706" s="197">
        <v>1819675</v>
      </c>
      <c r="D1706" s="164" t="s">
        <v>2660</v>
      </c>
      <c r="E1706" s="198">
        <v>13141</v>
      </c>
      <c r="F1706" s="198">
        <v>6673</v>
      </c>
      <c r="G1706" s="198">
        <v>6468</v>
      </c>
      <c r="H1706" s="198">
        <v>0</v>
      </c>
      <c r="I1706" s="163"/>
      <c r="J1706" s="166">
        <v>0</v>
      </c>
      <c r="K1706" s="167" t="s">
        <v>1464</v>
      </c>
      <c r="L1706" s="167">
        <v>744</v>
      </c>
      <c r="M1706" s="168">
        <v>46096</v>
      </c>
      <c r="N1706" s="192" t="s">
        <v>2666</v>
      </c>
      <c r="O1706" s="181" t="s">
        <v>227</v>
      </c>
    </row>
    <row r="1707" spans="1:15" x14ac:dyDescent="0.25">
      <c r="A1707" s="154">
        <v>1707</v>
      </c>
      <c r="B1707" s="196" t="s">
        <v>2667</v>
      </c>
      <c r="C1707" s="197">
        <v>76325036</v>
      </c>
      <c r="D1707" s="164" t="s">
        <v>2660</v>
      </c>
      <c r="E1707" s="198">
        <v>2153400</v>
      </c>
      <c r="F1707" s="198">
        <v>0</v>
      </c>
      <c r="G1707" s="198">
        <v>2153400</v>
      </c>
      <c r="H1707" s="198">
        <v>0</v>
      </c>
      <c r="I1707" s="163"/>
      <c r="J1707" s="166">
        <v>0</v>
      </c>
      <c r="K1707" s="167" t="s">
        <v>1464</v>
      </c>
      <c r="L1707" s="167">
        <v>744</v>
      </c>
      <c r="M1707" s="168">
        <v>46096</v>
      </c>
      <c r="N1707" s="192" t="s">
        <v>1582</v>
      </c>
      <c r="O1707" s="181" t="s">
        <v>1810</v>
      </c>
    </row>
    <row r="1708" spans="1:15" x14ac:dyDescent="0.25">
      <c r="A1708" s="154">
        <v>1708</v>
      </c>
      <c r="B1708" s="196" t="s">
        <v>2667</v>
      </c>
      <c r="C1708" s="197">
        <v>76325036</v>
      </c>
      <c r="D1708" s="164" t="s">
        <v>2660</v>
      </c>
      <c r="E1708" s="198">
        <v>4080340</v>
      </c>
      <c r="F1708" s="198">
        <v>0</v>
      </c>
      <c r="G1708" s="198">
        <v>4080340</v>
      </c>
      <c r="H1708" s="198">
        <v>0</v>
      </c>
      <c r="I1708" s="163"/>
      <c r="J1708" s="166">
        <v>0</v>
      </c>
      <c r="K1708" s="167" t="s">
        <v>1464</v>
      </c>
      <c r="L1708" s="167">
        <v>744</v>
      </c>
      <c r="M1708" s="168">
        <v>46096</v>
      </c>
      <c r="N1708" s="192" t="s">
        <v>1582</v>
      </c>
      <c r="O1708" s="181" t="s">
        <v>336</v>
      </c>
    </row>
    <row r="1709" spans="1:15" x14ac:dyDescent="0.25">
      <c r="A1709" s="154">
        <v>1709</v>
      </c>
      <c r="B1709" s="196" t="s">
        <v>2667</v>
      </c>
      <c r="C1709" s="197">
        <v>76325036</v>
      </c>
      <c r="D1709" s="164" t="s">
        <v>2660</v>
      </c>
      <c r="E1709" s="198">
        <v>578410</v>
      </c>
      <c r="F1709" s="198">
        <v>0</v>
      </c>
      <c r="G1709" s="198">
        <v>578410</v>
      </c>
      <c r="H1709" s="198">
        <v>0</v>
      </c>
      <c r="I1709" s="163"/>
      <c r="J1709" s="166">
        <v>0</v>
      </c>
      <c r="K1709" s="167" t="s">
        <v>1464</v>
      </c>
      <c r="L1709" s="167">
        <v>744</v>
      </c>
      <c r="M1709" s="168">
        <v>46096</v>
      </c>
      <c r="N1709" s="192" t="s">
        <v>1582</v>
      </c>
      <c r="O1709" s="181" t="s">
        <v>1848</v>
      </c>
    </row>
    <row r="1710" spans="1:15" x14ac:dyDescent="0.25">
      <c r="A1710" s="154">
        <v>1710</v>
      </c>
      <c r="B1710" s="196" t="s">
        <v>2667</v>
      </c>
      <c r="C1710" s="197">
        <v>76325036</v>
      </c>
      <c r="D1710" s="164" t="s">
        <v>2660</v>
      </c>
      <c r="E1710" s="198">
        <v>69512886</v>
      </c>
      <c r="F1710" s="198">
        <v>7723654</v>
      </c>
      <c r="G1710" s="198">
        <v>61789232</v>
      </c>
      <c r="H1710" s="198">
        <v>0</v>
      </c>
      <c r="I1710" s="163"/>
      <c r="J1710" s="166">
        <v>0</v>
      </c>
      <c r="K1710" s="167" t="s">
        <v>1464</v>
      </c>
      <c r="L1710" s="167">
        <v>744</v>
      </c>
      <c r="M1710" s="168">
        <v>46096</v>
      </c>
      <c r="N1710" s="192" t="s">
        <v>2668</v>
      </c>
      <c r="O1710" s="181" t="s">
        <v>413</v>
      </c>
    </row>
    <row r="1711" spans="1:15" x14ac:dyDescent="0.25">
      <c r="A1711" s="154">
        <v>1711</v>
      </c>
      <c r="B1711" s="196" t="s">
        <v>2669</v>
      </c>
      <c r="C1711" s="197">
        <v>691700</v>
      </c>
      <c r="D1711" s="164" t="s">
        <v>2660</v>
      </c>
      <c r="E1711" s="198">
        <v>36755</v>
      </c>
      <c r="F1711" s="198">
        <v>18480</v>
      </c>
      <c r="G1711" s="198">
        <v>18275</v>
      </c>
      <c r="H1711" s="198">
        <v>0</v>
      </c>
      <c r="I1711" s="163"/>
      <c r="J1711" s="166">
        <v>0</v>
      </c>
      <c r="K1711" s="167" t="s">
        <v>1464</v>
      </c>
      <c r="L1711" s="167">
        <v>744</v>
      </c>
      <c r="M1711" s="168">
        <v>46096</v>
      </c>
      <c r="N1711" s="192" t="s">
        <v>2663</v>
      </c>
      <c r="O1711" s="181" t="s">
        <v>185</v>
      </c>
    </row>
    <row r="1712" spans="1:15" x14ac:dyDescent="0.25">
      <c r="A1712" s="154">
        <v>1712</v>
      </c>
      <c r="B1712" s="196" t="s">
        <v>2669</v>
      </c>
      <c r="C1712" s="197">
        <v>691700</v>
      </c>
      <c r="D1712" s="164" t="s">
        <v>2660</v>
      </c>
      <c r="E1712" s="198">
        <v>120725</v>
      </c>
      <c r="F1712" s="198">
        <v>60465</v>
      </c>
      <c r="G1712" s="198">
        <v>60260</v>
      </c>
      <c r="H1712" s="198">
        <v>0</v>
      </c>
      <c r="I1712" s="163"/>
      <c r="J1712" s="166">
        <v>0</v>
      </c>
      <c r="K1712" s="167" t="s">
        <v>1464</v>
      </c>
      <c r="L1712" s="167">
        <v>744</v>
      </c>
      <c r="M1712" s="168">
        <v>46096</v>
      </c>
      <c r="N1712" s="199" t="s">
        <v>2664</v>
      </c>
      <c r="O1712" s="181" t="s">
        <v>215</v>
      </c>
    </row>
    <row r="1713" spans="1:15" x14ac:dyDescent="0.25">
      <c r="A1713" s="154">
        <v>1713</v>
      </c>
      <c r="B1713" s="196" t="s">
        <v>2670</v>
      </c>
      <c r="C1713" s="197">
        <v>4458178</v>
      </c>
      <c r="D1713" s="164" t="s">
        <v>2660</v>
      </c>
      <c r="E1713" s="198">
        <v>32610</v>
      </c>
      <c r="F1713" s="198">
        <v>16407</v>
      </c>
      <c r="G1713" s="198">
        <v>16203</v>
      </c>
      <c r="H1713" s="198">
        <v>0</v>
      </c>
      <c r="I1713" s="163"/>
      <c r="J1713" s="166">
        <v>0</v>
      </c>
      <c r="K1713" s="167" t="s">
        <v>1464</v>
      </c>
      <c r="L1713" s="167">
        <v>744</v>
      </c>
      <c r="M1713" s="168">
        <v>46096</v>
      </c>
      <c r="N1713" s="192" t="s">
        <v>2663</v>
      </c>
      <c r="O1713" s="181" t="s">
        <v>185</v>
      </c>
    </row>
    <row r="1714" spans="1:15" x14ac:dyDescent="0.25">
      <c r="A1714" s="154">
        <v>1714</v>
      </c>
      <c r="B1714" s="196" t="s">
        <v>2670</v>
      </c>
      <c r="C1714" s="197">
        <v>4458178</v>
      </c>
      <c r="D1714" s="164" t="s">
        <v>2660</v>
      </c>
      <c r="E1714" s="198">
        <v>113871</v>
      </c>
      <c r="F1714" s="198">
        <v>57038</v>
      </c>
      <c r="G1714" s="198">
        <v>56833</v>
      </c>
      <c r="H1714" s="198">
        <v>0</v>
      </c>
      <c r="I1714" s="163"/>
      <c r="J1714" s="166">
        <v>0</v>
      </c>
      <c r="K1714" s="167" t="s">
        <v>1464</v>
      </c>
      <c r="L1714" s="167">
        <v>744</v>
      </c>
      <c r="M1714" s="168">
        <v>46096</v>
      </c>
      <c r="N1714" s="192" t="s">
        <v>2661</v>
      </c>
      <c r="O1714" s="181" t="s">
        <v>212</v>
      </c>
    </row>
    <row r="1715" spans="1:15" x14ac:dyDescent="0.25">
      <c r="A1715" s="154">
        <v>1715</v>
      </c>
      <c r="B1715" s="196" t="s">
        <v>2670</v>
      </c>
      <c r="C1715" s="197">
        <v>4458178</v>
      </c>
      <c r="D1715" s="164" t="s">
        <v>2660</v>
      </c>
      <c r="E1715" s="198">
        <v>306775</v>
      </c>
      <c r="F1715" s="198">
        <v>153490</v>
      </c>
      <c r="G1715" s="198">
        <v>153285</v>
      </c>
      <c r="H1715" s="198">
        <v>0</v>
      </c>
      <c r="I1715" s="163"/>
      <c r="J1715" s="166">
        <v>0</v>
      </c>
      <c r="K1715" s="167" t="s">
        <v>1464</v>
      </c>
      <c r="L1715" s="167">
        <v>744</v>
      </c>
      <c r="M1715" s="168">
        <v>46096</v>
      </c>
      <c r="N1715" s="199" t="s">
        <v>2664</v>
      </c>
      <c r="O1715" s="181" t="s">
        <v>215</v>
      </c>
    </row>
    <row r="1716" spans="1:15" x14ac:dyDescent="0.25">
      <c r="A1716" s="154">
        <v>1716</v>
      </c>
      <c r="B1716" s="196" t="s">
        <v>2670</v>
      </c>
      <c r="C1716" s="197">
        <v>4458178</v>
      </c>
      <c r="D1716" s="164" t="s">
        <v>2660</v>
      </c>
      <c r="E1716" s="198">
        <v>31216</v>
      </c>
      <c r="F1716" s="198">
        <v>15710</v>
      </c>
      <c r="G1716" s="198">
        <v>15506</v>
      </c>
      <c r="H1716" s="198">
        <v>0</v>
      </c>
      <c r="I1716" s="163"/>
      <c r="J1716" s="166">
        <v>0</v>
      </c>
      <c r="K1716" s="167" t="s">
        <v>1464</v>
      </c>
      <c r="L1716" s="167">
        <v>744</v>
      </c>
      <c r="M1716" s="168">
        <v>46096</v>
      </c>
      <c r="N1716" s="192" t="s">
        <v>2665</v>
      </c>
      <c r="O1716" s="181" t="s">
        <v>1016</v>
      </c>
    </row>
    <row r="1717" spans="1:15" x14ac:dyDescent="0.25">
      <c r="A1717" s="154">
        <v>1717</v>
      </c>
      <c r="B1717" s="196" t="s">
        <v>2670</v>
      </c>
      <c r="C1717" s="197">
        <v>4458178</v>
      </c>
      <c r="D1717" s="164" t="s">
        <v>2660</v>
      </c>
      <c r="E1717" s="198">
        <v>9305</v>
      </c>
      <c r="F1717" s="198">
        <v>4755</v>
      </c>
      <c r="G1717" s="198">
        <v>4550</v>
      </c>
      <c r="H1717" s="198">
        <v>0</v>
      </c>
      <c r="I1717" s="163"/>
      <c r="J1717" s="166">
        <v>0</v>
      </c>
      <c r="K1717" s="167" t="s">
        <v>1464</v>
      </c>
      <c r="L1717" s="167">
        <v>744</v>
      </c>
      <c r="M1717" s="168">
        <v>46096</v>
      </c>
      <c r="N1717" s="192" t="s">
        <v>2666</v>
      </c>
      <c r="O1717" s="181" t="s">
        <v>227</v>
      </c>
    </row>
    <row r="1718" spans="1:15" x14ac:dyDescent="0.25">
      <c r="A1718" s="154">
        <v>1718</v>
      </c>
      <c r="B1718" s="196" t="s">
        <v>2671</v>
      </c>
      <c r="C1718" s="197">
        <v>406600</v>
      </c>
      <c r="D1718" s="164" t="s">
        <v>2660</v>
      </c>
      <c r="E1718" s="198">
        <v>96130</v>
      </c>
      <c r="F1718" s="198">
        <v>48167</v>
      </c>
      <c r="G1718" s="198">
        <v>47963</v>
      </c>
      <c r="H1718" s="198">
        <v>0</v>
      </c>
      <c r="I1718" s="163"/>
      <c r="J1718" s="166">
        <v>0</v>
      </c>
      <c r="K1718" s="167" t="s">
        <v>1464</v>
      </c>
      <c r="L1718" s="167">
        <v>744</v>
      </c>
      <c r="M1718" s="168">
        <v>46096</v>
      </c>
      <c r="N1718" s="199" t="s">
        <v>2664</v>
      </c>
      <c r="O1718" s="181" t="s">
        <v>215</v>
      </c>
    </row>
    <row r="1719" spans="1:15" x14ac:dyDescent="0.25">
      <c r="A1719" s="154">
        <v>1719</v>
      </c>
      <c r="B1719" s="196" t="s">
        <v>2671</v>
      </c>
      <c r="C1719" s="197">
        <v>406600</v>
      </c>
      <c r="D1719" s="164" t="s">
        <v>2660</v>
      </c>
      <c r="E1719" s="198">
        <v>140</v>
      </c>
      <c r="F1719" s="198">
        <v>140</v>
      </c>
      <c r="G1719" s="198">
        <v>0</v>
      </c>
      <c r="H1719" s="198">
        <v>0</v>
      </c>
      <c r="I1719" s="163"/>
      <c r="J1719" s="166">
        <v>0</v>
      </c>
      <c r="K1719" s="167" t="s">
        <v>1464</v>
      </c>
      <c r="L1719" s="167">
        <v>744</v>
      </c>
      <c r="M1719" s="168">
        <v>46096</v>
      </c>
      <c r="N1719" s="192" t="s">
        <v>2672</v>
      </c>
      <c r="O1719" s="181" t="s">
        <v>1016</v>
      </c>
    </row>
    <row r="1720" spans="1:15" x14ac:dyDescent="0.25">
      <c r="A1720" s="154">
        <v>1720</v>
      </c>
      <c r="B1720" s="196" t="s">
        <v>2671</v>
      </c>
      <c r="C1720" s="197">
        <v>406600</v>
      </c>
      <c r="D1720" s="164" t="s">
        <v>2660</v>
      </c>
      <c r="E1720" s="198">
        <v>216</v>
      </c>
      <c r="F1720" s="198">
        <v>216</v>
      </c>
      <c r="G1720" s="198">
        <v>0</v>
      </c>
      <c r="H1720" s="198">
        <v>0</v>
      </c>
      <c r="I1720" s="163"/>
      <c r="J1720" s="166">
        <v>0</v>
      </c>
      <c r="K1720" s="167" t="s">
        <v>1464</v>
      </c>
      <c r="L1720" s="167">
        <v>744</v>
      </c>
      <c r="M1720" s="168">
        <v>46096</v>
      </c>
      <c r="N1720" s="192" t="s">
        <v>2673</v>
      </c>
      <c r="O1720" s="181" t="s">
        <v>227</v>
      </c>
    </row>
    <row r="1721" spans="1:15" x14ac:dyDescent="0.25">
      <c r="A1721" s="154">
        <v>1721</v>
      </c>
      <c r="B1721" s="196" t="s">
        <v>2674</v>
      </c>
      <c r="C1721" s="197">
        <v>4010400</v>
      </c>
      <c r="D1721" s="164" t="s">
        <v>2660</v>
      </c>
      <c r="E1721" s="198">
        <v>76835</v>
      </c>
      <c r="F1721" s="198">
        <v>38520</v>
      </c>
      <c r="G1721" s="198">
        <v>38315</v>
      </c>
      <c r="H1721" s="198">
        <v>0</v>
      </c>
      <c r="I1721" s="163"/>
      <c r="J1721" s="166">
        <v>0</v>
      </c>
      <c r="K1721" s="167" t="s">
        <v>1464</v>
      </c>
      <c r="L1721" s="167">
        <v>744</v>
      </c>
      <c r="M1721" s="168">
        <v>46096</v>
      </c>
      <c r="N1721" s="192" t="s">
        <v>2661</v>
      </c>
      <c r="O1721" s="181" t="s">
        <v>212</v>
      </c>
    </row>
    <row r="1722" spans="1:15" x14ac:dyDescent="0.25">
      <c r="A1722" s="154">
        <v>1722</v>
      </c>
      <c r="B1722" s="196" t="s">
        <v>2674</v>
      </c>
      <c r="C1722" s="197">
        <v>4010400</v>
      </c>
      <c r="D1722" s="164" t="s">
        <v>2660</v>
      </c>
      <c r="E1722" s="198">
        <v>644193</v>
      </c>
      <c r="F1722" s="198">
        <v>322199</v>
      </c>
      <c r="G1722" s="198">
        <v>321994</v>
      </c>
      <c r="H1722" s="198">
        <v>0</v>
      </c>
      <c r="I1722" s="163"/>
      <c r="J1722" s="166">
        <v>0</v>
      </c>
      <c r="K1722" s="167" t="s">
        <v>1464</v>
      </c>
      <c r="L1722" s="167">
        <v>744</v>
      </c>
      <c r="M1722" s="168">
        <v>46096</v>
      </c>
      <c r="N1722" s="199" t="s">
        <v>2664</v>
      </c>
      <c r="O1722" s="181" t="s">
        <v>215</v>
      </c>
    </row>
    <row r="1723" spans="1:15" x14ac:dyDescent="0.25">
      <c r="A1723" s="154">
        <v>1723</v>
      </c>
      <c r="B1723" s="196" t="s">
        <v>2674</v>
      </c>
      <c r="C1723" s="197">
        <v>4010400</v>
      </c>
      <c r="D1723" s="164" t="s">
        <v>2660</v>
      </c>
      <c r="E1723" s="198">
        <v>8739</v>
      </c>
      <c r="F1723" s="198">
        <v>4472</v>
      </c>
      <c r="G1723" s="198">
        <v>4267</v>
      </c>
      <c r="H1723" s="198">
        <v>0</v>
      </c>
      <c r="I1723" s="163"/>
      <c r="J1723" s="166">
        <v>0</v>
      </c>
      <c r="K1723" s="167" t="s">
        <v>1464</v>
      </c>
      <c r="L1723" s="167">
        <v>744</v>
      </c>
      <c r="M1723" s="168">
        <v>46096</v>
      </c>
      <c r="N1723" s="192" t="s">
        <v>2665</v>
      </c>
      <c r="O1723" s="181" t="s">
        <v>1016</v>
      </c>
    </row>
    <row r="1724" spans="1:15" x14ac:dyDescent="0.25">
      <c r="A1724" s="154">
        <v>1724</v>
      </c>
      <c r="B1724" s="196" t="s">
        <v>2674</v>
      </c>
      <c r="C1724" s="197">
        <v>4010400</v>
      </c>
      <c r="D1724" s="164" t="s">
        <v>2660</v>
      </c>
      <c r="E1724" s="198">
        <v>321207</v>
      </c>
      <c r="F1724" s="198">
        <v>160706</v>
      </c>
      <c r="G1724" s="198">
        <v>160501</v>
      </c>
      <c r="H1724" s="198">
        <v>0</v>
      </c>
      <c r="I1724" s="163"/>
      <c r="J1724" s="166">
        <v>0</v>
      </c>
      <c r="K1724" s="167" t="s">
        <v>1464</v>
      </c>
      <c r="L1724" s="167">
        <v>744</v>
      </c>
      <c r="M1724" s="168">
        <v>46096</v>
      </c>
      <c r="N1724" s="192" t="s">
        <v>2666</v>
      </c>
      <c r="O1724" s="181" t="s">
        <v>227</v>
      </c>
    </row>
    <row r="1725" spans="1:15" x14ac:dyDescent="0.25">
      <c r="A1725" s="154">
        <v>1725</v>
      </c>
      <c r="B1725" s="196" t="s">
        <v>2674</v>
      </c>
      <c r="C1725" s="197">
        <v>4010400</v>
      </c>
      <c r="D1725" s="164" t="s">
        <v>2660</v>
      </c>
      <c r="E1725" s="198">
        <v>235600</v>
      </c>
      <c r="F1725" s="198">
        <v>0</v>
      </c>
      <c r="G1725" s="198">
        <v>235600</v>
      </c>
      <c r="H1725" s="198">
        <v>0</v>
      </c>
      <c r="I1725" s="163"/>
      <c r="J1725" s="166">
        <v>0</v>
      </c>
      <c r="K1725" s="167" t="s">
        <v>1464</v>
      </c>
      <c r="L1725" s="167">
        <v>744</v>
      </c>
      <c r="M1725" s="168">
        <v>46096</v>
      </c>
      <c r="N1725" s="192" t="s">
        <v>1582</v>
      </c>
      <c r="O1725" s="181" t="s">
        <v>1848</v>
      </c>
    </row>
    <row r="1726" spans="1:15" x14ac:dyDescent="0.25">
      <c r="A1726" s="154">
        <v>1726</v>
      </c>
      <c r="B1726" s="196" t="s">
        <v>2675</v>
      </c>
      <c r="C1726" s="197">
        <v>4882457</v>
      </c>
      <c r="D1726" s="164" t="s">
        <v>2660</v>
      </c>
      <c r="E1726" s="198">
        <v>39810</v>
      </c>
      <c r="F1726" s="198">
        <v>20007</v>
      </c>
      <c r="G1726" s="198">
        <v>19803</v>
      </c>
      <c r="H1726" s="198">
        <v>0</v>
      </c>
      <c r="I1726" s="163"/>
      <c r="J1726" s="166">
        <v>0</v>
      </c>
      <c r="K1726" s="167" t="s">
        <v>1464</v>
      </c>
      <c r="L1726" s="167">
        <v>744</v>
      </c>
      <c r="M1726" s="168">
        <v>46096</v>
      </c>
      <c r="N1726" s="192" t="s">
        <v>2663</v>
      </c>
      <c r="O1726" s="181" t="s">
        <v>185</v>
      </c>
    </row>
    <row r="1727" spans="1:15" x14ac:dyDescent="0.25">
      <c r="A1727" s="154">
        <v>1727</v>
      </c>
      <c r="B1727" s="196" t="s">
        <v>2675</v>
      </c>
      <c r="C1727" s="197">
        <v>4882457</v>
      </c>
      <c r="D1727" s="164" t="s">
        <v>2660</v>
      </c>
      <c r="E1727" s="198">
        <v>88667</v>
      </c>
      <c r="F1727" s="198">
        <v>44436</v>
      </c>
      <c r="G1727" s="198">
        <v>44231</v>
      </c>
      <c r="H1727" s="198">
        <v>0</v>
      </c>
      <c r="I1727" s="163"/>
      <c r="J1727" s="166">
        <v>0</v>
      </c>
      <c r="K1727" s="167" t="s">
        <v>1464</v>
      </c>
      <c r="L1727" s="167">
        <v>744</v>
      </c>
      <c r="M1727" s="168">
        <v>46096</v>
      </c>
      <c r="N1727" s="192" t="s">
        <v>2661</v>
      </c>
      <c r="O1727" s="181" t="s">
        <v>212</v>
      </c>
    </row>
    <row r="1728" spans="1:15" x14ac:dyDescent="0.25">
      <c r="A1728" s="154">
        <v>1728</v>
      </c>
      <c r="B1728" s="196" t="s">
        <v>2675</v>
      </c>
      <c r="C1728" s="197">
        <v>4882457</v>
      </c>
      <c r="D1728" s="164" t="s">
        <v>2660</v>
      </c>
      <c r="E1728" s="198">
        <v>906223</v>
      </c>
      <c r="F1728" s="198">
        <v>453214</v>
      </c>
      <c r="G1728" s="198">
        <v>453009</v>
      </c>
      <c r="H1728" s="198">
        <v>0</v>
      </c>
      <c r="I1728" s="163"/>
      <c r="J1728" s="166">
        <v>0</v>
      </c>
      <c r="K1728" s="167" t="s">
        <v>1464</v>
      </c>
      <c r="L1728" s="167">
        <v>744</v>
      </c>
      <c r="M1728" s="168">
        <v>46096</v>
      </c>
      <c r="N1728" s="199" t="s">
        <v>2664</v>
      </c>
      <c r="O1728" s="181" t="s">
        <v>215</v>
      </c>
    </row>
    <row r="1729" spans="1:15" x14ac:dyDescent="0.25">
      <c r="A1729" s="154">
        <v>1729</v>
      </c>
      <c r="B1729" s="196" t="s">
        <v>2675</v>
      </c>
      <c r="C1729" s="197">
        <v>4882457</v>
      </c>
      <c r="D1729" s="164" t="s">
        <v>2660</v>
      </c>
      <c r="E1729" s="198">
        <v>19415</v>
      </c>
      <c r="F1729" s="198">
        <v>9813</v>
      </c>
      <c r="G1729" s="198">
        <v>9602</v>
      </c>
      <c r="H1729" s="198">
        <v>0</v>
      </c>
      <c r="I1729" s="163"/>
      <c r="J1729" s="166">
        <v>0</v>
      </c>
      <c r="K1729" s="167" t="s">
        <v>1464</v>
      </c>
      <c r="L1729" s="167">
        <v>744</v>
      </c>
      <c r="M1729" s="168">
        <v>46096</v>
      </c>
      <c r="N1729" s="192" t="s">
        <v>2665</v>
      </c>
      <c r="O1729" s="181" t="s">
        <v>1016</v>
      </c>
    </row>
    <row r="1730" spans="1:15" x14ac:dyDescent="0.25">
      <c r="A1730" s="154">
        <v>1730</v>
      </c>
      <c r="B1730" s="196" t="s">
        <v>2675</v>
      </c>
      <c r="C1730" s="197">
        <v>4882457</v>
      </c>
      <c r="D1730" s="164" t="s">
        <v>2660</v>
      </c>
      <c r="E1730" s="198">
        <v>9172</v>
      </c>
      <c r="F1730" s="198">
        <v>4688</v>
      </c>
      <c r="G1730" s="198">
        <v>4484</v>
      </c>
      <c r="H1730" s="198">
        <v>0</v>
      </c>
      <c r="I1730" s="163"/>
      <c r="J1730" s="166">
        <v>0</v>
      </c>
      <c r="K1730" s="167" t="s">
        <v>1464</v>
      </c>
      <c r="L1730" s="167">
        <v>744</v>
      </c>
      <c r="M1730" s="168">
        <v>46096</v>
      </c>
      <c r="N1730" s="192" t="s">
        <v>2666</v>
      </c>
      <c r="O1730" s="181" t="s">
        <v>227</v>
      </c>
    </row>
    <row r="1731" spans="1:15" x14ac:dyDescent="0.25">
      <c r="A1731" s="154">
        <v>1731</v>
      </c>
      <c r="B1731" s="196" t="s">
        <v>2676</v>
      </c>
      <c r="C1731" s="197">
        <v>3854570</v>
      </c>
      <c r="D1731" s="164" t="s">
        <v>2660</v>
      </c>
      <c r="E1731" s="198">
        <v>16200</v>
      </c>
      <c r="F1731" s="198">
        <v>8202</v>
      </c>
      <c r="G1731" s="198">
        <v>7998</v>
      </c>
      <c r="H1731" s="198">
        <v>0</v>
      </c>
      <c r="I1731" s="163"/>
      <c r="J1731" s="166">
        <v>0</v>
      </c>
      <c r="K1731" s="167" t="s">
        <v>1464</v>
      </c>
      <c r="L1731" s="167">
        <v>744</v>
      </c>
      <c r="M1731" s="168">
        <v>46096</v>
      </c>
      <c r="N1731" s="192" t="s">
        <v>2663</v>
      </c>
      <c r="O1731" s="181" t="s">
        <v>185</v>
      </c>
    </row>
    <row r="1732" spans="1:15" x14ac:dyDescent="0.25">
      <c r="A1732" s="154">
        <v>1732</v>
      </c>
      <c r="B1732" s="196" t="s">
        <v>2676</v>
      </c>
      <c r="C1732" s="197">
        <v>3854570</v>
      </c>
      <c r="D1732" s="164" t="s">
        <v>2660</v>
      </c>
      <c r="E1732" s="198">
        <v>939425</v>
      </c>
      <c r="F1732" s="198">
        <v>469815</v>
      </c>
      <c r="G1732" s="198">
        <v>469610</v>
      </c>
      <c r="H1732" s="198">
        <v>0</v>
      </c>
      <c r="I1732" s="163"/>
      <c r="J1732" s="166">
        <v>0</v>
      </c>
      <c r="K1732" s="167" t="s">
        <v>1464</v>
      </c>
      <c r="L1732" s="167">
        <v>744</v>
      </c>
      <c r="M1732" s="168">
        <v>46096</v>
      </c>
      <c r="N1732" s="199" t="s">
        <v>2664</v>
      </c>
      <c r="O1732" s="181" t="s">
        <v>215</v>
      </c>
    </row>
    <row r="1733" spans="1:15" x14ac:dyDescent="0.25">
      <c r="A1733" s="154">
        <v>1733</v>
      </c>
      <c r="B1733" s="196" t="s">
        <v>2676</v>
      </c>
      <c r="C1733" s="197">
        <v>3854570</v>
      </c>
      <c r="D1733" s="164" t="s">
        <v>2660</v>
      </c>
      <c r="E1733" s="198">
        <v>36131</v>
      </c>
      <c r="F1733" s="198">
        <v>18168</v>
      </c>
      <c r="G1733" s="198">
        <v>17963</v>
      </c>
      <c r="H1733" s="198">
        <v>0</v>
      </c>
      <c r="I1733" s="163"/>
      <c r="J1733" s="166">
        <v>0</v>
      </c>
      <c r="K1733" s="167" t="s">
        <v>1464</v>
      </c>
      <c r="L1733" s="167">
        <v>744</v>
      </c>
      <c r="M1733" s="168">
        <v>46096</v>
      </c>
      <c r="N1733" s="192" t="s">
        <v>2665</v>
      </c>
      <c r="O1733" s="181" t="s">
        <v>1016</v>
      </c>
    </row>
    <row r="1734" spans="1:15" x14ac:dyDescent="0.25">
      <c r="A1734" s="154">
        <v>1734</v>
      </c>
      <c r="B1734" s="196" t="s">
        <v>2676</v>
      </c>
      <c r="C1734" s="197">
        <v>3854570</v>
      </c>
      <c r="D1734" s="164" t="s">
        <v>2660</v>
      </c>
      <c r="E1734" s="198">
        <v>435462</v>
      </c>
      <c r="F1734" s="198">
        <v>217833</v>
      </c>
      <c r="G1734" s="198">
        <v>217629</v>
      </c>
      <c r="H1734" s="198">
        <v>0</v>
      </c>
      <c r="I1734" s="163"/>
      <c r="J1734" s="166">
        <v>0</v>
      </c>
      <c r="K1734" s="167" t="s">
        <v>1464</v>
      </c>
      <c r="L1734" s="167">
        <v>744</v>
      </c>
      <c r="M1734" s="168">
        <v>46096</v>
      </c>
      <c r="N1734" s="192" t="s">
        <v>2666</v>
      </c>
      <c r="O1734" s="181" t="s">
        <v>227</v>
      </c>
    </row>
    <row r="1735" spans="1:15" x14ac:dyDescent="0.25">
      <c r="A1735" s="154">
        <v>1735</v>
      </c>
      <c r="B1735" s="196" t="s">
        <v>2677</v>
      </c>
      <c r="C1735" s="197">
        <v>9585636</v>
      </c>
      <c r="D1735" s="164" t="s">
        <v>2660</v>
      </c>
      <c r="E1735" s="198">
        <v>35802</v>
      </c>
      <c r="F1735" s="198">
        <v>18003</v>
      </c>
      <c r="G1735" s="198">
        <v>17799</v>
      </c>
      <c r="H1735" s="198">
        <v>0</v>
      </c>
      <c r="I1735" s="163"/>
      <c r="J1735" s="166">
        <v>0</v>
      </c>
      <c r="K1735" s="167" t="s">
        <v>1464</v>
      </c>
      <c r="L1735" s="167">
        <v>744</v>
      </c>
      <c r="M1735" s="168">
        <v>46096</v>
      </c>
      <c r="N1735" s="192" t="s">
        <v>2663</v>
      </c>
      <c r="O1735" s="181" t="s">
        <v>185</v>
      </c>
    </row>
    <row r="1736" spans="1:15" x14ac:dyDescent="0.25">
      <c r="A1736" s="154">
        <v>1736</v>
      </c>
      <c r="B1736" s="196" t="s">
        <v>2677</v>
      </c>
      <c r="C1736" s="197">
        <v>9585636</v>
      </c>
      <c r="D1736" s="164" t="s">
        <v>2660</v>
      </c>
      <c r="E1736" s="198">
        <v>8630</v>
      </c>
      <c r="F1736" s="198">
        <v>4417</v>
      </c>
      <c r="G1736" s="198">
        <v>4213</v>
      </c>
      <c r="H1736" s="198">
        <v>0</v>
      </c>
      <c r="I1736" s="163"/>
      <c r="J1736" s="166">
        <v>0</v>
      </c>
      <c r="K1736" s="167" t="s">
        <v>1464</v>
      </c>
      <c r="L1736" s="167">
        <v>744</v>
      </c>
      <c r="M1736" s="168">
        <v>46096</v>
      </c>
      <c r="N1736" s="192" t="s">
        <v>2661</v>
      </c>
      <c r="O1736" s="181" t="s">
        <v>212</v>
      </c>
    </row>
    <row r="1737" spans="1:15" x14ac:dyDescent="0.25">
      <c r="A1737" s="154">
        <v>1737</v>
      </c>
      <c r="B1737" s="196" t="s">
        <v>2677</v>
      </c>
      <c r="C1737" s="197">
        <v>9585636</v>
      </c>
      <c r="D1737" s="164" t="s">
        <v>2660</v>
      </c>
      <c r="E1737" s="198">
        <v>1998472</v>
      </c>
      <c r="F1737" s="198">
        <v>999338</v>
      </c>
      <c r="G1737" s="198">
        <v>999134</v>
      </c>
      <c r="H1737" s="198">
        <v>0</v>
      </c>
      <c r="I1737" s="163"/>
      <c r="J1737" s="166">
        <v>0</v>
      </c>
      <c r="K1737" s="167" t="s">
        <v>1464</v>
      </c>
      <c r="L1737" s="167">
        <v>744</v>
      </c>
      <c r="M1737" s="168">
        <v>46096</v>
      </c>
      <c r="N1737" s="199" t="s">
        <v>2664</v>
      </c>
      <c r="O1737" s="181" t="s">
        <v>215</v>
      </c>
    </row>
    <row r="1738" spans="1:15" x14ac:dyDescent="0.25">
      <c r="A1738" s="154">
        <v>1738</v>
      </c>
      <c r="B1738" s="196" t="s">
        <v>2677</v>
      </c>
      <c r="C1738" s="197">
        <v>9585636</v>
      </c>
      <c r="D1738" s="164" t="s">
        <v>2660</v>
      </c>
      <c r="E1738" s="198">
        <v>24911</v>
      </c>
      <c r="F1738" s="198">
        <v>12558</v>
      </c>
      <c r="G1738" s="198">
        <v>12353</v>
      </c>
      <c r="H1738" s="198">
        <v>0</v>
      </c>
      <c r="I1738" s="163"/>
      <c r="J1738" s="166">
        <v>0</v>
      </c>
      <c r="K1738" s="167" t="s">
        <v>1464</v>
      </c>
      <c r="L1738" s="167">
        <v>744</v>
      </c>
      <c r="M1738" s="168">
        <v>46096</v>
      </c>
      <c r="N1738" s="192" t="s">
        <v>2665</v>
      </c>
      <c r="O1738" s="181" t="s">
        <v>1016</v>
      </c>
    </row>
    <row r="1739" spans="1:15" x14ac:dyDescent="0.25">
      <c r="A1739" s="154">
        <v>1739</v>
      </c>
      <c r="B1739" s="196" t="s">
        <v>2677</v>
      </c>
      <c r="C1739" s="197">
        <v>9585636</v>
      </c>
      <c r="D1739" s="164" t="s">
        <v>2660</v>
      </c>
      <c r="E1739" s="198">
        <v>320500</v>
      </c>
      <c r="F1739" s="198">
        <v>0</v>
      </c>
      <c r="G1739" s="198">
        <v>320500</v>
      </c>
      <c r="H1739" s="198">
        <v>0</v>
      </c>
      <c r="I1739" s="163"/>
      <c r="J1739" s="166">
        <v>0</v>
      </c>
      <c r="K1739" s="167" t="s">
        <v>1464</v>
      </c>
      <c r="L1739" s="167">
        <v>744</v>
      </c>
      <c r="M1739" s="168">
        <v>46096</v>
      </c>
      <c r="N1739" s="192" t="s">
        <v>1582</v>
      </c>
      <c r="O1739" s="181" t="s">
        <v>1810</v>
      </c>
    </row>
    <row r="1740" spans="1:15" x14ac:dyDescent="0.25">
      <c r="A1740" s="154">
        <v>1740</v>
      </c>
      <c r="B1740" s="196" t="s">
        <v>2677</v>
      </c>
      <c r="C1740" s="197">
        <v>9585636</v>
      </c>
      <c r="D1740" s="164" t="s">
        <v>2660</v>
      </c>
      <c r="E1740" s="198">
        <v>85460</v>
      </c>
      <c r="F1740" s="198">
        <v>0</v>
      </c>
      <c r="G1740" s="198">
        <v>85460</v>
      </c>
      <c r="H1740" s="198">
        <v>0</v>
      </c>
      <c r="I1740" s="163"/>
      <c r="J1740" s="166">
        <v>0</v>
      </c>
      <c r="K1740" s="167" t="s">
        <v>1464</v>
      </c>
      <c r="L1740" s="167">
        <v>744</v>
      </c>
      <c r="M1740" s="168">
        <v>46096</v>
      </c>
      <c r="N1740" s="192" t="s">
        <v>1582</v>
      </c>
      <c r="O1740" s="181" t="s">
        <v>1848</v>
      </c>
    </row>
    <row r="1741" spans="1:15" x14ac:dyDescent="0.25">
      <c r="A1741" s="154">
        <v>1741</v>
      </c>
      <c r="B1741" s="196" t="s">
        <v>2678</v>
      </c>
      <c r="C1741" s="197">
        <v>4043500</v>
      </c>
      <c r="D1741" s="164" t="s">
        <v>2660</v>
      </c>
      <c r="E1741" s="198">
        <v>8555</v>
      </c>
      <c r="F1741" s="198">
        <v>4380</v>
      </c>
      <c r="G1741" s="198">
        <v>4175</v>
      </c>
      <c r="H1741" s="198">
        <v>0</v>
      </c>
      <c r="I1741" s="163"/>
      <c r="J1741" s="166">
        <v>0</v>
      </c>
      <c r="K1741" s="167" t="s">
        <v>1464</v>
      </c>
      <c r="L1741" s="167">
        <v>744</v>
      </c>
      <c r="M1741" s="168">
        <v>46096</v>
      </c>
      <c r="N1741" s="192" t="s">
        <v>2663</v>
      </c>
      <c r="O1741" s="181" t="s">
        <v>185</v>
      </c>
    </row>
    <row r="1742" spans="1:15" x14ac:dyDescent="0.25">
      <c r="A1742" s="154">
        <v>1742</v>
      </c>
      <c r="B1742" s="196" t="s">
        <v>2678</v>
      </c>
      <c r="C1742" s="197">
        <v>4043500</v>
      </c>
      <c r="D1742" s="164" t="s">
        <v>2660</v>
      </c>
      <c r="E1742" s="198">
        <v>76622</v>
      </c>
      <c r="F1742" s="198">
        <v>38413</v>
      </c>
      <c r="G1742" s="198">
        <v>38209</v>
      </c>
      <c r="H1742" s="198">
        <v>0</v>
      </c>
      <c r="I1742" s="163"/>
      <c r="J1742" s="166">
        <v>0</v>
      </c>
      <c r="K1742" s="167" t="s">
        <v>1464</v>
      </c>
      <c r="L1742" s="167">
        <v>744</v>
      </c>
      <c r="M1742" s="168">
        <v>46096</v>
      </c>
      <c r="N1742" s="192" t="s">
        <v>2661</v>
      </c>
      <c r="O1742" s="181" t="s">
        <v>212</v>
      </c>
    </row>
    <row r="1743" spans="1:15" x14ac:dyDescent="0.25">
      <c r="A1743" s="154">
        <v>1743</v>
      </c>
      <c r="B1743" s="196" t="s">
        <v>2678</v>
      </c>
      <c r="C1743" s="197">
        <v>4043500</v>
      </c>
      <c r="D1743" s="164" t="s">
        <v>2660</v>
      </c>
      <c r="E1743" s="198">
        <v>760283</v>
      </c>
      <c r="F1743" s="198">
        <v>380244</v>
      </c>
      <c r="G1743" s="198">
        <v>380039</v>
      </c>
      <c r="H1743" s="198">
        <v>0</v>
      </c>
      <c r="I1743" s="163"/>
      <c r="J1743" s="166">
        <v>0</v>
      </c>
      <c r="K1743" s="167" t="s">
        <v>1464</v>
      </c>
      <c r="L1743" s="167">
        <v>744</v>
      </c>
      <c r="M1743" s="168">
        <v>46096</v>
      </c>
      <c r="N1743" s="199" t="s">
        <v>2664</v>
      </c>
      <c r="O1743" s="181" t="s">
        <v>215</v>
      </c>
    </row>
    <row r="1744" spans="1:15" x14ac:dyDescent="0.25">
      <c r="A1744" s="154">
        <v>1744</v>
      </c>
      <c r="B1744" s="196" t="s">
        <v>2678</v>
      </c>
      <c r="C1744" s="197">
        <v>4043500</v>
      </c>
      <c r="D1744" s="164" t="s">
        <v>2660</v>
      </c>
      <c r="E1744" s="198">
        <v>208</v>
      </c>
      <c r="F1744" s="198">
        <v>208</v>
      </c>
      <c r="G1744" s="198">
        <v>0</v>
      </c>
      <c r="H1744" s="198">
        <v>0</v>
      </c>
      <c r="I1744" s="163"/>
      <c r="J1744" s="166">
        <v>0</v>
      </c>
      <c r="K1744" s="167" t="s">
        <v>1464</v>
      </c>
      <c r="L1744" s="167">
        <v>744</v>
      </c>
      <c r="M1744" s="168">
        <v>46096</v>
      </c>
      <c r="N1744" s="192" t="s">
        <v>2672</v>
      </c>
      <c r="O1744" s="181" t="s">
        <v>1016</v>
      </c>
    </row>
    <row r="1745" spans="1:15" x14ac:dyDescent="0.25">
      <c r="A1745" s="154">
        <v>1745</v>
      </c>
      <c r="B1745" s="196" t="s">
        <v>2678</v>
      </c>
      <c r="C1745" s="197">
        <v>4043500</v>
      </c>
      <c r="D1745" s="164" t="s">
        <v>2660</v>
      </c>
      <c r="E1745" s="198">
        <v>640200</v>
      </c>
      <c r="F1745" s="198">
        <v>0</v>
      </c>
      <c r="G1745" s="198">
        <v>640200</v>
      </c>
      <c r="H1745" s="198">
        <v>0</v>
      </c>
      <c r="I1745" s="163"/>
      <c r="J1745" s="166">
        <v>0</v>
      </c>
      <c r="K1745" s="167" t="s">
        <v>1464</v>
      </c>
      <c r="L1745" s="167">
        <v>744</v>
      </c>
      <c r="M1745" s="168">
        <v>46096</v>
      </c>
      <c r="N1745" s="192" t="s">
        <v>1582</v>
      </c>
      <c r="O1745" s="181" t="s">
        <v>224</v>
      </c>
    </row>
    <row r="1746" spans="1:15" x14ac:dyDescent="0.25">
      <c r="A1746" s="154">
        <v>1746</v>
      </c>
      <c r="B1746" s="196" t="s">
        <v>2678</v>
      </c>
      <c r="C1746" s="197">
        <v>4043500</v>
      </c>
      <c r="D1746" s="164" t="s">
        <v>2660</v>
      </c>
      <c r="E1746" s="198">
        <v>351</v>
      </c>
      <c r="F1746" s="198">
        <v>351</v>
      </c>
      <c r="G1746" s="198">
        <v>0</v>
      </c>
      <c r="H1746" s="198">
        <v>0</v>
      </c>
      <c r="I1746" s="163"/>
      <c r="J1746" s="166">
        <v>0</v>
      </c>
      <c r="K1746" s="167" t="s">
        <v>1464</v>
      </c>
      <c r="L1746" s="167">
        <v>744</v>
      </c>
      <c r="M1746" s="168">
        <v>46096</v>
      </c>
      <c r="N1746" s="192" t="s">
        <v>2673</v>
      </c>
      <c r="O1746" s="181" t="s">
        <v>227</v>
      </c>
    </row>
    <row r="1747" spans="1:15" x14ac:dyDescent="0.25">
      <c r="A1747" s="154">
        <v>1747</v>
      </c>
      <c r="B1747" s="196" t="s">
        <v>2679</v>
      </c>
      <c r="C1747" s="197">
        <v>2666896</v>
      </c>
      <c r="D1747" s="164" t="s">
        <v>2660</v>
      </c>
      <c r="E1747" s="198">
        <v>74932</v>
      </c>
      <c r="F1747" s="198">
        <v>37568</v>
      </c>
      <c r="G1747" s="198">
        <v>37364</v>
      </c>
      <c r="H1747" s="198">
        <v>0</v>
      </c>
      <c r="I1747" s="163"/>
      <c r="J1747" s="166">
        <v>0</v>
      </c>
      <c r="K1747" s="167" t="s">
        <v>1464</v>
      </c>
      <c r="L1747" s="167">
        <v>744</v>
      </c>
      <c r="M1747" s="168">
        <v>46096</v>
      </c>
      <c r="N1747" s="192" t="s">
        <v>2661</v>
      </c>
      <c r="O1747" s="181" t="s">
        <v>212</v>
      </c>
    </row>
    <row r="1748" spans="1:15" x14ac:dyDescent="0.25">
      <c r="A1748" s="154">
        <v>1748</v>
      </c>
      <c r="B1748" s="196" t="s">
        <v>2679</v>
      </c>
      <c r="C1748" s="197">
        <v>2666896</v>
      </c>
      <c r="D1748" s="164" t="s">
        <v>2660</v>
      </c>
      <c r="E1748" s="198">
        <v>156160</v>
      </c>
      <c r="F1748" s="198">
        <v>78182</v>
      </c>
      <c r="G1748" s="198">
        <v>77978</v>
      </c>
      <c r="H1748" s="198">
        <v>0</v>
      </c>
      <c r="I1748" s="163"/>
      <c r="J1748" s="166">
        <v>0</v>
      </c>
      <c r="K1748" s="167" t="s">
        <v>1464</v>
      </c>
      <c r="L1748" s="167">
        <v>744</v>
      </c>
      <c r="M1748" s="168">
        <v>46096</v>
      </c>
      <c r="N1748" s="199" t="s">
        <v>2664</v>
      </c>
      <c r="O1748" s="181" t="s">
        <v>215</v>
      </c>
    </row>
    <row r="1749" spans="1:15" x14ac:dyDescent="0.25">
      <c r="A1749" s="154">
        <v>1749</v>
      </c>
      <c r="B1749" s="196" t="s">
        <v>2679</v>
      </c>
      <c r="C1749" s="197">
        <v>2666896</v>
      </c>
      <c r="D1749" s="164" t="s">
        <v>2660</v>
      </c>
      <c r="E1749" s="198">
        <v>628287</v>
      </c>
      <c r="F1749" s="198">
        <v>314246</v>
      </c>
      <c r="G1749" s="198">
        <v>314041</v>
      </c>
      <c r="H1749" s="198">
        <v>0</v>
      </c>
      <c r="I1749" s="163"/>
      <c r="J1749" s="166">
        <v>0</v>
      </c>
      <c r="K1749" s="167" t="s">
        <v>1464</v>
      </c>
      <c r="L1749" s="167">
        <v>744</v>
      </c>
      <c r="M1749" s="168">
        <v>46096</v>
      </c>
      <c r="N1749" s="192" t="s">
        <v>2666</v>
      </c>
      <c r="O1749" s="181" t="s">
        <v>227</v>
      </c>
    </row>
    <row r="1750" spans="1:15" x14ac:dyDescent="0.25">
      <c r="A1750" s="154">
        <v>1750</v>
      </c>
      <c r="B1750" s="196" t="s">
        <v>2680</v>
      </c>
      <c r="C1750" s="197">
        <v>13599900</v>
      </c>
      <c r="D1750" s="164" t="s">
        <v>2660</v>
      </c>
      <c r="E1750" s="198">
        <v>58355</v>
      </c>
      <c r="F1750" s="198">
        <v>29280</v>
      </c>
      <c r="G1750" s="198">
        <v>29075</v>
      </c>
      <c r="H1750" s="198">
        <v>0</v>
      </c>
      <c r="I1750" s="163"/>
      <c r="J1750" s="166">
        <v>0</v>
      </c>
      <c r="K1750" s="167" t="s">
        <v>1464</v>
      </c>
      <c r="L1750" s="167">
        <v>744</v>
      </c>
      <c r="M1750" s="168">
        <v>46096</v>
      </c>
      <c r="N1750" s="192" t="s">
        <v>2663</v>
      </c>
      <c r="O1750" s="181" t="s">
        <v>185</v>
      </c>
    </row>
    <row r="1751" spans="1:15" x14ac:dyDescent="0.25">
      <c r="A1751" s="154">
        <v>1751</v>
      </c>
      <c r="B1751" s="196" t="s">
        <v>2680</v>
      </c>
      <c r="C1751" s="197">
        <v>13599900</v>
      </c>
      <c r="D1751" s="164" t="s">
        <v>2660</v>
      </c>
      <c r="E1751" s="198">
        <v>406707</v>
      </c>
      <c r="F1751" s="198">
        <v>203456</v>
      </c>
      <c r="G1751" s="198">
        <v>203251</v>
      </c>
      <c r="H1751" s="198">
        <v>0</v>
      </c>
      <c r="I1751" s="163"/>
      <c r="J1751" s="166">
        <v>0</v>
      </c>
      <c r="K1751" s="167" t="s">
        <v>1464</v>
      </c>
      <c r="L1751" s="167">
        <v>744</v>
      </c>
      <c r="M1751" s="168">
        <v>46096</v>
      </c>
      <c r="N1751" s="192" t="s">
        <v>2661</v>
      </c>
      <c r="O1751" s="181" t="s">
        <v>212</v>
      </c>
    </row>
    <row r="1752" spans="1:15" x14ac:dyDescent="0.25">
      <c r="A1752" s="154">
        <v>1752</v>
      </c>
      <c r="B1752" s="196" t="s">
        <v>2680</v>
      </c>
      <c r="C1752" s="197">
        <v>13599900</v>
      </c>
      <c r="D1752" s="164" t="s">
        <v>2660</v>
      </c>
      <c r="E1752" s="198">
        <v>2725425</v>
      </c>
      <c r="F1752" s="198">
        <v>194300</v>
      </c>
      <c r="G1752" s="198">
        <v>2531125</v>
      </c>
      <c r="H1752" s="198">
        <v>0</v>
      </c>
      <c r="I1752" s="163"/>
      <c r="J1752" s="166">
        <v>0</v>
      </c>
      <c r="K1752" s="167" t="s">
        <v>1464</v>
      </c>
      <c r="L1752" s="167">
        <v>744</v>
      </c>
      <c r="M1752" s="168">
        <v>46096</v>
      </c>
      <c r="N1752" s="199" t="s">
        <v>2664</v>
      </c>
      <c r="O1752" s="181" t="s">
        <v>215</v>
      </c>
    </row>
    <row r="1753" spans="1:15" x14ac:dyDescent="0.25">
      <c r="A1753" s="154">
        <v>1753</v>
      </c>
      <c r="B1753" s="196" t="s">
        <v>2680</v>
      </c>
      <c r="C1753" s="197">
        <v>13599900</v>
      </c>
      <c r="D1753" s="164" t="s">
        <v>2660</v>
      </c>
      <c r="E1753" s="198">
        <v>11699</v>
      </c>
      <c r="F1753" s="198">
        <v>5952</v>
      </c>
      <c r="G1753" s="198">
        <v>5747</v>
      </c>
      <c r="H1753" s="198">
        <v>0</v>
      </c>
      <c r="I1753" s="163"/>
      <c r="J1753" s="166">
        <v>0</v>
      </c>
      <c r="K1753" s="167" t="s">
        <v>1464</v>
      </c>
      <c r="L1753" s="167">
        <v>744</v>
      </c>
      <c r="M1753" s="168">
        <v>46096</v>
      </c>
      <c r="N1753" s="192" t="s">
        <v>2665</v>
      </c>
      <c r="O1753" s="181" t="s">
        <v>1016</v>
      </c>
    </row>
    <row r="1754" spans="1:15" x14ac:dyDescent="0.25">
      <c r="A1754" s="154">
        <v>1754</v>
      </c>
      <c r="B1754" s="196" t="s">
        <v>2681</v>
      </c>
      <c r="C1754" s="197">
        <v>8734014</v>
      </c>
      <c r="D1754" s="164" t="s">
        <v>2660</v>
      </c>
      <c r="E1754" s="198">
        <v>7200</v>
      </c>
      <c r="F1754" s="198">
        <v>3702</v>
      </c>
      <c r="G1754" s="198">
        <v>3498</v>
      </c>
      <c r="H1754" s="198">
        <v>0</v>
      </c>
      <c r="I1754" s="163"/>
      <c r="J1754" s="166">
        <v>0</v>
      </c>
      <c r="K1754" s="167" t="s">
        <v>1464</v>
      </c>
      <c r="L1754" s="167">
        <v>744</v>
      </c>
      <c r="M1754" s="168">
        <v>46096</v>
      </c>
      <c r="N1754" s="192" t="s">
        <v>2663</v>
      </c>
      <c r="O1754" s="181" t="s">
        <v>185</v>
      </c>
    </row>
    <row r="1755" spans="1:15" x14ac:dyDescent="0.25">
      <c r="A1755" s="154">
        <v>1755</v>
      </c>
      <c r="B1755" s="196" t="s">
        <v>2681</v>
      </c>
      <c r="C1755" s="197">
        <v>8734014</v>
      </c>
      <c r="D1755" s="164" t="s">
        <v>2660</v>
      </c>
      <c r="E1755" s="198">
        <v>13830</v>
      </c>
      <c r="F1755" s="198">
        <v>7017</v>
      </c>
      <c r="G1755" s="198">
        <v>6813</v>
      </c>
      <c r="H1755" s="198">
        <v>0</v>
      </c>
      <c r="I1755" s="163"/>
      <c r="J1755" s="166">
        <v>0</v>
      </c>
      <c r="K1755" s="167" t="s">
        <v>1464</v>
      </c>
      <c r="L1755" s="167">
        <v>744</v>
      </c>
      <c r="M1755" s="168">
        <v>46096</v>
      </c>
      <c r="N1755" s="192" t="s">
        <v>2661</v>
      </c>
      <c r="O1755" s="181" t="s">
        <v>212</v>
      </c>
    </row>
    <row r="1756" spans="1:15" x14ac:dyDescent="0.25">
      <c r="A1756" s="154">
        <v>1756</v>
      </c>
      <c r="B1756" s="196" t="s">
        <v>2681</v>
      </c>
      <c r="C1756" s="197">
        <v>8734014</v>
      </c>
      <c r="D1756" s="164" t="s">
        <v>2660</v>
      </c>
      <c r="E1756" s="198">
        <v>3136115</v>
      </c>
      <c r="F1756" s="198">
        <v>238350</v>
      </c>
      <c r="G1756" s="198">
        <v>2897765</v>
      </c>
      <c r="H1756" s="198">
        <v>0</v>
      </c>
      <c r="I1756" s="163"/>
      <c r="J1756" s="166">
        <v>0</v>
      </c>
      <c r="K1756" s="167" t="s">
        <v>1464</v>
      </c>
      <c r="L1756" s="167">
        <v>744</v>
      </c>
      <c r="M1756" s="168">
        <v>46096</v>
      </c>
      <c r="N1756" s="199" t="s">
        <v>2664</v>
      </c>
      <c r="O1756" s="181" t="s">
        <v>215</v>
      </c>
    </row>
    <row r="1757" spans="1:15" x14ac:dyDescent="0.25">
      <c r="A1757" s="154">
        <v>1757</v>
      </c>
      <c r="B1757" s="196" t="s">
        <v>2681</v>
      </c>
      <c r="C1757" s="197">
        <v>8734014</v>
      </c>
      <c r="D1757" s="164" t="s">
        <v>2660</v>
      </c>
      <c r="E1757" s="198">
        <v>162976</v>
      </c>
      <c r="F1757" s="198">
        <v>81590</v>
      </c>
      <c r="G1757" s="198">
        <v>81386</v>
      </c>
      <c r="H1757" s="198">
        <v>0</v>
      </c>
      <c r="I1757" s="163"/>
      <c r="J1757" s="166">
        <v>0</v>
      </c>
      <c r="K1757" s="167" t="s">
        <v>1464</v>
      </c>
      <c r="L1757" s="167">
        <v>744</v>
      </c>
      <c r="M1757" s="168">
        <v>46096</v>
      </c>
      <c r="N1757" s="192" t="s">
        <v>2665</v>
      </c>
      <c r="O1757" s="181" t="s">
        <v>1016</v>
      </c>
    </row>
    <row r="1758" spans="1:15" x14ac:dyDescent="0.25">
      <c r="A1758" s="154">
        <v>1758</v>
      </c>
      <c r="B1758" s="196" t="s">
        <v>2681</v>
      </c>
      <c r="C1758" s="197">
        <v>8734014</v>
      </c>
      <c r="D1758" s="164" t="s">
        <v>2660</v>
      </c>
      <c r="E1758" s="198">
        <v>459100</v>
      </c>
      <c r="F1758" s="198">
        <v>0</v>
      </c>
      <c r="G1758" s="198">
        <v>459100</v>
      </c>
      <c r="H1758" s="198">
        <v>0</v>
      </c>
      <c r="I1758" s="163"/>
      <c r="J1758" s="166">
        <v>0</v>
      </c>
      <c r="K1758" s="167" t="s">
        <v>1464</v>
      </c>
      <c r="L1758" s="167">
        <v>744</v>
      </c>
      <c r="M1758" s="168">
        <v>46096</v>
      </c>
      <c r="N1758" s="192" t="s">
        <v>1582</v>
      </c>
      <c r="O1758" s="181" t="s">
        <v>275</v>
      </c>
    </row>
    <row r="1759" spans="1:15" x14ac:dyDescent="0.25">
      <c r="A1759" s="154">
        <v>1759</v>
      </c>
      <c r="B1759" s="196" t="s">
        <v>2681</v>
      </c>
      <c r="C1759" s="197">
        <v>8734014</v>
      </c>
      <c r="D1759" s="164" t="s">
        <v>2660</v>
      </c>
      <c r="E1759" s="198">
        <v>183645</v>
      </c>
      <c r="F1759" s="198">
        <v>91925</v>
      </c>
      <c r="G1759" s="198">
        <v>91720</v>
      </c>
      <c r="H1759" s="198">
        <v>0</v>
      </c>
      <c r="I1759" s="163"/>
      <c r="J1759" s="166">
        <v>0</v>
      </c>
      <c r="K1759" s="167" t="s">
        <v>1464</v>
      </c>
      <c r="L1759" s="167">
        <v>744</v>
      </c>
      <c r="M1759" s="168">
        <v>46096</v>
      </c>
      <c r="N1759" s="192" t="s">
        <v>2666</v>
      </c>
      <c r="O1759" s="181" t="s">
        <v>227</v>
      </c>
    </row>
    <row r="1760" spans="1:15" x14ac:dyDescent="0.25">
      <c r="A1760" s="154">
        <v>1760</v>
      </c>
      <c r="B1760" s="196" t="s">
        <v>2682</v>
      </c>
      <c r="C1760" s="197">
        <v>954100</v>
      </c>
      <c r="D1760" s="164" t="s">
        <v>2660</v>
      </c>
      <c r="E1760" s="198">
        <v>8000</v>
      </c>
      <c r="F1760" s="198">
        <v>4102</v>
      </c>
      <c r="G1760" s="198">
        <v>3898</v>
      </c>
      <c r="H1760" s="198">
        <v>0</v>
      </c>
      <c r="I1760" s="163"/>
      <c r="J1760" s="166">
        <v>0</v>
      </c>
      <c r="K1760" s="167" t="s">
        <v>1464</v>
      </c>
      <c r="L1760" s="167">
        <v>744</v>
      </c>
      <c r="M1760" s="168">
        <v>46096</v>
      </c>
      <c r="N1760" s="192" t="s">
        <v>2663</v>
      </c>
      <c r="O1760" s="181" t="s">
        <v>185</v>
      </c>
    </row>
    <row r="1761" spans="1:15" x14ac:dyDescent="0.25">
      <c r="A1761" s="154">
        <v>1761</v>
      </c>
      <c r="B1761" s="196" t="s">
        <v>2682</v>
      </c>
      <c r="C1761" s="197">
        <v>954100</v>
      </c>
      <c r="D1761" s="164" t="s">
        <v>2660</v>
      </c>
      <c r="E1761" s="198">
        <v>20695</v>
      </c>
      <c r="F1761" s="198">
        <v>10450</v>
      </c>
      <c r="G1761" s="198">
        <v>10245</v>
      </c>
      <c r="H1761" s="198">
        <v>0</v>
      </c>
      <c r="I1761" s="163"/>
      <c r="J1761" s="166">
        <v>0</v>
      </c>
      <c r="K1761" s="167" t="s">
        <v>1464</v>
      </c>
      <c r="L1761" s="167">
        <v>744</v>
      </c>
      <c r="M1761" s="168">
        <v>46096</v>
      </c>
      <c r="N1761" s="192" t="s">
        <v>2661</v>
      </c>
      <c r="O1761" s="181" t="s">
        <v>212</v>
      </c>
    </row>
    <row r="1762" spans="1:15" x14ac:dyDescent="0.25">
      <c r="A1762" s="154">
        <v>1762</v>
      </c>
      <c r="B1762" s="196" t="s">
        <v>2682</v>
      </c>
      <c r="C1762" s="197">
        <v>954100</v>
      </c>
      <c r="D1762" s="164" t="s">
        <v>2660</v>
      </c>
      <c r="E1762" s="198">
        <v>145530</v>
      </c>
      <c r="F1762" s="198">
        <v>72867</v>
      </c>
      <c r="G1762" s="198">
        <v>72663</v>
      </c>
      <c r="H1762" s="198">
        <v>0</v>
      </c>
      <c r="I1762" s="163"/>
      <c r="J1762" s="166">
        <v>0</v>
      </c>
      <c r="K1762" s="167" t="s">
        <v>1464</v>
      </c>
      <c r="L1762" s="167">
        <v>744</v>
      </c>
      <c r="M1762" s="168">
        <v>46096</v>
      </c>
      <c r="N1762" s="199" t="s">
        <v>2664</v>
      </c>
      <c r="O1762" s="181" t="s">
        <v>215</v>
      </c>
    </row>
    <row r="1763" spans="1:15" x14ac:dyDescent="0.25">
      <c r="A1763" s="154">
        <v>1763</v>
      </c>
      <c r="B1763" s="196" t="s">
        <v>2682</v>
      </c>
      <c r="C1763" s="197">
        <v>954100</v>
      </c>
      <c r="D1763" s="164" t="s">
        <v>2660</v>
      </c>
      <c r="E1763" s="198">
        <v>9518</v>
      </c>
      <c r="F1763" s="198">
        <v>4861</v>
      </c>
      <c r="G1763" s="198">
        <v>4657</v>
      </c>
      <c r="H1763" s="198">
        <v>0</v>
      </c>
      <c r="I1763" s="163"/>
      <c r="J1763" s="166">
        <v>0</v>
      </c>
      <c r="K1763" s="167" t="s">
        <v>1464</v>
      </c>
      <c r="L1763" s="167">
        <v>744</v>
      </c>
      <c r="M1763" s="168">
        <v>46096</v>
      </c>
      <c r="N1763" s="192" t="s">
        <v>2665</v>
      </c>
      <c r="O1763" s="181" t="s">
        <v>1016</v>
      </c>
    </row>
    <row r="1764" spans="1:15" x14ac:dyDescent="0.25">
      <c r="A1764" s="154">
        <v>1764</v>
      </c>
      <c r="B1764" s="196" t="s">
        <v>2682</v>
      </c>
      <c r="C1764" s="197">
        <v>954100</v>
      </c>
      <c r="D1764" s="164" t="s">
        <v>2660</v>
      </c>
      <c r="E1764" s="198">
        <v>12333</v>
      </c>
      <c r="F1764" s="198">
        <v>6269</v>
      </c>
      <c r="G1764" s="198">
        <v>6064</v>
      </c>
      <c r="H1764" s="198">
        <v>0</v>
      </c>
      <c r="I1764" s="163"/>
      <c r="J1764" s="166">
        <v>0</v>
      </c>
      <c r="K1764" s="167" t="s">
        <v>1464</v>
      </c>
      <c r="L1764" s="167">
        <v>744</v>
      </c>
      <c r="M1764" s="168">
        <v>46096</v>
      </c>
      <c r="N1764" s="192" t="s">
        <v>2666</v>
      </c>
      <c r="O1764" s="181" t="s">
        <v>227</v>
      </c>
    </row>
    <row r="1765" spans="1:15" x14ac:dyDescent="0.25">
      <c r="A1765" s="154">
        <v>1765</v>
      </c>
      <c r="B1765" s="196" t="s">
        <v>2683</v>
      </c>
      <c r="C1765" s="197">
        <v>6136200</v>
      </c>
      <c r="D1765" s="164" t="s">
        <v>2660</v>
      </c>
      <c r="E1765" s="198">
        <v>15755</v>
      </c>
      <c r="F1765" s="198">
        <v>7980</v>
      </c>
      <c r="G1765" s="198">
        <v>7775</v>
      </c>
      <c r="H1765" s="198">
        <v>0</v>
      </c>
      <c r="I1765" s="163"/>
      <c r="J1765" s="166">
        <v>0</v>
      </c>
      <c r="K1765" s="167" t="s">
        <v>1464</v>
      </c>
      <c r="L1765" s="167">
        <v>744</v>
      </c>
      <c r="M1765" s="168">
        <v>46096</v>
      </c>
      <c r="N1765" s="192" t="s">
        <v>2663</v>
      </c>
      <c r="O1765" s="181" t="s">
        <v>185</v>
      </c>
    </row>
    <row r="1766" spans="1:15" x14ac:dyDescent="0.25">
      <c r="A1766" s="154">
        <v>1766</v>
      </c>
      <c r="B1766" s="196" t="s">
        <v>2683</v>
      </c>
      <c r="C1766" s="197">
        <v>6136200</v>
      </c>
      <c r="D1766" s="164" t="s">
        <v>2660</v>
      </c>
      <c r="E1766" s="198">
        <v>52830</v>
      </c>
      <c r="F1766" s="198">
        <v>26517</v>
      </c>
      <c r="G1766" s="198">
        <v>26313</v>
      </c>
      <c r="H1766" s="198">
        <v>0</v>
      </c>
      <c r="I1766" s="163"/>
      <c r="J1766" s="166">
        <v>0</v>
      </c>
      <c r="K1766" s="167" t="s">
        <v>1464</v>
      </c>
      <c r="L1766" s="167">
        <v>744</v>
      </c>
      <c r="M1766" s="168">
        <v>46096</v>
      </c>
      <c r="N1766" s="192" t="s">
        <v>2661</v>
      </c>
      <c r="O1766" s="181" t="s">
        <v>212</v>
      </c>
    </row>
    <row r="1767" spans="1:15" x14ac:dyDescent="0.25">
      <c r="A1767" s="154">
        <v>1767</v>
      </c>
      <c r="B1767" s="196" t="s">
        <v>2683</v>
      </c>
      <c r="C1767" s="197">
        <v>6136200</v>
      </c>
      <c r="D1767" s="164" t="s">
        <v>2660</v>
      </c>
      <c r="E1767" s="198">
        <v>27700</v>
      </c>
      <c r="F1767" s="198">
        <v>13952</v>
      </c>
      <c r="G1767" s="198">
        <v>13748</v>
      </c>
      <c r="H1767" s="198">
        <v>0</v>
      </c>
      <c r="I1767" s="163"/>
      <c r="J1767" s="166">
        <v>0</v>
      </c>
      <c r="K1767" s="167" t="s">
        <v>1464</v>
      </c>
      <c r="L1767" s="167">
        <v>744</v>
      </c>
      <c r="M1767" s="168">
        <v>46096</v>
      </c>
      <c r="N1767" s="199" t="s">
        <v>2664</v>
      </c>
      <c r="O1767" s="181" t="s">
        <v>215</v>
      </c>
    </row>
    <row r="1768" spans="1:15" x14ac:dyDescent="0.25">
      <c r="A1768" s="154">
        <v>1768</v>
      </c>
      <c r="B1768" s="196" t="s">
        <v>2683</v>
      </c>
      <c r="C1768" s="197">
        <v>6136200</v>
      </c>
      <c r="D1768" s="164" t="s">
        <v>2660</v>
      </c>
      <c r="E1768" s="198">
        <v>113957</v>
      </c>
      <c r="F1768" s="198">
        <v>57081</v>
      </c>
      <c r="G1768" s="198">
        <v>56876</v>
      </c>
      <c r="H1768" s="198">
        <v>0</v>
      </c>
      <c r="I1768" s="163"/>
      <c r="J1768" s="166">
        <v>0</v>
      </c>
      <c r="K1768" s="167" t="s">
        <v>1464</v>
      </c>
      <c r="L1768" s="167">
        <v>744</v>
      </c>
      <c r="M1768" s="168">
        <v>46096</v>
      </c>
      <c r="N1768" s="192" t="s">
        <v>2665</v>
      </c>
      <c r="O1768" s="181" t="s">
        <v>1016</v>
      </c>
    </row>
    <row r="1769" spans="1:15" x14ac:dyDescent="0.25">
      <c r="A1769" s="154">
        <v>1769</v>
      </c>
      <c r="B1769" s="196" t="s">
        <v>2683</v>
      </c>
      <c r="C1769" s="197">
        <v>6136200</v>
      </c>
      <c r="D1769" s="164" t="s">
        <v>2660</v>
      </c>
      <c r="E1769" s="198">
        <v>66581</v>
      </c>
      <c r="F1769" s="198">
        <v>33393</v>
      </c>
      <c r="G1769" s="198">
        <v>33188</v>
      </c>
      <c r="H1769" s="198">
        <v>0</v>
      </c>
      <c r="I1769" s="163"/>
      <c r="J1769" s="166">
        <v>0</v>
      </c>
      <c r="K1769" s="167" t="s">
        <v>1464</v>
      </c>
      <c r="L1769" s="167">
        <v>744</v>
      </c>
      <c r="M1769" s="168">
        <v>46096</v>
      </c>
      <c r="N1769" s="192" t="s">
        <v>2666</v>
      </c>
      <c r="O1769" s="181" t="s">
        <v>227</v>
      </c>
    </row>
    <row r="1770" spans="1:15" x14ac:dyDescent="0.25">
      <c r="A1770" s="154">
        <v>1770</v>
      </c>
      <c r="B1770" s="196" t="s">
        <v>2683</v>
      </c>
      <c r="C1770" s="197">
        <v>6136200</v>
      </c>
      <c r="D1770" s="164" t="s">
        <v>2660</v>
      </c>
      <c r="E1770" s="198">
        <v>2542400</v>
      </c>
      <c r="F1770" s="198">
        <v>345650</v>
      </c>
      <c r="G1770" s="198">
        <v>2196750</v>
      </c>
      <c r="H1770" s="198">
        <v>0</v>
      </c>
      <c r="I1770" s="163"/>
      <c r="J1770" s="166">
        <v>0</v>
      </c>
      <c r="K1770" s="167" t="s">
        <v>1464</v>
      </c>
      <c r="L1770" s="167">
        <v>744</v>
      </c>
      <c r="M1770" s="168">
        <v>46096</v>
      </c>
      <c r="N1770" s="192" t="s">
        <v>2668</v>
      </c>
      <c r="O1770" s="181" t="s">
        <v>956</v>
      </c>
    </row>
    <row r="1771" spans="1:15" x14ac:dyDescent="0.25">
      <c r="A1771" s="154">
        <v>1771</v>
      </c>
      <c r="B1771" s="196" t="s">
        <v>2683</v>
      </c>
      <c r="C1771" s="197">
        <v>6136200</v>
      </c>
      <c r="D1771" s="164" t="s">
        <v>2660</v>
      </c>
      <c r="E1771" s="198">
        <v>100000</v>
      </c>
      <c r="F1771" s="198">
        <v>0</v>
      </c>
      <c r="G1771" s="198">
        <v>100000</v>
      </c>
      <c r="H1771" s="198">
        <v>0</v>
      </c>
      <c r="I1771" s="163"/>
      <c r="J1771" s="166">
        <v>0</v>
      </c>
      <c r="K1771" s="167" t="s">
        <v>1464</v>
      </c>
      <c r="L1771" s="167">
        <v>744</v>
      </c>
      <c r="M1771" s="168">
        <v>46096</v>
      </c>
      <c r="N1771" s="192" t="s">
        <v>1582</v>
      </c>
      <c r="O1771" s="181" t="s">
        <v>1848</v>
      </c>
    </row>
    <row r="1772" spans="1:15" x14ac:dyDescent="0.25">
      <c r="A1772" s="154">
        <v>1772</v>
      </c>
      <c r="B1772" s="196" t="s">
        <v>2684</v>
      </c>
      <c r="C1772" s="197">
        <v>20512015</v>
      </c>
      <c r="D1772" s="164" t="s">
        <v>2660</v>
      </c>
      <c r="E1772" s="198">
        <v>176755</v>
      </c>
      <c r="F1772" s="198">
        <v>88480</v>
      </c>
      <c r="G1772" s="198">
        <v>88275</v>
      </c>
      <c r="H1772" s="198">
        <v>0</v>
      </c>
      <c r="I1772" s="163"/>
      <c r="J1772" s="166">
        <v>0</v>
      </c>
      <c r="K1772" s="167" t="s">
        <v>1464</v>
      </c>
      <c r="L1772" s="167">
        <v>744</v>
      </c>
      <c r="M1772" s="168">
        <v>46096</v>
      </c>
      <c r="N1772" s="192" t="s">
        <v>2663</v>
      </c>
      <c r="O1772" s="181" t="s">
        <v>185</v>
      </c>
    </row>
    <row r="1773" spans="1:15" x14ac:dyDescent="0.25">
      <c r="A1773" s="154">
        <v>1773</v>
      </c>
      <c r="B1773" s="181" t="s">
        <v>2684</v>
      </c>
      <c r="C1773" s="197">
        <v>20512015</v>
      </c>
      <c r="D1773" s="164" t="s">
        <v>2660</v>
      </c>
      <c r="E1773" s="198">
        <v>379550</v>
      </c>
      <c r="F1773" s="198">
        <v>189878</v>
      </c>
      <c r="G1773" s="198">
        <v>189672</v>
      </c>
      <c r="H1773" s="198">
        <v>0</v>
      </c>
      <c r="I1773" s="163"/>
      <c r="J1773" s="166">
        <v>0</v>
      </c>
      <c r="K1773" s="167" t="s">
        <v>1464</v>
      </c>
      <c r="L1773" s="167">
        <v>744</v>
      </c>
      <c r="M1773" s="168">
        <v>46096</v>
      </c>
      <c r="N1773" s="192" t="s">
        <v>2661</v>
      </c>
      <c r="O1773" s="181" t="s">
        <v>212</v>
      </c>
    </row>
    <row r="1774" spans="1:15" x14ac:dyDescent="0.25">
      <c r="A1774" s="154">
        <v>1774</v>
      </c>
      <c r="B1774" s="181" t="s">
        <v>2684</v>
      </c>
      <c r="C1774" s="197">
        <v>20512015</v>
      </c>
      <c r="D1774" s="164" t="s">
        <v>2660</v>
      </c>
      <c r="E1774" s="198">
        <v>4589854</v>
      </c>
      <c r="F1774" s="198">
        <v>1250680</v>
      </c>
      <c r="G1774" s="198">
        <v>3339174</v>
      </c>
      <c r="H1774" s="198">
        <v>0</v>
      </c>
      <c r="I1774" s="163"/>
      <c r="J1774" s="166">
        <v>0</v>
      </c>
      <c r="K1774" s="167" t="s">
        <v>1464</v>
      </c>
      <c r="L1774" s="167">
        <v>744</v>
      </c>
      <c r="M1774" s="168">
        <v>46096</v>
      </c>
      <c r="N1774" s="199" t="s">
        <v>2664</v>
      </c>
      <c r="O1774" s="181" t="s">
        <v>215</v>
      </c>
    </row>
    <row r="1775" spans="1:15" x14ac:dyDescent="0.25">
      <c r="A1775" s="154">
        <v>1775</v>
      </c>
      <c r="B1775" s="181" t="s">
        <v>2684</v>
      </c>
      <c r="C1775" s="197">
        <v>20512015</v>
      </c>
      <c r="D1775" s="164" t="s">
        <v>2660</v>
      </c>
      <c r="E1775" s="198">
        <v>381347</v>
      </c>
      <c r="F1775" s="198">
        <v>190776</v>
      </c>
      <c r="G1775" s="198">
        <v>190571</v>
      </c>
      <c r="H1775" s="198">
        <v>0</v>
      </c>
      <c r="I1775" s="163"/>
      <c r="J1775" s="166">
        <v>0</v>
      </c>
      <c r="K1775" s="167" t="s">
        <v>1464</v>
      </c>
      <c r="L1775" s="167">
        <v>744</v>
      </c>
      <c r="M1775" s="168">
        <v>46096</v>
      </c>
      <c r="N1775" s="192" t="s">
        <v>2665</v>
      </c>
      <c r="O1775" s="181" t="s">
        <v>1016</v>
      </c>
    </row>
    <row r="1776" spans="1:15" x14ac:dyDescent="0.25">
      <c r="A1776" s="154">
        <v>1776</v>
      </c>
      <c r="B1776" s="181" t="s">
        <v>2684</v>
      </c>
      <c r="C1776" s="197">
        <v>20512015</v>
      </c>
      <c r="D1776" s="164" t="s">
        <v>2660</v>
      </c>
      <c r="E1776" s="198">
        <v>1057593</v>
      </c>
      <c r="F1776" s="198">
        <v>528899</v>
      </c>
      <c r="G1776" s="198">
        <v>528694</v>
      </c>
      <c r="H1776" s="198">
        <v>0</v>
      </c>
      <c r="I1776" s="163"/>
      <c r="J1776" s="166">
        <v>0</v>
      </c>
      <c r="K1776" s="167" t="s">
        <v>1464</v>
      </c>
      <c r="L1776" s="167">
        <v>744</v>
      </c>
      <c r="M1776" s="168">
        <v>46096</v>
      </c>
      <c r="N1776" s="192" t="s">
        <v>2666</v>
      </c>
      <c r="O1776" s="181" t="s">
        <v>227</v>
      </c>
    </row>
    <row r="1777" spans="1:15" x14ac:dyDescent="0.25">
      <c r="A1777" s="154">
        <v>1777</v>
      </c>
      <c r="B1777" s="181" t="s">
        <v>2685</v>
      </c>
      <c r="C1777" s="197">
        <v>535900</v>
      </c>
      <c r="D1777" s="164" t="s">
        <v>2660</v>
      </c>
      <c r="E1777" s="198">
        <v>16874</v>
      </c>
      <c r="F1777" s="198">
        <v>8540</v>
      </c>
      <c r="G1777" s="198">
        <v>8334</v>
      </c>
      <c r="H1777" s="198">
        <v>0</v>
      </c>
      <c r="I1777" s="163"/>
      <c r="J1777" s="166">
        <v>0</v>
      </c>
      <c r="K1777" s="167" t="s">
        <v>1464</v>
      </c>
      <c r="L1777" s="167">
        <v>744</v>
      </c>
      <c r="M1777" s="168">
        <v>46096</v>
      </c>
      <c r="N1777" s="192" t="s">
        <v>2661</v>
      </c>
      <c r="O1777" s="181" t="s">
        <v>212</v>
      </c>
    </row>
    <row r="1778" spans="1:15" x14ac:dyDescent="0.25">
      <c r="A1778" s="154">
        <v>1778</v>
      </c>
      <c r="B1778" s="181" t="s">
        <v>2685</v>
      </c>
      <c r="C1778" s="197">
        <v>535900</v>
      </c>
      <c r="D1778" s="164" t="s">
        <v>2660</v>
      </c>
      <c r="E1778" s="198">
        <v>92340</v>
      </c>
      <c r="F1778" s="198">
        <v>46273</v>
      </c>
      <c r="G1778" s="198">
        <v>46067</v>
      </c>
      <c r="H1778" s="198">
        <v>0</v>
      </c>
      <c r="I1778" s="163"/>
      <c r="J1778" s="166">
        <v>0</v>
      </c>
      <c r="K1778" s="167" t="s">
        <v>1464</v>
      </c>
      <c r="L1778" s="167">
        <v>744</v>
      </c>
      <c r="M1778" s="168">
        <v>46096</v>
      </c>
      <c r="N1778" s="199" t="s">
        <v>2664</v>
      </c>
      <c r="O1778" s="181" t="s">
        <v>215</v>
      </c>
    </row>
    <row r="1779" spans="1:15" x14ac:dyDescent="0.25">
      <c r="A1779" s="154">
        <v>1779</v>
      </c>
      <c r="B1779" s="181" t="s">
        <v>2686</v>
      </c>
      <c r="C1779" s="197">
        <v>253700</v>
      </c>
      <c r="D1779" s="164" t="s">
        <v>2660</v>
      </c>
      <c r="E1779" s="198">
        <v>27700</v>
      </c>
      <c r="F1779" s="198">
        <v>13953</v>
      </c>
      <c r="G1779" s="198">
        <v>13747</v>
      </c>
      <c r="H1779" s="198">
        <v>0</v>
      </c>
      <c r="I1779" s="163"/>
      <c r="J1779" s="166">
        <v>0</v>
      </c>
      <c r="K1779" s="167" t="s">
        <v>1464</v>
      </c>
      <c r="L1779" s="167">
        <v>744</v>
      </c>
      <c r="M1779" s="168">
        <v>46096</v>
      </c>
      <c r="N1779" s="199" t="s">
        <v>2664</v>
      </c>
      <c r="O1779" s="181" t="s">
        <v>215</v>
      </c>
    </row>
    <row r="1780" spans="1:15" x14ac:dyDescent="0.25">
      <c r="A1780" s="154">
        <v>1780</v>
      </c>
      <c r="B1780" s="181" t="s">
        <v>2687</v>
      </c>
      <c r="C1780" s="197">
        <v>10007200</v>
      </c>
      <c r="D1780" s="164" t="s">
        <v>2660</v>
      </c>
      <c r="E1780" s="198">
        <v>12000</v>
      </c>
      <c r="F1780" s="198">
        <v>6103</v>
      </c>
      <c r="G1780" s="198">
        <v>5897</v>
      </c>
      <c r="H1780" s="198">
        <v>0</v>
      </c>
      <c r="I1780" s="163"/>
      <c r="J1780" s="166">
        <v>0</v>
      </c>
      <c r="K1780" s="167" t="s">
        <v>1464</v>
      </c>
      <c r="L1780" s="167">
        <v>744</v>
      </c>
      <c r="M1780" s="168">
        <v>46096</v>
      </c>
      <c r="N1780" s="192" t="s">
        <v>2663</v>
      </c>
      <c r="O1780" s="181" t="s">
        <v>185</v>
      </c>
    </row>
    <row r="1781" spans="1:15" x14ac:dyDescent="0.25">
      <c r="A1781" s="154">
        <v>1781</v>
      </c>
      <c r="B1781" s="181" t="s">
        <v>2687</v>
      </c>
      <c r="C1781" s="197">
        <v>10007200</v>
      </c>
      <c r="D1781" s="164" t="s">
        <v>2660</v>
      </c>
      <c r="E1781" s="198">
        <v>38760</v>
      </c>
      <c r="F1781" s="198">
        <v>19482.5</v>
      </c>
      <c r="G1781" s="198">
        <v>19277.5</v>
      </c>
      <c r="H1781" s="198">
        <v>0</v>
      </c>
      <c r="I1781" s="163"/>
      <c r="J1781" s="166">
        <v>0</v>
      </c>
      <c r="K1781" s="167" t="s">
        <v>1464</v>
      </c>
      <c r="L1781" s="167">
        <v>744</v>
      </c>
      <c r="M1781" s="168">
        <v>46096</v>
      </c>
      <c r="N1781" s="192" t="s">
        <v>2661</v>
      </c>
      <c r="O1781" s="181" t="s">
        <v>212</v>
      </c>
    </row>
    <row r="1782" spans="1:15" x14ac:dyDescent="0.25">
      <c r="A1782" s="154">
        <v>1782</v>
      </c>
      <c r="B1782" s="181" t="s">
        <v>2687</v>
      </c>
      <c r="C1782" s="197">
        <v>10007200</v>
      </c>
      <c r="D1782" s="164" t="s">
        <v>2660</v>
      </c>
      <c r="E1782" s="198">
        <v>1615831</v>
      </c>
      <c r="F1782" s="198">
        <v>808018</v>
      </c>
      <c r="G1782" s="198">
        <v>807813</v>
      </c>
      <c r="H1782" s="198">
        <v>0</v>
      </c>
      <c r="I1782" s="163"/>
      <c r="J1782" s="166">
        <v>0</v>
      </c>
      <c r="K1782" s="167" t="s">
        <v>1464</v>
      </c>
      <c r="L1782" s="167">
        <v>744</v>
      </c>
      <c r="M1782" s="168">
        <v>46096</v>
      </c>
      <c r="N1782" s="199" t="s">
        <v>2664</v>
      </c>
      <c r="O1782" s="181" t="s">
        <v>215</v>
      </c>
    </row>
    <row r="1783" spans="1:15" x14ac:dyDescent="0.25">
      <c r="A1783" s="154">
        <v>1783</v>
      </c>
      <c r="B1783" s="181" t="s">
        <v>2687</v>
      </c>
      <c r="C1783" s="197">
        <v>10007200</v>
      </c>
      <c r="D1783" s="164" t="s">
        <v>2660</v>
      </c>
      <c r="E1783" s="198">
        <v>890592</v>
      </c>
      <c r="F1783" s="198">
        <v>445398.5</v>
      </c>
      <c r="G1783" s="198">
        <v>445193.5</v>
      </c>
      <c r="H1783" s="198">
        <v>0</v>
      </c>
      <c r="I1783" s="163"/>
      <c r="J1783" s="166">
        <v>0</v>
      </c>
      <c r="K1783" s="167" t="s">
        <v>1464</v>
      </c>
      <c r="L1783" s="167">
        <v>744</v>
      </c>
      <c r="M1783" s="168">
        <v>46096</v>
      </c>
      <c r="N1783" s="192" t="s">
        <v>2666</v>
      </c>
      <c r="O1783" s="181" t="s">
        <v>227</v>
      </c>
    </row>
    <row r="1784" spans="1:15" x14ac:dyDescent="0.25">
      <c r="A1784" s="154">
        <v>1784</v>
      </c>
      <c r="B1784" s="181" t="s">
        <v>2688</v>
      </c>
      <c r="C1784" s="197">
        <v>268800</v>
      </c>
      <c r="D1784" s="164" t="s">
        <v>2660</v>
      </c>
      <c r="E1784" s="198">
        <v>7200</v>
      </c>
      <c r="F1784" s="198">
        <v>3702</v>
      </c>
      <c r="G1784" s="198">
        <v>3498</v>
      </c>
      <c r="H1784" s="198">
        <v>0</v>
      </c>
      <c r="I1784" s="163"/>
      <c r="J1784" s="166">
        <v>0</v>
      </c>
      <c r="K1784" s="167" t="s">
        <v>1464</v>
      </c>
      <c r="L1784" s="167">
        <v>744</v>
      </c>
      <c r="M1784" s="168">
        <v>46096</v>
      </c>
      <c r="N1784" s="192" t="s">
        <v>2663</v>
      </c>
      <c r="O1784" s="181" t="s">
        <v>185</v>
      </c>
    </row>
    <row r="1785" spans="1:15" x14ac:dyDescent="0.25">
      <c r="A1785" s="154">
        <v>1785</v>
      </c>
      <c r="B1785" s="181" t="s">
        <v>2688</v>
      </c>
      <c r="C1785" s="197">
        <v>268800</v>
      </c>
      <c r="D1785" s="164" t="s">
        <v>2660</v>
      </c>
      <c r="E1785" s="198">
        <v>45324</v>
      </c>
      <c r="F1785" s="198">
        <v>22764.5</v>
      </c>
      <c r="G1785" s="198">
        <v>22559.5</v>
      </c>
      <c r="H1785" s="198">
        <v>0</v>
      </c>
      <c r="I1785" s="163"/>
      <c r="J1785" s="166">
        <v>0</v>
      </c>
      <c r="K1785" s="167" t="s">
        <v>1464</v>
      </c>
      <c r="L1785" s="167">
        <v>744</v>
      </c>
      <c r="M1785" s="168">
        <v>46096</v>
      </c>
      <c r="N1785" s="199" t="s">
        <v>2664</v>
      </c>
      <c r="O1785" s="181" t="s">
        <v>215</v>
      </c>
    </row>
    <row r="1786" spans="1:15" x14ac:dyDescent="0.25">
      <c r="A1786" s="154">
        <v>1786</v>
      </c>
      <c r="B1786" s="181" t="s">
        <v>2689</v>
      </c>
      <c r="C1786" s="197">
        <v>93400</v>
      </c>
      <c r="D1786" s="164" t="s">
        <v>2660</v>
      </c>
      <c r="E1786" s="198">
        <v>93400</v>
      </c>
      <c r="F1786" s="198">
        <v>0</v>
      </c>
      <c r="G1786" s="198">
        <v>93400</v>
      </c>
      <c r="H1786" s="198">
        <v>0</v>
      </c>
      <c r="I1786" s="163"/>
      <c r="J1786" s="166">
        <v>0</v>
      </c>
      <c r="K1786" s="167" t="s">
        <v>1464</v>
      </c>
      <c r="L1786" s="167">
        <v>744</v>
      </c>
      <c r="M1786" s="168">
        <v>46096</v>
      </c>
      <c r="N1786" s="192" t="s">
        <v>1582</v>
      </c>
      <c r="O1786" s="181" t="s">
        <v>2690</v>
      </c>
    </row>
    <row r="1787" spans="1:15" x14ac:dyDescent="0.25">
      <c r="A1787" s="154">
        <v>1787</v>
      </c>
      <c r="B1787" s="181" t="s">
        <v>2691</v>
      </c>
      <c r="C1787" s="197">
        <v>28833531</v>
      </c>
      <c r="D1787" s="164" t="s">
        <v>2660</v>
      </c>
      <c r="E1787" s="198">
        <v>601080</v>
      </c>
      <c r="F1787" s="198">
        <v>300642.5</v>
      </c>
      <c r="G1787" s="198">
        <v>300437.5</v>
      </c>
      <c r="H1787" s="198">
        <v>0</v>
      </c>
      <c r="I1787" s="163"/>
      <c r="J1787" s="166">
        <v>0</v>
      </c>
      <c r="K1787" s="167" t="s">
        <v>1464</v>
      </c>
      <c r="L1787" s="167">
        <v>744</v>
      </c>
      <c r="M1787" s="168">
        <v>46096</v>
      </c>
      <c r="N1787" s="192" t="s">
        <v>2663</v>
      </c>
      <c r="O1787" s="181" t="s">
        <v>185</v>
      </c>
    </row>
    <row r="1788" spans="1:15" x14ac:dyDescent="0.25">
      <c r="A1788" s="154">
        <v>1788</v>
      </c>
      <c r="B1788" s="181" t="s">
        <v>2691</v>
      </c>
      <c r="C1788" s="197">
        <v>28833531</v>
      </c>
      <c r="D1788" s="164" t="s">
        <v>2660</v>
      </c>
      <c r="E1788" s="198">
        <v>116665</v>
      </c>
      <c r="F1788" s="198">
        <v>58435</v>
      </c>
      <c r="G1788" s="198">
        <v>58230</v>
      </c>
      <c r="H1788" s="198">
        <v>0</v>
      </c>
      <c r="I1788" s="163"/>
      <c r="J1788" s="166">
        <v>0</v>
      </c>
      <c r="K1788" s="167" t="s">
        <v>1464</v>
      </c>
      <c r="L1788" s="167">
        <v>744</v>
      </c>
      <c r="M1788" s="168">
        <v>46096</v>
      </c>
      <c r="N1788" s="192" t="s">
        <v>2661</v>
      </c>
      <c r="O1788" s="181" t="s">
        <v>212</v>
      </c>
    </row>
    <row r="1789" spans="1:15" x14ac:dyDescent="0.25">
      <c r="A1789" s="154">
        <v>1789</v>
      </c>
      <c r="B1789" s="181" t="s">
        <v>2691</v>
      </c>
      <c r="C1789" s="197">
        <v>28833531</v>
      </c>
      <c r="D1789" s="164" t="s">
        <v>2660</v>
      </c>
      <c r="E1789" s="198">
        <v>16741200</v>
      </c>
      <c r="F1789" s="198">
        <v>0</v>
      </c>
      <c r="G1789" s="198">
        <v>16741200</v>
      </c>
      <c r="H1789" s="198">
        <v>0</v>
      </c>
      <c r="I1789" s="163"/>
      <c r="J1789" s="166">
        <v>0</v>
      </c>
      <c r="K1789" s="167" t="s">
        <v>1464</v>
      </c>
      <c r="L1789" s="167">
        <v>744</v>
      </c>
      <c r="M1789" s="168">
        <v>46096</v>
      </c>
      <c r="N1789" s="192" t="s">
        <v>1582</v>
      </c>
      <c r="O1789" s="181" t="s">
        <v>194</v>
      </c>
    </row>
    <row r="1790" spans="1:15" x14ac:dyDescent="0.25">
      <c r="A1790" s="154">
        <v>1790</v>
      </c>
      <c r="B1790" s="181" t="s">
        <v>2691</v>
      </c>
      <c r="C1790" s="197">
        <v>28833531</v>
      </c>
      <c r="D1790" s="164" t="s">
        <v>2660</v>
      </c>
      <c r="E1790" s="198">
        <v>271600</v>
      </c>
      <c r="F1790" s="198">
        <v>0</v>
      </c>
      <c r="G1790" s="198">
        <v>271600</v>
      </c>
      <c r="H1790" s="198">
        <v>0</v>
      </c>
      <c r="I1790" s="163"/>
      <c r="J1790" s="166">
        <v>0</v>
      </c>
      <c r="K1790" s="167" t="s">
        <v>1464</v>
      </c>
      <c r="L1790" s="167">
        <v>744</v>
      </c>
      <c r="M1790" s="168">
        <v>46096</v>
      </c>
      <c r="N1790" s="192" t="s">
        <v>1582</v>
      </c>
      <c r="O1790" s="181" t="s">
        <v>271</v>
      </c>
    </row>
    <row r="1791" spans="1:15" x14ac:dyDescent="0.25">
      <c r="A1791" s="154">
        <v>1791</v>
      </c>
      <c r="B1791" s="181" t="s">
        <v>2691</v>
      </c>
      <c r="C1791" s="197">
        <v>28833531</v>
      </c>
      <c r="D1791" s="164" t="s">
        <v>2660</v>
      </c>
      <c r="E1791" s="198">
        <v>1091100</v>
      </c>
      <c r="F1791" s="198">
        <v>0</v>
      </c>
      <c r="G1791" s="198">
        <v>1091100</v>
      </c>
      <c r="H1791" s="198">
        <v>0</v>
      </c>
      <c r="I1791" s="163"/>
      <c r="J1791" s="166">
        <v>0</v>
      </c>
      <c r="K1791" s="167" t="s">
        <v>1464</v>
      </c>
      <c r="L1791" s="167">
        <v>744</v>
      </c>
      <c r="M1791" s="168">
        <v>46096</v>
      </c>
      <c r="N1791" s="192" t="s">
        <v>1582</v>
      </c>
      <c r="O1791" s="181" t="s">
        <v>241</v>
      </c>
    </row>
    <row r="1792" spans="1:15" x14ac:dyDescent="0.25">
      <c r="A1792" s="154">
        <v>1792</v>
      </c>
      <c r="B1792" s="181" t="s">
        <v>2691</v>
      </c>
      <c r="C1792" s="197">
        <v>28833531</v>
      </c>
      <c r="D1792" s="164" t="s">
        <v>2660</v>
      </c>
      <c r="E1792" s="198">
        <v>254806</v>
      </c>
      <c r="F1792" s="198">
        <v>127505.5</v>
      </c>
      <c r="G1792" s="198">
        <v>127300.5</v>
      </c>
      <c r="H1792" s="198">
        <v>0</v>
      </c>
      <c r="I1792" s="163"/>
      <c r="J1792" s="166">
        <v>0</v>
      </c>
      <c r="K1792" s="167" t="s">
        <v>1464</v>
      </c>
      <c r="L1792" s="167">
        <v>744</v>
      </c>
      <c r="M1792" s="168">
        <v>46096</v>
      </c>
      <c r="N1792" s="192" t="s">
        <v>2666</v>
      </c>
      <c r="O1792" s="181" t="s">
        <v>227</v>
      </c>
    </row>
    <row r="1793" spans="1:15" x14ac:dyDescent="0.25">
      <c r="A1793" s="154">
        <v>1793</v>
      </c>
      <c r="B1793" s="181" t="s">
        <v>2691</v>
      </c>
      <c r="C1793" s="197">
        <v>28833531</v>
      </c>
      <c r="D1793" s="164" t="s">
        <v>2660</v>
      </c>
      <c r="E1793" s="198">
        <v>130089</v>
      </c>
      <c r="F1793" s="198">
        <v>65147</v>
      </c>
      <c r="G1793" s="198">
        <v>64942</v>
      </c>
      <c r="H1793" s="198">
        <v>0</v>
      </c>
      <c r="I1793" s="163"/>
      <c r="J1793" s="166">
        <v>0</v>
      </c>
      <c r="K1793" s="167" t="s">
        <v>1464</v>
      </c>
      <c r="L1793" s="167">
        <v>744</v>
      </c>
      <c r="M1793" s="168">
        <v>46096</v>
      </c>
      <c r="N1793" s="192" t="s">
        <v>2665</v>
      </c>
      <c r="O1793" s="181" t="s">
        <v>1016</v>
      </c>
    </row>
    <row r="1794" spans="1:15" x14ac:dyDescent="0.25">
      <c r="A1794" s="154">
        <v>1794</v>
      </c>
      <c r="B1794" s="181" t="s">
        <v>2691</v>
      </c>
      <c r="C1794" s="197">
        <v>28833531</v>
      </c>
      <c r="D1794" s="164" t="s">
        <v>2660</v>
      </c>
      <c r="E1794" s="198">
        <v>5916648</v>
      </c>
      <c r="F1794" s="198">
        <v>0</v>
      </c>
      <c r="G1794" s="198">
        <v>5916648</v>
      </c>
      <c r="H1794" s="198">
        <v>0</v>
      </c>
      <c r="I1794" s="163"/>
      <c r="J1794" s="166">
        <v>0</v>
      </c>
      <c r="K1794" s="167" t="s">
        <v>1464</v>
      </c>
      <c r="L1794" s="167">
        <v>744</v>
      </c>
      <c r="M1794" s="168">
        <v>46096</v>
      </c>
      <c r="N1794" s="192" t="s">
        <v>1582</v>
      </c>
      <c r="O1794" s="181" t="s">
        <v>275</v>
      </c>
    </row>
    <row r="1795" spans="1:15" x14ac:dyDescent="0.25">
      <c r="A1795" s="154">
        <v>1795</v>
      </c>
      <c r="B1795" s="181" t="s">
        <v>2691</v>
      </c>
      <c r="C1795" s="197">
        <v>28833531</v>
      </c>
      <c r="D1795" s="164" t="s">
        <v>2660</v>
      </c>
      <c r="E1795" s="198">
        <v>95705</v>
      </c>
      <c r="F1795" s="198">
        <v>47955</v>
      </c>
      <c r="G1795" s="198">
        <v>47750</v>
      </c>
      <c r="H1795" s="198">
        <v>0</v>
      </c>
      <c r="I1795" s="163"/>
      <c r="J1795" s="166">
        <v>0</v>
      </c>
      <c r="K1795" s="167" t="s">
        <v>1464</v>
      </c>
      <c r="L1795" s="167">
        <v>744</v>
      </c>
      <c r="M1795" s="168">
        <v>46096</v>
      </c>
      <c r="N1795" s="199" t="s">
        <v>2664</v>
      </c>
      <c r="O1795" s="181" t="s">
        <v>215</v>
      </c>
    </row>
    <row r="1796" spans="1:15" x14ac:dyDescent="0.25">
      <c r="A1796" s="154">
        <v>1796</v>
      </c>
      <c r="B1796" s="181" t="s">
        <v>2692</v>
      </c>
      <c r="C1796" s="197">
        <v>2728908</v>
      </c>
      <c r="D1796" s="164" t="s">
        <v>2660</v>
      </c>
      <c r="E1796" s="198">
        <v>42500</v>
      </c>
      <c r="F1796" s="198">
        <v>21352</v>
      </c>
      <c r="G1796" s="198">
        <v>21148</v>
      </c>
      <c r="H1796" s="198">
        <v>0</v>
      </c>
      <c r="I1796" s="163"/>
      <c r="J1796" s="166">
        <v>0</v>
      </c>
      <c r="K1796" s="167" t="s">
        <v>1464</v>
      </c>
      <c r="L1796" s="167">
        <v>744</v>
      </c>
      <c r="M1796" s="168">
        <v>46096</v>
      </c>
      <c r="N1796" s="192" t="s">
        <v>2663</v>
      </c>
      <c r="O1796" s="181" t="s">
        <v>185</v>
      </c>
    </row>
    <row r="1797" spans="1:15" x14ac:dyDescent="0.25">
      <c r="A1797" s="154">
        <v>1797</v>
      </c>
      <c r="B1797" s="181" t="s">
        <v>2692</v>
      </c>
      <c r="C1797" s="197">
        <v>2728908</v>
      </c>
      <c r="D1797" s="164" t="s">
        <v>2660</v>
      </c>
      <c r="E1797" s="198">
        <v>27175</v>
      </c>
      <c r="F1797" s="198">
        <v>13690</v>
      </c>
      <c r="G1797" s="198">
        <v>13485</v>
      </c>
      <c r="H1797" s="198">
        <v>0</v>
      </c>
      <c r="I1797" s="163"/>
      <c r="J1797" s="166">
        <v>0</v>
      </c>
      <c r="K1797" s="167" t="s">
        <v>1464</v>
      </c>
      <c r="L1797" s="167">
        <v>744</v>
      </c>
      <c r="M1797" s="168">
        <v>46096</v>
      </c>
      <c r="N1797" s="192" t="s">
        <v>2661</v>
      </c>
      <c r="O1797" s="181" t="s">
        <v>212</v>
      </c>
    </row>
    <row r="1798" spans="1:15" x14ac:dyDescent="0.25">
      <c r="A1798" s="154">
        <v>1798</v>
      </c>
      <c r="B1798" s="181" t="s">
        <v>2692</v>
      </c>
      <c r="C1798" s="197">
        <v>2728908</v>
      </c>
      <c r="D1798" s="164" t="s">
        <v>2660</v>
      </c>
      <c r="E1798" s="198">
        <v>1180076</v>
      </c>
      <c r="F1798" s="198">
        <v>590140</v>
      </c>
      <c r="G1798" s="198">
        <v>589936</v>
      </c>
      <c r="H1798" s="198">
        <v>0</v>
      </c>
      <c r="I1798" s="163"/>
      <c r="J1798" s="166">
        <v>0</v>
      </c>
      <c r="K1798" s="167" t="s">
        <v>1464</v>
      </c>
      <c r="L1798" s="167">
        <v>744</v>
      </c>
      <c r="M1798" s="168">
        <v>46096</v>
      </c>
      <c r="N1798" s="192" t="s">
        <v>2666</v>
      </c>
      <c r="O1798" s="181" t="s">
        <v>227</v>
      </c>
    </row>
    <row r="1799" spans="1:15" x14ac:dyDescent="0.25">
      <c r="A1799" s="154">
        <v>1799</v>
      </c>
      <c r="B1799" s="181" t="s">
        <v>2692</v>
      </c>
      <c r="C1799" s="197">
        <v>2728908</v>
      </c>
      <c r="D1799" s="164" t="s">
        <v>2660</v>
      </c>
      <c r="E1799" s="198">
        <v>19715</v>
      </c>
      <c r="F1799" s="198">
        <v>9960</v>
      </c>
      <c r="G1799" s="198">
        <v>9755</v>
      </c>
      <c r="H1799" s="198">
        <v>0</v>
      </c>
      <c r="I1799" s="163"/>
      <c r="J1799" s="166">
        <v>0</v>
      </c>
      <c r="K1799" s="167" t="s">
        <v>1464</v>
      </c>
      <c r="L1799" s="167">
        <v>744</v>
      </c>
      <c r="M1799" s="168">
        <v>46096</v>
      </c>
      <c r="N1799" s="192" t="s">
        <v>2665</v>
      </c>
      <c r="O1799" s="181" t="s">
        <v>1016</v>
      </c>
    </row>
    <row r="1800" spans="1:15" x14ac:dyDescent="0.25">
      <c r="A1800" s="154">
        <v>1800</v>
      </c>
      <c r="B1800" s="181" t="s">
        <v>2692</v>
      </c>
      <c r="C1800" s="197">
        <v>2728908</v>
      </c>
      <c r="D1800" s="164" t="s">
        <v>2660</v>
      </c>
      <c r="E1800" s="198">
        <v>76200</v>
      </c>
      <c r="F1800" s="198">
        <v>38202.5</v>
      </c>
      <c r="G1800" s="198">
        <v>37997.5</v>
      </c>
      <c r="H1800" s="198">
        <v>0</v>
      </c>
      <c r="I1800" s="163"/>
      <c r="J1800" s="166">
        <v>0</v>
      </c>
      <c r="K1800" s="167" t="s">
        <v>1464</v>
      </c>
      <c r="L1800" s="167">
        <v>744</v>
      </c>
      <c r="M1800" s="168">
        <v>46096</v>
      </c>
      <c r="N1800" s="199" t="s">
        <v>2664</v>
      </c>
      <c r="O1800" s="181" t="s">
        <v>215</v>
      </c>
    </row>
    <row r="1801" spans="1:15" x14ac:dyDescent="0.25">
      <c r="A1801" s="154">
        <v>1801</v>
      </c>
      <c r="B1801" s="181" t="s">
        <v>2693</v>
      </c>
      <c r="C1801" s="197">
        <v>1111000</v>
      </c>
      <c r="D1801" s="164" t="s">
        <v>2660</v>
      </c>
      <c r="E1801" s="198">
        <v>76445</v>
      </c>
      <c r="F1801" s="198">
        <v>38325</v>
      </c>
      <c r="G1801" s="198">
        <v>38120</v>
      </c>
      <c r="H1801" s="198">
        <v>0</v>
      </c>
      <c r="I1801" s="163"/>
      <c r="J1801" s="166">
        <v>0</v>
      </c>
      <c r="K1801" s="167" t="s">
        <v>1464</v>
      </c>
      <c r="L1801" s="167">
        <v>744</v>
      </c>
      <c r="M1801" s="168">
        <v>46096</v>
      </c>
      <c r="N1801" s="192" t="s">
        <v>2661</v>
      </c>
      <c r="O1801" s="181" t="s">
        <v>212</v>
      </c>
    </row>
    <row r="1802" spans="1:15" x14ac:dyDescent="0.25">
      <c r="A1802" s="154">
        <v>1802</v>
      </c>
      <c r="B1802" s="181" t="s">
        <v>2693</v>
      </c>
      <c r="C1802" s="197">
        <v>1111000</v>
      </c>
      <c r="D1802" s="164" t="s">
        <v>2660</v>
      </c>
      <c r="E1802" s="198">
        <v>5518</v>
      </c>
      <c r="F1802" s="198">
        <v>2700</v>
      </c>
      <c r="G1802" s="198">
        <v>2818</v>
      </c>
      <c r="H1802" s="198">
        <v>0</v>
      </c>
      <c r="I1802" s="163"/>
      <c r="J1802" s="166">
        <v>0</v>
      </c>
      <c r="K1802" s="167" t="s">
        <v>1464</v>
      </c>
      <c r="L1802" s="167">
        <v>744</v>
      </c>
      <c r="M1802" s="168">
        <v>46096</v>
      </c>
      <c r="N1802" s="192" t="s">
        <v>2665</v>
      </c>
      <c r="O1802" s="181" t="s">
        <v>1016</v>
      </c>
    </row>
    <row r="1803" spans="1:15" x14ac:dyDescent="0.25">
      <c r="A1803" s="154">
        <v>1803</v>
      </c>
      <c r="B1803" s="181" t="s">
        <v>2693</v>
      </c>
      <c r="C1803" s="197">
        <v>1111000</v>
      </c>
      <c r="D1803" s="164" t="s">
        <v>2660</v>
      </c>
      <c r="E1803" s="198">
        <v>120725</v>
      </c>
      <c r="F1803" s="198">
        <v>60465</v>
      </c>
      <c r="G1803" s="198">
        <v>60260</v>
      </c>
      <c r="H1803" s="198">
        <v>0</v>
      </c>
      <c r="I1803" s="163"/>
      <c r="J1803" s="166">
        <v>0</v>
      </c>
      <c r="K1803" s="167" t="s">
        <v>1464</v>
      </c>
      <c r="L1803" s="167">
        <v>744</v>
      </c>
      <c r="M1803" s="168">
        <v>46096</v>
      </c>
      <c r="N1803" s="199" t="s">
        <v>2664</v>
      </c>
      <c r="O1803" s="181" t="s">
        <v>215</v>
      </c>
    </row>
    <row r="1804" spans="1:15" x14ac:dyDescent="0.25">
      <c r="A1804" s="154">
        <v>1804</v>
      </c>
      <c r="B1804" s="181" t="s">
        <v>2694</v>
      </c>
      <c r="C1804" s="197">
        <v>22412300</v>
      </c>
      <c r="D1804" s="164" t="s">
        <v>2660</v>
      </c>
      <c r="E1804" s="198">
        <v>1081405</v>
      </c>
      <c r="F1804" s="198">
        <v>540805</v>
      </c>
      <c r="G1804" s="198">
        <v>540600</v>
      </c>
      <c r="H1804" s="198">
        <v>0</v>
      </c>
      <c r="I1804" s="163"/>
      <c r="J1804" s="166">
        <v>0</v>
      </c>
      <c r="K1804" s="167" t="s">
        <v>1464</v>
      </c>
      <c r="L1804" s="167">
        <v>744</v>
      </c>
      <c r="M1804" s="168">
        <v>46096</v>
      </c>
      <c r="N1804" s="192" t="s">
        <v>2663</v>
      </c>
      <c r="O1804" s="181" t="s">
        <v>185</v>
      </c>
    </row>
    <row r="1805" spans="1:15" x14ac:dyDescent="0.25">
      <c r="A1805" s="154">
        <v>1805</v>
      </c>
      <c r="B1805" s="181" t="s">
        <v>2694</v>
      </c>
      <c r="C1805" s="197">
        <v>22412300</v>
      </c>
      <c r="D1805" s="164" t="s">
        <v>2660</v>
      </c>
      <c r="E1805" s="198">
        <v>95310</v>
      </c>
      <c r="F1805" s="198">
        <v>47757.5</v>
      </c>
      <c r="G1805" s="198">
        <v>47552.5</v>
      </c>
      <c r="H1805" s="198">
        <v>0</v>
      </c>
      <c r="I1805" s="163"/>
      <c r="J1805" s="166">
        <v>0</v>
      </c>
      <c r="K1805" s="167" t="s">
        <v>1464</v>
      </c>
      <c r="L1805" s="167">
        <v>744</v>
      </c>
      <c r="M1805" s="168">
        <v>46096</v>
      </c>
      <c r="N1805" s="192" t="s">
        <v>2661</v>
      </c>
      <c r="O1805" s="181" t="s">
        <v>212</v>
      </c>
    </row>
    <row r="1806" spans="1:15" x14ac:dyDescent="0.25">
      <c r="A1806" s="154">
        <v>1806</v>
      </c>
      <c r="B1806" s="181" t="s">
        <v>2694</v>
      </c>
      <c r="C1806" s="197">
        <v>22412300</v>
      </c>
      <c r="D1806" s="164" t="s">
        <v>2660</v>
      </c>
      <c r="E1806" s="198">
        <v>20595</v>
      </c>
      <c r="F1806" s="198">
        <v>10400</v>
      </c>
      <c r="G1806" s="198">
        <v>10195</v>
      </c>
      <c r="H1806" s="198">
        <v>0</v>
      </c>
      <c r="I1806" s="163"/>
      <c r="J1806" s="166">
        <v>0</v>
      </c>
      <c r="K1806" s="167" t="s">
        <v>1464</v>
      </c>
      <c r="L1806" s="167">
        <v>744</v>
      </c>
      <c r="M1806" s="168">
        <v>46096</v>
      </c>
      <c r="N1806" s="192" t="s">
        <v>2666</v>
      </c>
      <c r="O1806" s="181" t="s">
        <v>227</v>
      </c>
    </row>
    <row r="1807" spans="1:15" x14ac:dyDescent="0.25">
      <c r="A1807" s="154">
        <v>1807</v>
      </c>
      <c r="B1807" s="181" t="s">
        <v>2694</v>
      </c>
      <c r="C1807" s="197">
        <v>22412300</v>
      </c>
      <c r="D1807" s="164" t="s">
        <v>2660</v>
      </c>
      <c r="E1807" s="198">
        <v>125427</v>
      </c>
      <c r="F1807" s="198">
        <v>62816</v>
      </c>
      <c r="G1807" s="198">
        <v>62611</v>
      </c>
      <c r="H1807" s="198">
        <v>0</v>
      </c>
      <c r="I1807" s="163"/>
      <c r="J1807" s="166">
        <v>0</v>
      </c>
      <c r="K1807" s="167" t="s">
        <v>1464</v>
      </c>
      <c r="L1807" s="167">
        <v>744</v>
      </c>
      <c r="M1807" s="168">
        <v>46096</v>
      </c>
      <c r="N1807" s="192" t="s">
        <v>2665</v>
      </c>
      <c r="O1807" s="181" t="s">
        <v>1016</v>
      </c>
    </row>
    <row r="1808" spans="1:15" x14ac:dyDescent="0.25">
      <c r="A1808" s="154">
        <v>1808</v>
      </c>
      <c r="B1808" s="181" t="s">
        <v>2694</v>
      </c>
      <c r="C1808" s="197">
        <v>22412300</v>
      </c>
      <c r="D1808" s="164" t="s">
        <v>2660</v>
      </c>
      <c r="E1808" s="198">
        <v>4629582</v>
      </c>
      <c r="F1808" s="198">
        <v>2952400</v>
      </c>
      <c r="G1808" s="198">
        <v>1677182</v>
      </c>
      <c r="H1808" s="198">
        <v>0</v>
      </c>
      <c r="I1808" s="163"/>
      <c r="J1808" s="166">
        <v>0</v>
      </c>
      <c r="K1808" s="167" t="s">
        <v>1464</v>
      </c>
      <c r="L1808" s="167">
        <v>744</v>
      </c>
      <c r="M1808" s="168">
        <v>46096</v>
      </c>
      <c r="N1808" s="199" t="s">
        <v>2664</v>
      </c>
      <c r="O1808" s="181" t="s">
        <v>215</v>
      </c>
    </row>
    <row r="1809" spans="1:15" x14ac:dyDescent="0.25">
      <c r="A1809" s="154">
        <v>1809</v>
      </c>
      <c r="B1809" s="181" t="s">
        <v>2694</v>
      </c>
      <c r="C1809" s="197">
        <v>22412300</v>
      </c>
      <c r="D1809" s="164" t="s">
        <v>2660</v>
      </c>
      <c r="E1809" s="198">
        <v>237950</v>
      </c>
      <c r="F1809" s="198">
        <v>0</v>
      </c>
      <c r="G1809" s="198">
        <v>237950</v>
      </c>
      <c r="H1809" s="198">
        <v>0</v>
      </c>
      <c r="I1809" s="163"/>
      <c r="J1809" s="166">
        <v>0</v>
      </c>
      <c r="K1809" s="167" t="s">
        <v>1464</v>
      </c>
      <c r="L1809" s="167">
        <v>744</v>
      </c>
      <c r="M1809" s="168">
        <v>46096</v>
      </c>
      <c r="N1809" s="192" t="s">
        <v>1582</v>
      </c>
      <c r="O1809" s="181" t="s">
        <v>1848</v>
      </c>
    </row>
    <row r="1810" spans="1:15" x14ac:dyDescent="0.25">
      <c r="A1810" s="154">
        <v>1810</v>
      </c>
      <c r="B1810" s="181" t="s">
        <v>2694</v>
      </c>
      <c r="C1810" s="197">
        <v>22412300</v>
      </c>
      <c r="D1810" s="164" t="s">
        <v>2660</v>
      </c>
      <c r="E1810" s="198">
        <v>3380000</v>
      </c>
      <c r="F1810" s="198">
        <v>0</v>
      </c>
      <c r="G1810" s="198">
        <v>3380000</v>
      </c>
      <c r="H1810" s="198">
        <v>0</v>
      </c>
      <c r="I1810" s="163"/>
      <c r="J1810" s="166">
        <v>0</v>
      </c>
      <c r="K1810" s="167" t="s">
        <v>1464</v>
      </c>
      <c r="L1810" s="167">
        <v>744</v>
      </c>
      <c r="M1810" s="168">
        <v>46096</v>
      </c>
      <c r="N1810" s="192" t="s">
        <v>1582</v>
      </c>
      <c r="O1810" s="181" t="s">
        <v>1810</v>
      </c>
    </row>
    <row r="1811" spans="1:15" x14ac:dyDescent="0.25">
      <c r="A1811" s="154">
        <v>1811</v>
      </c>
      <c r="B1811" s="181" t="s">
        <v>2695</v>
      </c>
      <c r="C1811" s="197">
        <v>1246200</v>
      </c>
      <c r="D1811" s="164" t="s">
        <v>2660</v>
      </c>
      <c r="E1811" s="198">
        <v>37000</v>
      </c>
      <c r="F1811" s="198">
        <v>18602.5</v>
      </c>
      <c r="G1811" s="198">
        <v>18397.5</v>
      </c>
      <c r="H1811" s="198">
        <v>0</v>
      </c>
      <c r="I1811" s="163"/>
      <c r="J1811" s="166">
        <v>0</v>
      </c>
      <c r="K1811" s="167" t="s">
        <v>1464</v>
      </c>
      <c r="L1811" s="167">
        <v>744</v>
      </c>
      <c r="M1811" s="168">
        <v>46096</v>
      </c>
      <c r="N1811" s="192" t="s">
        <v>2661</v>
      </c>
      <c r="O1811" s="181" t="s">
        <v>212</v>
      </c>
    </row>
    <row r="1812" spans="1:15" x14ac:dyDescent="0.25">
      <c r="A1812" s="154">
        <v>1812</v>
      </c>
      <c r="B1812" s="181" t="s">
        <v>2695</v>
      </c>
      <c r="C1812" s="197">
        <v>1246200</v>
      </c>
      <c r="D1812" s="164" t="s">
        <v>2660</v>
      </c>
      <c r="E1812" s="198">
        <v>4029</v>
      </c>
      <c r="F1812" s="198">
        <v>1657003</v>
      </c>
      <c r="G1812" s="198">
        <v>-1652974</v>
      </c>
      <c r="H1812" s="198">
        <v>0</v>
      </c>
      <c r="I1812" s="163"/>
      <c r="J1812" s="166">
        <v>0</v>
      </c>
      <c r="K1812" s="167" t="s">
        <v>1464</v>
      </c>
      <c r="L1812" s="167">
        <v>744</v>
      </c>
      <c r="M1812" s="168">
        <v>46096</v>
      </c>
      <c r="N1812" s="192" t="s">
        <v>2666</v>
      </c>
      <c r="O1812" s="181" t="s">
        <v>227</v>
      </c>
    </row>
    <row r="1813" spans="1:15" x14ac:dyDescent="0.25">
      <c r="A1813" s="154">
        <v>1813</v>
      </c>
      <c r="B1813" s="181" t="s">
        <v>2695</v>
      </c>
      <c r="C1813" s="197">
        <v>1246200</v>
      </c>
      <c r="D1813" s="164" t="s">
        <v>2660</v>
      </c>
      <c r="E1813" s="198">
        <v>2623</v>
      </c>
      <c r="F1813" s="198">
        <v>1414</v>
      </c>
      <c r="G1813" s="198">
        <v>1209</v>
      </c>
      <c r="H1813" s="198">
        <v>0</v>
      </c>
      <c r="I1813" s="163"/>
      <c r="J1813" s="166">
        <v>0</v>
      </c>
      <c r="K1813" s="167" t="s">
        <v>1464</v>
      </c>
      <c r="L1813" s="167">
        <v>744</v>
      </c>
      <c r="M1813" s="168">
        <v>46096</v>
      </c>
      <c r="N1813" s="192" t="s">
        <v>2665</v>
      </c>
      <c r="O1813" s="181" t="s">
        <v>1016</v>
      </c>
    </row>
    <row r="1814" spans="1:15" x14ac:dyDescent="0.25">
      <c r="A1814" s="154">
        <v>1814</v>
      </c>
      <c r="B1814" s="181" t="s">
        <v>2695</v>
      </c>
      <c r="C1814" s="197">
        <v>1246200</v>
      </c>
      <c r="D1814" s="164" t="s">
        <v>2660</v>
      </c>
      <c r="E1814" s="198">
        <v>239455</v>
      </c>
      <c r="F1814" s="198">
        <v>119830</v>
      </c>
      <c r="G1814" s="198">
        <v>119625</v>
      </c>
      <c r="H1814" s="198">
        <v>0</v>
      </c>
      <c r="I1814" s="163"/>
      <c r="J1814" s="166">
        <v>0</v>
      </c>
      <c r="K1814" s="167" t="s">
        <v>1464</v>
      </c>
      <c r="L1814" s="167">
        <v>744</v>
      </c>
      <c r="M1814" s="168">
        <v>46096</v>
      </c>
      <c r="N1814" s="199" t="s">
        <v>2664</v>
      </c>
      <c r="O1814" s="181" t="s">
        <v>215</v>
      </c>
    </row>
    <row r="1815" spans="1:15" x14ac:dyDescent="0.25">
      <c r="A1815" s="154">
        <v>1815</v>
      </c>
      <c r="B1815" s="181" t="s">
        <v>2696</v>
      </c>
      <c r="C1815" s="197">
        <v>136100</v>
      </c>
      <c r="D1815" s="164" t="s">
        <v>2660</v>
      </c>
      <c r="E1815" s="198">
        <v>29850</v>
      </c>
      <c r="F1815" s="198">
        <v>15027.5</v>
      </c>
      <c r="G1815" s="198">
        <v>14822.5</v>
      </c>
      <c r="H1815" s="198">
        <v>0</v>
      </c>
      <c r="I1815" s="163"/>
      <c r="J1815" s="166">
        <v>0</v>
      </c>
      <c r="K1815" s="167" t="s">
        <v>1464</v>
      </c>
      <c r="L1815" s="167">
        <v>744</v>
      </c>
      <c r="M1815" s="168">
        <v>46096</v>
      </c>
      <c r="N1815" s="199" t="s">
        <v>2664</v>
      </c>
      <c r="O1815" s="181" t="s">
        <v>215</v>
      </c>
    </row>
    <row r="1816" spans="1:15" x14ac:dyDescent="0.25">
      <c r="A1816" s="154">
        <v>1816</v>
      </c>
      <c r="B1816" s="181" t="s">
        <v>2697</v>
      </c>
      <c r="C1816" s="197">
        <v>4013700</v>
      </c>
      <c r="D1816" s="164" t="s">
        <v>2660</v>
      </c>
      <c r="E1816" s="198">
        <v>154005</v>
      </c>
      <c r="F1816" s="198">
        <v>77105</v>
      </c>
      <c r="G1816" s="198">
        <v>76900</v>
      </c>
      <c r="H1816" s="198">
        <v>0</v>
      </c>
      <c r="I1816" s="163"/>
      <c r="J1816" s="166">
        <v>0</v>
      </c>
      <c r="K1816" s="167" t="s">
        <v>1464</v>
      </c>
      <c r="L1816" s="167">
        <v>744</v>
      </c>
      <c r="M1816" s="168">
        <v>46096</v>
      </c>
      <c r="N1816" s="192" t="s">
        <v>2661</v>
      </c>
      <c r="O1816" s="181" t="s">
        <v>212</v>
      </c>
    </row>
    <row r="1817" spans="1:15" x14ac:dyDescent="0.25">
      <c r="A1817" s="154">
        <v>1817</v>
      </c>
      <c r="B1817" s="181" t="s">
        <v>2697</v>
      </c>
      <c r="C1817" s="197">
        <v>4013700</v>
      </c>
      <c r="D1817" s="164" t="s">
        <v>2660</v>
      </c>
      <c r="E1817" s="198">
        <v>2094</v>
      </c>
      <c r="F1817" s="198">
        <v>1149</v>
      </c>
      <c r="G1817" s="198">
        <v>945</v>
      </c>
      <c r="H1817" s="198">
        <v>0</v>
      </c>
      <c r="I1817" s="163"/>
      <c r="J1817" s="166">
        <v>0</v>
      </c>
      <c r="K1817" s="167" t="s">
        <v>1464</v>
      </c>
      <c r="L1817" s="167">
        <v>744</v>
      </c>
      <c r="M1817" s="168">
        <v>46096</v>
      </c>
      <c r="N1817" s="192" t="s">
        <v>2666</v>
      </c>
      <c r="O1817" s="181" t="s">
        <v>227</v>
      </c>
    </row>
    <row r="1818" spans="1:15" x14ac:dyDescent="0.25">
      <c r="A1818" s="154">
        <v>1818</v>
      </c>
      <c r="B1818" s="181" t="s">
        <v>2697</v>
      </c>
      <c r="C1818" s="197">
        <v>4013700</v>
      </c>
      <c r="D1818" s="164" t="s">
        <v>2660</v>
      </c>
      <c r="E1818" s="198">
        <v>77255</v>
      </c>
      <c r="F1818" s="198">
        <v>38730</v>
      </c>
      <c r="G1818" s="198">
        <v>38525</v>
      </c>
      <c r="H1818" s="198">
        <v>0</v>
      </c>
      <c r="I1818" s="163"/>
      <c r="J1818" s="166">
        <v>0</v>
      </c>
      <c r="K1818" s="167" t="s">
        <v>1464</v>
      </c>
      <c r="L1818" s="167">
        <v>744</v>
      </c>
      <c r="M1818" s="168">
        <v>46096</v>
      </c>
      <c r="N1818" s="192" t="s">
        <v>2665</v>
      </c>
      <c r="O1818" s="181" t="s">
        <v>1016</v>
      </c>
    </row>
    <row r="1819" spans="1:15" x14ac:dyDescent="0.25">
      <c r="A1819" s="154">
        <v>1819</v>
      </c>
      <c r="B1819" s="181" t="s">
        <v>2697</v>
      </c>
      <c r="C1819" s="197">
        <v>4013700</v>
      </c>
      <c r="D1819" s="164" t="s">
        <v>2660</v>
      </c>
      <c r="E1819" s="198">
        <v>606115</v>
      </c>
      <c r="F1819" s="198">
        <v>303160</v>
      </c>
      <c r="G1819" s="198">
        <v>302955</v>
      </c>
      <c r="H1819" s="198">
        <v>0</v>
      </c>
      <c r="I1819" s="163"/>
      <c r="J1819" s="166">
        <v>0</v>
      </c>
      <c r="K1819" s="167" t="s">
        <v>1464</v>
      </c>
      <c r="L1819" s="167">
        <v>744</v>
      </c>
      <c r="M1819" s="168">
        <v>46096</v>
      </c>
      <c r="N1819" s="199" t="s">
        <v>2664</v>
      </c>
      <c r="O1819" s="181" t="s">
        <v>215</v>
      </c>
    </row>
    <row r="1820" spans="1:15" x14ac:dyDescent="0.25">
      <c r="A1820" s="154">
        <v>1820</v>
      </c>
      <c r="B1820" s="181" t="s">
        <v>2697</v>
      </c>
      <c r="C1820" s="197">
        <v>4013700</v>
      </c>
      <c r="D1820" s="164" t="s">
        <v>2660</v>
      </c>
      <c r="E1820" s="198">
        <v>145800</v>
      </c>
      <c r="F1820" s="198">
        <v>0</v>
      </c>
      <c r="G1820" s="198">
        <v>145800</v>
      </c>
      <c r="H1820" s="198">
        <v>0</v>
      </c>
      <c r="I1820" s="163"/>
      <c r="J1820" s="166">
        <v>0</v>
      </c>
      <c r="K1820" s="167" t="s">
        <v>1464</v>
      </c>
      <c r="L1820" s="167">
        <v>744</v>
      </c>
      <c r="M1820" s="168">
        <v>46096</v>
      </c>
      <c r="N1820" s="192" t="s">
        <v>1582</v>
      </c>
      <c r="O1820" s="181" t="s">
        <v>1848</v>
      </c>
    </row>
    <row r="1821" spans="1:15" x14ac:dyDescent="0.25">
      <c r="A1821" s="154">
        <v>1821</v>
      </c>
      <c r="B1821" s="181" t="s">
        <v>2698</v>
      </c>
      <c r="C1821" s="197">
        <v>13265843</v>
      </c>
      <c r="D1821" s="164" t="s">
        <v>2660</v>
      </c>
      <c r="E1821" s="198">
        <v>9000</v>
      </c>
      <c r="F1821" s="198">
        <v>4602</v>
      </c>
      <c r="G1821" s="198">
        <v>4398</v>
      </c>
      <c r="H1821" s="198">
        <v>0</v>
      </c>
      <c r="I1821" s="163"/>
      <c r="J1821" s="166">
        <v>0</v>
      </c>
      <c r="K1821" s="167" t="s">
        <v>1464</v>
      </c>
      <c r="L1821" s="167">
        <v>744</v>
      </c>
      <c r="M1821" s="168">
        <v>46096</v>
      </c>
      <c r="N1821" s="192" t="s">
        <v>2663</v>
      </c>
      <c r="O1821" s="181" t="s">
        <v>185</v>
      </c>
    </row>
    <row r="1822" spans="1:15" x14ac:dyDescent="0.25">
      <c r="A1822" s="154">
        <v>1822</v>
      </c>
      <c r="B1822" s="181" t="s">
        <v>2698</v>
      </c>
      <c r="C1822" s="197">
        <v>13265843</v>
      </c>
      <c r="D1822" s="164" t="s">
        <v>2660</v>
      </c>
      <c r="E1822" s="198">
        <v>105900</v>
      </c>
      <c r="F1822" s="198">
        <v>53052.5</v>
      </c>
      <c r="G1822" s="198">
        <v>52847.5</v>
      </c>
      <c r="H1822" s="198">
        <v>0</v>
      </c>
      <c r="I1822" s="163"/>
      <c r="J1822" s="166">
        <v>0</v>
      </c>
      <c r="K1822" s="167" t="s">
        <v>1464</v>
      </c>
      <c r="L1822" s="167">
        <v>744</v>
      </c>
      <c r="M1822" s="168">
        <v>46096</v>
      </c>
      <c r="N1822" s="192" t="s">
        <v>2661</v>
      </c>
      <c r="O1822" s="181" t="s">
        <v>212</v>
      </c>
    </row>
    <row r="1823" spans="1:15" x14ac:dyDescent="0.25">
      <c r="A1823" s="154">
        <v>1823</v>
      </c>
      <c r="B1823" s="181" t="s">
        <v>2698</v>
      </c>
      <c r="C1823" s="197">
        <v>13265843</v>
      </c>
      <c r="D1823" s="164" t="s">
        <v>2660</v>
      </c>
      <c r="E1823" s="198">
        <v>1168954</v>
      </c>
      <c r="F1823" s="198">
        <v>584579.5</v>
      </c>
      <c r="G1823" s="198">
        <v>584374.5</v>
      </c>
      <c r="H1823" s="198">
        <v>0</v>
      </c>
      <c r="I1823" s="163"/>
      <c r="J1823" s="166">
        <v>0</v>
      </c>
      <c r="K1823" s="167" t="s">
        <v>1464</v>
      </c>
      <c r="L1823" s="167">
        <v>744</v>
      </c>
      <c r="M1823" s="168">
        <v>46096</v>
      </c>
      <c r="N1823" s="192" t="s">
        <v>2666</v>
      </c>
      <c r="O1823" s="181" t="s">
        <v>227</v>
      </c>
    </row>
    <row r="1824" spans="1:15" x14ac:dyDescent="0.25">
      <c r="A1824" s="154">
        <v>1824</v>
      </c>
      <c r="B1824" s="181" t="s">
        <v>2698</v>
      </c>
      <c r="C1824" s="197">
        <v>13265843</v>
      </c>
      <c r="D1824" s="164" t="s">
        <v>2660</v>
      </c>
      <c r="E1824" s="198">
        <v>154590</v>
      </c>
      <c r="F1824" s="198">
        <v>77397.5</v>
      </c>
      <c r="G1824" s="198">
        <v>77192.5</v>
      </c>
      <c r="H1824" s="198">
        <v>0</v>
      </c>
      <c r="I1824" s="163"/>
      <c r="J1824" s="166">
        <v>0</v>
      </c>
      <c r="K1824" s="167" t="s">
        <v>1464</v>
      </c>
      <c r="L1824" s="167">
        <v>744</v>
      </c>
      <c r="M1824" s="168">
        <v>46096</v>
      </c>
      <c r="N1824" s="192" t="s">
        <v>2665</v>
      </c>
      <c r="O1824" s="181" t="s">
        <v>1016</v>
      </c>
    </row>
    <row r="1825" spans="1:15" x14ac:dyDescent="0.25">
      <c r="A1825" s="154">
        <v>1825</v>
      </c>
      <c r="B1825" s="181" t="s">
        <v>2698</v>
      </c>
      <c r="C1825" s="197">
        <v>13265843</v>
      </c>
      <c r="D1825" s="164" t="s">
        <v>2660</v>
      </c>
      <c r="E1825" s="198">
        <v>3115186</v>
      </c>
      <c r="F1825" s="198">
        <v>1450593</v>
      </c>
      <c r="G1825" s="198">
        <v>1664593</v>
      </c>
      <c r="H1825" s="198">
        <v>0</v>
      </c>
      <c r="I1825" s="163"/>
      <c r="J1825" s="166">
        <v>0</v>
      </c>
      <c r="K1825" s="167" t="s">
        <v>1464</v>
      </c>
      <c r="L1825" s="167">
        <v>744</v>
      </c>
      <c r="M1825" s="168">
        <v>46096</v>
      </c>
      <c r="N1825" s="199" t="s">
        <v>2664</v>
      </c>
      <c r="O1825" s="181" t="s">
        <v>215</v>
      </c>
    </row>
    <row r="1826" spans="1:15" x14ac:dyDescent="0.25">
      <c r="A1826" s="154">
        <v>1826</v>
      </c>
      <c r="B1826" s="181" t="s">
        <v>2699</v>
      </c>
      <c r="C1826" s="197">
        <v>93600</v>
      </c>
      <c r="D1826" s="164" t="s">
        <v>2660</v>
      </c>
      <c r="E1826" s="198">
        <v>141</v>
      </c>
      <c r="F1826" s="198">
        <v>173</v>
      </c>
      <c r="G1826" s="198">
        <v>-32</v>
      </c>
      <c r="H1826" s="198">
        <v>0</v>
      </c>
      <c r="I1826" s="163"/>
      <c r="J1826" s="166">
        <v>0</v>
      </c>
      <c r="K1826" s="167" t="s">
        <v>1464</v>
      </c>
      <c r="L1826" s="167">
        <v>744</v>
      </c>
      <c r="M1826" s="168">
        <v>46096</v>
      </c>
      <c r="N1826" s="192" t="s">
        <v>2665</v>
      </c>
      <c r="O1826" s="181" t="s">
        <v>1016</v>
      </c>
    </row>
    <row r="1827" spans="1:15" x14ac:dyDescent="0.25">
      <c r="A1827" s="154">
        <v>1827</v>
      </c>
      <c r="B1827" s="181" t="s">
        <v>2699</v>
      </c>
      <c r="C1827" s="197">
        <v>93600</v>
      </c>
      <c r="D1827" s="164" t="s">
        <v>2660</v>
      </c>
      <c r="E1827" s="198">
        <v>93400</v>
      </c>
      <c r="F1827" s="198">
        <v>46802.5</v>
      </c>
      <c r="G1827" s="198">
        <v>46597.5</v>
      </c>
      <c r="H1827" s="198">
        <v>0</v>
      </c>
      <c r="I1827" s="163"/>
      <c r="J1827" s="166">
        <v>0</v>
      </c>
      <c r="K1827" s="167" t="s">
        <v>1464</v>
      </c>
      <c r="L1827" s="167">
        <v>744</v>
      </c>
      <c r="M1827" s="168">
        <v>46096</v>
      </c>
      <c r="N1827" s="199" t="s">
        <v>2664</v>
      </c>
      <c r="O1827" s="181" t="s">
        <v>215</v>
      </c>
    </row>
    <row r="1828" spans="1:15" x14ac:dyDescent="0.25">
      <c r="A1828" s="154">
        <v>1828</v>
      </c>
      <c r="B1828" s="181" t="s">
        <v>2700</v>
      </c>
      <c r="C1828" s="197">
        <v>218100</v>
      </c>
      <c r="D1828" s="164" t="s">
        <v>2660</v>
      </c>
      <c r="E1828" s="198">
        <v>54904</v>
      </c>
      <c r="F1828" s="198">
        <v>27554.5</v>
      </c>
      <c r="G1828" s="198">
        <v>27349.5</v>
      </c>
      <c r="H1828" s="198">
        <v>0</v>
      </c>
      <c r="I1828" s="163"/>
      <c r="J1828" s="166">
        <v>0</v>
      </c>
      <c r="K1828" s="167" t="s">
        <v>1464</v>
      </c>
      <c r="L1828" s="167">
        <v>744</v>
      </c>
      <c r="M1828" s="168">
        <v>46096</v>
      </c>
      <c r="N1828" s="199" t="s">
        <v>2664</v>
      </c>
      <c r="O1828" s="181" t="s">
        <v>215</v>
      </c>
    </row>
    <row r="1829" spans="1:15" x14ac:dyDescent="0.25">
      <c r="A1829" s="154">
        <v>1829</v>
      </c>
      <c r="B1829" s="181" t="s">
        <v>2701</v>
      </c>
      <c r="C1829" s="197">
        <v>28630932</v>
      </c>
      <c r="D1829" s="164" t="s">
        <v>2660</v>
      </c>
      <c r="E1829" s="198">
        <v>28200</v>
      </c>
      <c r="F1829" s="198">
        <v>14202.5</v>
      </c>
      <c r="G1829" s="198">
        <v>13997.5</v>
      </c>
      <c r="H1829" s="198">
        <v>0</v>
      </c>
      <c r="I1829" s="163"/>
      <c r="J1829" s="166">
        <v>0</v>
      </c>
      <c r="K1829" s="167" t="s">
        <v>1464</v>
      </c>
      <c r="L1829" s="167">
        <v>744</v>
      </c>
      <c r="M1829" s="168">
        <v>46096</v>
      </c>
      <c r="N1829" s="192" t="s">
        <v>2663</v>
      </c>
      <c r="O1829" s="181" t="s">
        <v>185</v>
      </c>
    </row>
    <row r="1830" spans="1:15" x14ac:dyDescent="0.25">
      <c r="A1830" s="154">
        <v>1830</v>
      </c>
      <c r="B1830" s="181" t="s">
        <v>2701</v>
      </c>
      <c r="C1830" s="197">
        <v>28630932</v>
      </c>
      <c r="D1830" s="164" t="s">
        <v>2660</v>
      </c>
      <c r="E1830" s="198">
        <v>323774</v>
      </c>
      <c r="F1830" s="198">
        <v>161989.5</v>
      </c>
      <c r="G1830" s="198">
        <v>161784.5</v>
      </c>
      <c r="H1830" s="198">
        <v>0</v>
      </c>
      <c r="I1830" s="163"/>
      <c r="J1830" s="166">
        <v>0</v>
      </c>
      <c r="K1830" s="167" t="s">
        <v>1464</v>
      </c>
      <c r="L1830" s="167">
        <v>744</v>
      </c>
      <c r="M1830" s="168">
        <v>46096</v>
      </c>
      <c r="N1830" s="192" t="s">
        <v>2661</v>
      </c>
      <c r="O1830" s="181" t="s">
        <v>212</v>
      </c>
    </row>
    <row r="1831" spans="1:15" x14ac:dyDescent="0.25">
      <c r="A1831" s="154">
        <v>1831</v>
      </c>
      <c r="B1831" s="181" t="s">
        <v>2701</v>
      </c>
      <c r="C1831" s="197">
        <v>28630932</v>
      </c>
      <c r="D1831" s="164" t="s">
        <v>2660</v>
      </c>
      <c r="E1831" s="198">
        <v>1421348</v>
      </c>
      <c r="F1831" s="198">
        <v>710776.5</v>
      </c>
      <c r="G1831" s="198">
        <v>710571.5</v>
      </c>
      <c r="H1831" s="198">
        <v>0</v>
      </c>
      <c r="I1831" s="163"/>
      <c r="J1831" s="166">
        <v>0</v>
      </c>
      <c r="K1831" s="167" t="s">
        <v>1464</v>
      </c>
      <c r="L1831" s="167">
        <v>744</v>
      </c>
      <c r="M1831" s="168">
        <v>46096</v>
      </c>
      <c r="N1831" s="192" t="s">
        <v>2666</v>
      </c>
      <c r="O1831" s="181" t="s">
        <v>227</v>
      </c>
    </row>
    <row r="1832" spans="1:15" x14ac:dyDescent="0.25">
      <c r="A1832" s="154">
        <v>1832</v>
      </c>
      <c r="B1832" s="181" t="s">
        <v>2701</v>
      </c>
      <c r="C1832" s="197">
        <v>28630932</v>
      </c>
      <c r="D1832" s="164" t="s">
        <v>2660</v>
      </c>
      <c r="E1832" s="198">
        <v>501652</v>
      </c>
      <c r="F1832" s="198">
        <v>250928.5</v>
      </c>
      <c r="G1832" s="198">
        <v>250723.5</v>
      </c>
      <c r="H1832" s="198">
        <v>0</v>
      </c>
      <c r="I1832" s="163"/>
      <c r="J1832" s="166">
        <v>0</v>
      </c>
      <c r="K1832" s="167" t="s">
        <v>1464</v>
      </c>
      <c r="L1832" s="167">
        <v>744</v>
      </c>
      <c r="M1832" s="168">
        <v>46096</v>
      </c>
      <c r="N1832" s="192" t="s">
        <v>2665</v>
      </c>
      <c r="O1832" s="181" t="s">
        <v>1016</v>
      </c>
    </row>
    <row r="1833" spans="1:15" x14ac:dyDescent="0.25">
      <c r="A1833" s="154">
        <v>1833</v>
      </c>
      <c r="B1833" s="181" t="s">
        <v>2701</v>
      </c>
      <c r="C1833" s="197">
        <v>28630932</v>
      </c>
      <c r="D1833" s="164" t="s">
        <v>2660</v>
      </c>
      <c r="E1833" s="198">
        <v>4036285</v>
      </c>
      <c r="F1833" s="198">
        <v>1890142</v>
      </c>
      <c r="G1833" s="198">
        <v>2146143</v>
      </c>
      <c r="H1833" s="198">
        <v>0</v>
      </c>
      <c r="I1833" s="163"/>
      <c r="J1833" s="166">
        <v>0</v>
      </c>
      <c r="K1833" s="167" t="s">
        <v>1464</v>
      </c>
      <c r="L1833" s="167">
        <v>744</v>
      </c>
      <c r="M1833" s="168">
        <v>46096</v>
      </c>
      <c r="N1833" s="199" t="s">
        <v>2664</v>
      </c>
      <c r="O1833" s="181" t="s">
        <v>215</v>
      </c>
    </row>
    <row r="1834" spans="1:15" x14ac:dyDescent="0.25">
      <c r="A1834" s="154">
        <v>1834</v>
      </c>
      <c r="B1834" s="181" t="s">
        <v>2702</v>
      </c>
      <c r="C1834" s="197">
        <v>19518478</v>
      </c>
      <c r="D1834" s="164" t="s">
        <v>2660</v>
      </c>
      <c r="E1834" s="198">
        <v>172200</v>
      </c>
      <c r="F1834" s="198">
        <v>86202.5</v>
      </c>
      <c r="G1834" s="198">
        <v>85997.5</v>
      </c>
      <c r="H1834" s="198">
        <v>0</v>
      </c>
      <c r="I1834" s="163"/>
      <c r="J1834" s="166">
        <v>0</v>
      </c>
      <c r="K1834" s="167" t="s">
        <v>1464</v>
      </c>
      <c r="L1834" s="167">
        <v>744</v>
      </c>
      <c r="M1834" s="168">
        <v>46096</v>
      </c>
      <c r="N1834" s="192" t="s">
        <v>2663</v>
      </c>
      <c r="O1834" s="181" t="s">
        <v>185</v>
      </c>
    </row>
    <row r="1835" spans="1:15" x14ac:dyDescent="0.25">
      <c r="A1835" s="154">
        <v>1835</v>
      </c>
      <c r="B1835" s="181" t="s">
        <v>2702</v>
      </c>
      <c r="C1835" s="197">
        <v>19518478</v>
      </c>
      <c r="D1835" s="164" t="s">
        <v>2660</v>
      </c>
      <c r="E1835" s="198">
        <v>189955</v>
      </c>
      <c r="F1835" s="198">
        <v>95080</v>
      </c>
      <c r="G1835" s="198">
        <v>94875</v>
      </c>
      <c r="H1835" s="198">
        <v>0</v>
      </c>
      <c r="I1835" s="163"/>
      <c r="J1835" s="166">
        <v>0</v>
      </c>
      <c r="K1835" s="167" t="s">
        <v>1464</v>
      </c>
      <c r="L1835" s="167">
        <v>744</v>
      </c>
      <c r="M1835" s="168">
        <v>46096</v>
      </c>
      <c r="N1835" s="192" t="s">
        <v>2661</v>
      </c>
      <c r="O1835" s="181" t="s">
        <v>212</v>
      </c>
    </row>
    <row r="1836" spans="1:15" x14ac:dyDescent="0.25">
      <c r="A1836" s="154">
        <v>1836</v>
      </c>
      <c r="B1836" s="181" t="s">
        <v>2702</v>
      </c>
      <c r="C1836" s="197">
        <v>19518478</v>
      </c>
      <c r="D1836" s="164" t="s">
        <v>2660</v>
      </c>
      <c r="E1836" s="198">
        <v>459462</v>
      </c>
      <c r="F1836" s="198">
        <v>229833.5</v>
      </c>
      <c r="G1836" s="198">
        <v>229628.5</v>
      </c>
      <c r="H1836" s="198">
        <v>0</v>
      </c>
      <c r="I1836" s="163"/>
      <c r="J1836" s="166">
        <v>0</v>
      </c>
      <c r="K1836" s="167" t="s">
        <v>1464</v>
      </c>
      <c r="L1836" s="167">
        <v>744</v>
      </c>
      <c r="M1836" s="168">
        <v>46096</v>
      </c>
      <c r="N1836" s="192" t="s">
        <v>2666</v>
      </c>
      <c r="O1836" s="181" t="s">
        <v>227</v>
      </c>
    </row>
    <row r="1837" spans="1:15" x14ac:dyDescent="0.25">
      <c r="A1837" s="154">
        <v>1837</v>
      </c>
      <c r="B1837" s="181" t="s">
        <v>2702</v>
      </c>
      <c r="C1837" s="197">
        <v>19518478</v>
      </c>
      <c r="D1837" s="164" t="s">
        <v>2660</v>
      </c>
      <c r="E1837" s="198">
        <v>4282983</v>
      </c>
      <c r="F1837" s="198">
        <v>1070745</v>
      </c>
      <c r="G1837" s="198">
        <v>3212238</v>
      </c>
      <c r="H1837" s="198">
        <v>0</v>
      </c>
      <c r="I1837" s="163"/>
      <c r="J1837" s="166">
        <v>0</v>
      </c>
      <c r="K1837" s="167" t="s">
        <v>1464</v>
      </c>
      <c r="L1837" s="167">
        <v>744</v>
      </c>
      <c r="M1837" s="168">
        <v>46096</v>
      </c>
      <c r="N1837" s="192" t="s">
        <v>2665</v>
      </c>
      <c r="O1837" s="181" t="s">
        <v>1016</v>
      </c>
    </row>
    <row r="1838" spans="1:15" x14ac:dyDescent="0.25">
      <c r="A1838" s="154">
        <v>1838</v>
      </c>
      <c r="B1838" s="181" t="s">
        <v>2702</v>
      </c>
      <c r="C1838" s="197">
        <v>19518478</v>
      </c>
      <c r="D1838" s="164" t="s">
        <v>2660</v>
      </c>
      <c r="E1838" s="198">
        <v>2046550</v>
      </c>
      <c r="F1838" s="198">
        <v>982200</v>
      </c>
      <c r="G1838" s="198">
        <v>1064350</v>
      </c>
      <c r="H1838" s="198">
        <v>0</v>
      </c>
      <c r="I1838" s="163"/>
      <c r="J1838" s="166">
        <v>0</v>
      </c>
      <c r="K1838" s="167" t="s">
        <v>1464</v>
      </c>
      <c r="L1838" s="167">
        <v>744</v>
      </c>
      <c r="M1838" s="168">
        <v>46096</v>
      </c>
      <c r="N1838" s="199" t="s">
        <v>2664</v>
      </c>
      <c r="O1838" s="181" t="s">
        <v>215</v>
      </c>
    </row>
    <row r="1839" spans="1:15" x14ac:dyDescent="0.25">
      <c r="A1839" s="154">
        <v>1839</v>
      </c>
      <c r="B1839" s="181" t="s">
        <v>2703</v>
      </c>
      <c r="C1839" s="197">
        <v>3178200</v>
      </c>
      <c r="D1839" s="164" t="s">
        <v>2660</v>
      </c>
      <c r="E1839" s="198">
        <v>7200</v>
      </c>
      <c r="F1839" s="198">
        <v>3702</v>
      </c>
      <c r="G1839" s="198">
        <v>3498</v>
      </c>
      <c r="H1839" s="198">
        <v>0</v>
      </c>
      <c r="I1839" s="163"/>
      <c r="J1839" s="166">
        <v>0</v>
      </c>
      <c r="K1839" s="167" t="s">
        <v>1464</v>
      </c>
      <c r="L1839" s="167">
        <v>744</v>
      </c>
      <c r="M1839" s="168">
        <v>46096</v>
      </c>
      <c r="N1839" s="192" t="s">
        <v>2663</v>
      </c>
      <c r="O1839" s="181" t="s">
        <v>185</v>
      </c>
    </row>
    <row r="1840" spans="1:15" x14ac:dyDescent="0.25">
      <c r="A1840" s="154">
        <v>1840</v>
      </c>
      <c r="B1840" s="181" t="s">
        <v>2703</v>
      </c>
      <c r="C1840" s="197">
        <v>3178200</v>
      </c>
      <c r="D1840" s="164" t="s">
        <v>2660</v>
      </c>
      <c r="E1840" s="198">
        <v>8630</v>
      </c>
      <c r="F1840" s="198">
        <v>4417.5</v>
      </c>
      <c r="G1840" s="198">
        <v>4212.5</v>
      </c>
      <c r="H1840" s="198">
        <v>0</v>
      </c>
      <c r="I1840" s="163"/>
      <c r="J1840" s="166">
        <v>0</v>
      </c>
      <c r="K1840" s="167" t="s">
        <v>1464</v>
      </c>
      <c r="L1840" s="167">
        <v>744</v>
      </c>
      <c r="M1840" s="168">
        <v>46096</v>
      </c>
      <c r="N1840" s="192" t="s">
        <v>2661</v>
      </c>
      <c r="O1840" s="181" t="s">
        <v>212</v>
      </c>
    </row>
    <row r="1841" spans="1:15" x14ac:dyDescent="0.25">
      <c r="A1841" s="154">
        <v>1841</v>
      </c>
      <c r="B1841" s="181" t="s">
        <v>2703</v>
      </c>
      <c r="C1841" s="197">
        <v>3178200</v>
      </c>
      <c r="D1841" s="164" t="s">
        <v>2660</v>
      </c>
      <c r="E1841" s="198">
        <v>2644</v>
      </c>
      <c r="F1841" s="198">
        <v>2644</v>
      </c>
      <c r="G1841" s="198">
        <v>0</v>
      </c>
      <c r="H1841" s="198">
        <v>0</v>
      </c>
      <c r="I1841" s="163"/>
      <c r="J1841" s="166">
        <v>0</v>
      </c>
      <c r="K1841" s="167" t="s">
        <v>1464</v>
      </c>
      <c r="L1841" s="167">
        <v>744</v>
      </c>
      <c r="M1841" s="168">
        <v>46096</v>
      </c>
      <c r="N1841" s="192" t="s">
        <v>2672</v>
      </c>
      <c r="O1841" s="181" t="s">
        <v>1016</v>
      </c>
    </row>
    <row r="1842" spans="1:15" x14ac:dyDescent="0.25">
      <c r="A1842" s="154">
        <v>1842</v>
      </c>
      <c r="B1842" s="181" t="s">
        <v>2703</v>
      </c>
      <c r="C1842" s="197">
        <v>3178200</v>
      </c>
      <c r="D1842" s="164" t="s">
        <v>2660</v>
      </c>
      <c r="E1842" s="198">
        <v>597840</v>
      </c>
      <c r="F1842" s="198">
        <v>299022.5</v>
      </c>
      <c r="G1842" s="198">
        <v>298817.5</v>
      </c>
      <c r="H1842" s="198">
        <v>0</v>
      </c>
      <c r="I1842" s="163"/>
      <c r="J1842" s="166">
        <v>0</v>
      </c>
      <c r="K1842" s="167" t="s">
        <v>1464</v>
      </c>
      <c r="L1842" s="167">
        <v>744</v>
      </c>
      <c r="M1842" s="168">
        <v>46096</v>
      </c>
      <c r="N1842" s="199" t="s">
        <v>2664</v>
      </c>
      <c r="O1842" s="181" t="s">
        <v>215</v>
      </c>
    </row>
    <row r="1843" spans="1:15" x14ac:dyDescent="0.25">
      <c r="A1843" s="154">
        <v>1843</v>
      </c>
      <c r="B1843" s="181" t="s">
        <v>2704</v>
      </c>
      <c r="C1843" s="197">
        <v>1412400</v>
      </c>
      <c r="D1843" s="164" t="s">
        <v>2660</v>
      </c>
      <c r="E1843" s="198">
        <v>126074</v>
      </c>
      <c r="F1843" s="198">
        <v>63139.5</v>
      </c>
      <c r="G1843" s="198">
        <v>62934.5</v>
      </c>
      <c r="H1843" s="198">
        <v>0</v>
      </c>
      <c r="I1843" s="163"/>
      <c r="J1843" s="166">
        <v>0</v>
      </c>
      <c r="K1843" s="167" t="s">
        <v>1464</v>
      </c>
      <c r="L1843" s="167">
        <v>744</v>
      </c>
      <c r="M1843" s="168">
        <v>46096</v>
      </c>
      <c r="N1843" s="192" t="s">
        <v>2661</v>
      </c>
      <c r="O1843" s="181" t="s">
        <v>212</v>
      </c>
    </row>
    <row r="1844" spans="1:15" x14ac:dyDescent="0.25">
      <c r="A1844" s="154">
        <v>1844</v>
      </c>
      <c r="B1844" s="181" t="s">
        <v>2704</v>
      </c>
      <c r="C1844" s="197">
        <v>1412400</v>
      </c>
      <c r="D1844" s="164" t="s">
        <v>2660</v>
      </c>
      <c r="E1844" s="198">
        <v>40098</v>
      </c>
      <c r="F1844" s="198">
        <v>20151.5</v>
      </c>
      <c r="G1844" s="198">
        <v>19946.5</v>
      </c>
      <c r="H1844" s="198">
        <v>0</v>
      </c>
      <c r="I1844" s="163"/>
      <c r="J1844" s="166">
        <v>0</v>
      </c>
      <c r="K1844" s="167" t="s">
        <v>1464</v>
      </c>
      <c r="L1844" s="167">
        <v>744</v>
      </c>
      <c r="M1844" s="168">
        <v>46096</v>
      </c>
      <c r="N1844" s="192" t="s">
        <v>2665</v>
      </c>
      <c r="O1844" s="181" t="s">
        <v>1016</v>
      </c>
    </row>
    <row r="1845" spans="1:15" x14ac:dyDescent="0.25">
      <c r="A1845" s="154">
        <v>1845</v>
      </c>
      <c r="B1845" s="181" t="s">
        <v>2704</v>
      </c>
      <c r="C1845" s="197">
        <v>1412400</v>
      </c>
      <c r="D1845" s="164" t="s">
        <v>2660</v>
      </c>
      <c r="E1845" s="198">
        <v>186050</v>
      </c>
      <c r="F1845" s="198">
        <v>93127.5</v>
      </c>
      <c r="G1845" s="198">
        <v>92922.5</v>
      </c>
      <c r="H1845" s="198">
        <v>0</v>
      </c>
      <c r="I1845" s="163"/>
      <c r="J1845" s="166">
        <v>0</v>
      </c>
      <c r="K1845" s="167" t="s">
        <v>1464</v>
      </c>
      <c r="L1845" s="167">
        <v>744</v>
      </c>
      <c r="M1845" s="168">
        <v>46096</v>
      </c>
      <c r="N1845" s="199" t="s">
        <v>2664</v>
      </c>
      <c r="O1845" s="181" t="s">
        <v>215</v>
      </c>
    </row>
    <row r="1846" spans="1:15" x14ac:dyDescent="0.25">
      <c r="A1846" s="154">
        <v>1846</v>
      </c>
      <c r="B1846" s="181" t="s">
        <v>2705</v>
      </c>
      <c r="C1846" s="197">
        <v>2708700</v>
      </c>
      <c r="D1846" s="164" t="s">
        <v>2660</v>
      </c>
      <c r="E1846" s="198">
        <v>8555</v>
      </c>
      <c r="F1846" s="198">
        <v>4380</v>
      </c>
      <c r="G1846" s="198">
        <v>4175</v>
      </c>
      <c r="H1846" s="198">
        <v>0</v>
      </c>
      <c r="I1846" s="163"/>
      <c r="J1846" s="166">
        <v>0</v>
      </c>
      <c r="K1846" s="167" t="s">
        <v>1464</v>
      </c>
      <c r="L1846" s="167">
        <v>744</v>
      </c>
      <c r="M1846" s="168">
        <v>46096</v>
      </c>
      <c r="N1846" s="192" t="s">
        <v>2663</v>
      </c>
      <c r="O1846" s="181" t="s">
        <v>185</v>
      </c>
    </row>
    <row r="1847" spans="1:15" x14ac:dyDescent="0.25">
      <c r="A1847" s="154">
        <v>1847</v>
      </c>
      <c r="B1847" s="181" t="s">
        <v>2705</v>
      </c>
      <c r="C1847" s="197">
        <v>2708700</v>
      </c>
      <c r="D1847" s="164" t="s">
        <v>2660</v>
      </c>
      <c r="E1847" s="198">
        <v>159635</v>
      </c>
      <c r="F1847" s="198">
        <v>79920</v>
      </c>
      <c r="G1847" s="198">
        <v>79715</v>
      </c>
      <c r="H1847" s="198">
        <v>0</v>
      </c>
      <c r="I1847" s="163"/>
      <c r="J1847" s="166">
        <v>0</v>
      </c>
      <c r="K1847" s="167" t="s">
        <v>1464</v>
      </c>
      <c r="L1847" s="167">
        <v>744</v>
      </c>
      <c r="M1847" s="168">
        <v>46096</v>
      </c>
      <c r="N1847" s="192" t="s">
        <v>2661</v>
      </c>
      <c r="O1847" s="181" t="s">
        <v>212</v>
      </c>
    </row>
    <row r="1848" spans="1:15" x14ac:dyDescent="0.25">
      <c r="A1848" s="154">
        <v>1848</v>
      </c>
      <c r="B1848" s="181" t="s">
        <v>2705</v>
      </c>
      <c r="C1848" s="197">
        <v>2708700</v>
      </c>
      <c r="D1848" s="164" t="s">
        <v>2660</v>
      </c>
      <c r="E1848" s="198">
        <v>7164</v>
      </c>
      <c r="F1848" s="198">
        <v>3684</v>
      </c>
      <c r="G1848" s="198">
        <v>3480</v>
      </c>
      <c r="H1848" s="198">
        <v>0</v>
      </c>
      <c r="I1848" s="163"/>
      <c r="J1848" s="166">
        <v>0</v>
      </c>
      <c r="K1848" s="167" t="s">
        <v>1464</v>
      </c>
      <c r="L1848" s="167">
        <v>744</v>
      </c>
      <c r="M1848" s="168">
        <v>46096</v>
      </c>
      <c r="N1848" s="192" t="s">
        <v>2665</v>
      </c>
      <c r="O1848" s="181" t="s">
        <v>1016</v>
      </c>
    </row>
    <row r="1849" spans="1:15" x14ac:dyDescent="0.25">
      <c r="A1849" s="154">
        <v>1849</v>
      </c>
      <c r="B1849" s="181" t="s">
        <v>2705</v>
      </c>
      <c r="C1849" s="197">
        <v>2708700</v>
      </c>
      <c r="D1849" s="164" t="s">
        <v>2660</v>
      </c>
      <c r="E1849" s="198">
        <v>397780</v>
      </c>
      <c r="F1849" s="198">
        <v>198992.5</v>
      </c>
      <c r="G1849" s="198">
        <v>198787.5</v>
      </c>
      <c r="H1849" s="198">
        <v>0</v>
      </c>
      <c r="I1849" s="163"/>
      <c r="J1849" s="166">
        <v>0</v>
      </c>
      <c r="K1849" s="167" t="s">
        <v>1464</v>
      </c>
      <c r="L1849" s="167">
        <v>744</v>
      </c>
      <c r="M1849" s="168">
        <v>46096</v>
      </c>
      <c r="N1849" s="199" t="s">
        <v>2664</v>
      </c>
      <c r="O1849" s="181" t="s">
        <v>215</v>
      </c>
    </row>
    <row r="1850" spans="1:15" x14ac:dyDescent="0.25">
      <c r="A1850" s="154">
        <v>1850</v>
      </c>
      <c r="B1850" s="181" t="s">
        <v>2706</v>
      </c>
      <c r="C1850" s="197">
        <v>9768958</v>
      </c>
      <c r="D1850" s="164" t="s">
        <v>2660</v>
      </c>
      <c r="E1850" s="198">
        <v>7200</v>
      </c>
      <c r="F1850" s="198">
        <v>3702.5</v>
      </c>
      <c r="G1850" s="198">
        <v>3497.5</v>
      </c>
      <c r="H1850" s="198">
        <v>0</v>
      </c>
      <c r="I1850" s="163"/>
      <c r="J1850" s="166">
        <v>0</v>
      </c>
      <c r="K1850" s="167" t="s">
        <v>1464</v>
      </c>
      <c r="L1850" s="167">
        <v>744</v>
      </c>
      <c r="M1850" s="168">
        <v>46096</v>
      </c>
      <c r="N1850" s="192" t="s">
        <v>2663</v>
      </c>
      <c r="O1850" s="181" t="s">
        <v>185</v>
      </c>
    </row>
    <row r="1851" spans="1:15" x14ac:dyDescent="0.25">
      <c r="A1851" s="154">
        <v>1851</v>
      </c>
      <c r="B1851" s="181" t="s">
        <v>2706</v>
      </c>
      <c r="C1851" s="197">
        <v>9768958</v>
      </c>
      <c r="D1851" s="164" t="s">
        <v>2660</v>
      </c>
      <c r="E1851" s="198">
        <v>8630</v>
      </c>
      <c r="F1851" s="198">
        <v>4417.5</v>
      </c>
      <c r="G1851" s="198">
        <v>4212.5</v>
      </c>
      <c r="H1851" s="198">
        <v>0</v>
      </c>
      <c r="I1851" s="163"/>
      <c r="J1851" s="166">
        <v>0</v>
      </c>
      <c r="K1851" s="167" t="s">
        <v>1464</v>
      </c>
      <c r="L1851" s="167">
        <v>744</v>
      </c>
      <c r="M1851" s="168">
        <v>46096</v>
      </c>
      <c r="N1851" s="192" t="s">
        <v>2661</v>
      </c>
      <c r="O1851" s="181" t="s">
        <v>212</v>
      </c>
    </row>
    <row r="1852" spans="1:15" x14ac:dyDescent="0.25">
      <c r="A1852" s="154">
        <v>1852</v>
      </c>
      <c r="B1852" s="181" t="s">
        <v>2706</v>
      </c>
      <c r="C1852" s="197">
        <v>9768958</v>
      </c>
      <c r="D1852" s="164" t="s">
        <v>2660</v>
      </c>
      <c r="E1852" s="198">
        <v>2064388</v>
      </c>
      <c r="F1852" s="198">
        <v>990129</v>
      </c>
      <c r="G1852" s="198">
        <v>1074259</v>
      </c>
      <c r="H1852" s="198">
        <v>0</v>
      </c>
      <c r="I1852" s="163"/>
      <c r="J1852" s="166">
        <v>0</v>
      </c>
      <c r="K1852" s="167" t="s">
        <v>1464</v>
      </c>
      <c r="L1852" s="167">
        <v>744</v>
      </c>
      <c r="M1852" s="168">
        <v>46096</v>
      </c>
      <c r="N1852" s="192" t="s">
        <v>2666</v>
      </c>
      <c r="O1852" s="181" t="s">
        <v>227</v>
      </c>
    </row>
    <row r="1853" spans="1:15" x14ac:dyDescent="0.25">
      <c r="A1853" s="154">
        <v>1853</v>
      </c>
      <c r="B1853" s="181" t="s">
        <v>2706</v>
      </c>
      <c r="C1853" s="197">
        <v>9768958</v>
      </c>
      <c r="D1853" s="164" t="s">
        <v>2660</v>
      </c>
      <c r="E1853" s="198">
        <v>13989</v>
      </c>
      <c r="F1853" s="198">
        <v>7097</v>
      </c>
      <c r="G1853" s="198">
        <v>6892</v>
      </c>
      <c r="H1853" s="198">
        <v>0</v>
      </c>
      <c r="I1853" s="163"/>
      <c r="J1853" s="166">
        <v>0</v>
      </c>
      <c r="K1853" s="167" t="s">
        <v>1464</v>
      </c>
      <c r="L1853" s="167">
        <v>744</v>
      </c>
      <c r="M1853" s="168">
        <v>46096</v>
      </c>
      <c r="N1853" s="192" t="s">
        <v>2665</v>
      </c>
      <c r="O1853" s="181" t="s">
        <v>1016</v>
      </c>
    </row>
    <row r="1854" spans="1:15" x14ac:dyDescent="0.25">
      <c r="A1854" s="154">
        <v>1854</v>
      </c>
      <c r="B1854" s="181" t="s">
        <v>2706</v>
      </c>
      <c r="C1854" s="197">
        <v>9768958</v>
      </c>
      <c r="D1854" s="164" t="s">
        <v>2660</v>
      </c>
      <c r="E1854" s="198">
        <v>2683130</v>
      </c>
      <c r="F1854" s="198">
        <v>670800</v>
      </c>
      <c r="G1854" s="198">
        <v>2012330</v>
      </c>
      <c r="H1854" s="198">
        <v>0</v>
      </c>
      <c r="I1854" s="163"/>
      <c r="J1854" s="166">
        <v>0</v>
      </c>
      <c r="K1854" s="167" t="s">
        <v>1464</v>
      </c>
      <c r="L1854" s="167">
        <v>744</v>
      </c>
      <c r="M1854" s="168">
        <v>46096</v>
      </c>
      <c r="N1854" s="199" t="s">
        <v>2664</v>
      </c>
      <c r="O1854" s="181" t="s">
        <v>215</v>
      </c>
    </row>
    <row r="1855" spans="1:15" x14ac:dyDescent="0.25">
      <c r="A1855" s="154">
        <v>1855</v>
      </c>
      <c r="B1855" s="181" t="s">
        <v>2707</v>
      </c>
      <c r="C1855" s="197">
        <v>2795585</v>
      </c>
      <c r="D1855" s="164" t="s">
        <v>2660</v>
      </c>
      <c r="E1855" s="198">
        <v>8630</v>
      </c>
      <c r="F1855" s="198">
        <v>4417.5</v>
      </c>
      <c r="G1855" s="198">
        <v>4212.5</v>
      </c>
      <c r="H1855" s="198">
        <v>0</v>
      </c>
      <c r="I1855" s="163"/>
      <c r="J1855" s="166">
        <v>0</v>
      </c>
      <c r="K1855" s="167" t="s">
        <v>1464</v>
      </c>
      <c r="L1855" s="167">
        <v>744</v>
      </c>
      <c r="M1855" s="168">
        <v>46096</v>
      </c>
      <c r="N1855" s="192" t="s">
        <v>2661</v>
      </c>
      <c r="O1855" s="181" t="s">
        <v>212</v>
      </c>
    </row>
    <row r="1856" spans="1:15" x14ac:dyDescent="0.25">
      <c r="A1856" s="154">
        <v>1856</v>
      </c>
      <c r="B1856" s="181" t="s">
        <v>2707</v>
      </c>
      <c r="C1856" s="197">
        <v>2795585</v>
      </c>
      <c r="D1856" s="164" t="s">
        <v>2660</v>
      </c>
      <c r="E1856" s="198">
        <v>44718</v>
      </c>
      <c r="F1856" s="198">
        <v>22461.5</v>
      </c>
      <c r="G1856" s="198">
        <v>22256.5</v>
      </c>
      <c r="H1856" s="198">
        <v>0</v>
      </c>
      <c r="I1856" s="163"/>
      <c r="J1856" s="166">
        <v>0</v>
      </c>
      <c r="K1856" s="167" t="s">
        <v>1464</v>
      </c>
      <c r="L1856" s="167">
        <v>744</v>
      </c>
      <c r="M1856" s="168">
        <v>46096</v>
      </c>
      <c r="N1856" s="192" t="s">
        <v>2665</v>
      </c>
      <c r="O1856" s="181" t="s">
        <v>1016</v>
      </c>
    </row>
    <row r="1857" spans="1:15" x14ac:dyDescent="0.25">
      <c r="A1857" s="154">
        <v>1857</v>
      </c>
      <c r="B1857" s="181" t="s">
        <v>2707</v>
      </c>
      <c r="C1857" s="197">
        <v>2795585</v>
      </c>
      <c r="D1857" s="164" t="s">
        <v>2660</v>
      </c>
      <c r="E1857" s="198">
        <v>351631</v>
      </c>
      <c r="F1857" s="198">
        <v>175918</v>
      </c>
      <c r="G1857" s="198">
        <v>175713</v>
      </c>
      <c r="H1857" s="198">
        <v>0</v>
      </c>
      <c r="I1857" s="163"/>
      <c r="J1857" s="166">
        <v>0</v>
      </c>
      <c r="K1857" s="167" t="s">
        <v>1464</v>
      </c>
      <c r="L1857" s="167">
        <v>744</v>
      </c>
      <c r="M1857" s="168">
        <v>46096</v>
      </c>
      <c r="N1857" s="199" t="s">
        <v>2664</v>
      </c>
      <c r="O1857" s="181" t="s">
        <v>215</v>
      </c>
    </row>
    <row r="1858" spans="1:15" x14ac:dyDescent="0.25">
      <c r="A1858" s="154">
        <v>1858</v>
      </c>
      <c r="B1858" s="181" t="s">
        <v>2708</v>
      </c>
      <c r="C1858" s="197">
        <v>375700</v>
      </c>
      <c r="D1858" s="164" t="s">
        <v>2660</v>
      </c>
      <c r="E1858" s="198">
        <v>44724</v>
      </c>
      <c r="F1858" s="198">
        <v>22464.5</v>
      </c>
      <c r="G1858" s="198">
        <v>22259.5</v>
      </c>
      <c r="H1858" s="198">
        <v>0</v>
      </c>
      <c r="I1858" s="163"/>
      <c r="J1858" s="166">
        <v>0</v>
      </c>
      <c r="K1858" s="167" t="s">
        <v>1464</v>
      </c>
      <c r="L1858" s="167">
        <v>744</v>
      </c>
      <c r="M1858" s="168">
        <v>46096</v>
      </c>
      <c r="N1858" s="199" t="s">
        <v>2664</v>
      </c>
      <c r="O1858" s="181" t="s">
        <v>215</v>
      </c>
    </row>
    <row r="1859" spans="1:15" x14ac:dyDescent="0.25">
      <c r="A1859" s="154">
        <v>1859</v>
      </c>
      <c r="B1859" s="181" t="s">
        <v>2709</v>
      </c>
      <c r="C1859" s="197">
        <v>838460</v>
      </c>
      <c r="D1859" s="164" t="s">
        <v>2660</v>
      </c>
      <c r="E1859" s="198">
        <v>55085</v>
      </c>
      <c r="F1859" s="198">
        <v>27645</v>
      </c>
      <c r="G1859" s="198">
        <v>27440</v>
      </c>
      <c r="H1859" s="198">
        <v>0</v>
      </c>
      <c r="I1859" s="163"/>
      <c r="J1859" s="166">
        <v>0</v>
      </c>
      <c r="K1859" s="167" t="s">
        <v>1464</v>
      </c>
      <c r="L1859" s="167">
        <v>744</v>
      </c>
      <c r="M1859" s="168">
        <v>46096</v>
      </c>
      <c r="N1859" s="192" t="s">
        <v>2661</v>
      </c>
      <c r="O1859" s="181" t="s">
        <v>212</v>
      </c>
    </row>
    <row r="1860" spans="1:15" x14ac:dyDescent="0.25">
      <c r="A1860" s="154">
        <v>1860</v>
      </c>
      <c r="B1860" s="181" t="s">
        <v>2709</v>
      </c>
      <c r="C1860" s="197">
        <v>838460</v>
      </c>
      <c r="D1860" s="164" t="s">
        <v>2660</v>
      </c>
      <c r="E1860" s="198">
        <v>7455</v>
      </c>
      <c r="F1860" s="198">
        <v>3830</v>
      </c>
      <c r="G1860" s="198">
        <v>3625</v>
      </c>
      <c r="H1860" s="198">
        <v>0</v>
      </c>
      <c r="I1860" s="163"/>
      <c r="J1860" s="166">
        <v>0</v>
      </c>
      <c r="K1860" s="167" t="s">
        <v>1464</v>
      </c>
      <c r="L1860" s="167">
        <v>744</v>
      </c>
      <c r="M1860" s="168">
        <v>46096</v>
      </c>
      <c r="N1860" s="192" t="s">
        <v>2665</v>
      </c>
      <c r="O1860" s="181" t="s">
        <v>1016</v>
      </c>
    </row>
    <row r="1861" spans="1:15" x14ac:dyDescent="0.25">
      <c r="A1861" s="154">
        <v>1861</v>
      </c>
      <c r="B1861" s="181" t="s">
        <v>2709</v>
      </c>
      <c r="C1861" s="197">
        <v>838460</v>
      </c>
      <c r="D1861" s="164" t="s">
        <v>2660</v>
      </c>
      <c r="E1861" s="198">
        <v>120725</v>
      </c>
      <c r="F1861" s="198">
        <v>60465</v>
      </c>
      <c r="G1861" s="198">
        <v>60260</v>
      </c>
      <c r="H1861" s="198">
        <v>0</v>
      </c>
      <c r="I1861" s="163"/>
      <c r="J1861" s="166">
        <v>0</v>
      </c>
      <c r="K1861" s="167" t="s">
        <v>1464</v>
      </c>
      <c r="L1861" s="167">
        <v>744</v>
      </c>
      <c r="M1861" s="168">
        <v>46096</v>
      </c>
      <c r="N1861" s="199" t="s">
        <v>2664</v>
      </c>
      <c r="O1861" s="181" t="s">
        <v>215</v>
      </c>
    </row>
    <row r="1862" spans="1:15" x14ac:dyDescent="0.25">
      <c r="A1862" s="154">
        <v>1862</v>
      </c>
      <c r="B1862" s="181" t="s">
        <v>2710</v>
      </c>
      <c r="C1862" s="197">
        <v>1045000</v>
      </c>
      <c r="D1862" s="164" t="s">
        <v>2660</v>
      </c>
      <c r="E1862" s="198">
        <v>24475</v>
      </c>
      <c r="F1862" s="198">
        <v>12340</v>
      </c>
      <c r="G1862" s="198">
        <v>12135</v>
      </c>
      <c r="H1862" s="198">
        <v>0</v>
      </c>
      <c r="I1862" s="163"/>
      <c r="J1862" s="166">
        <v>0</v>
      </c>
      <c r="K1862" s="167" t="s">
        <v>1464</v>
      </c>
      <c r="L1862" s="167">
        <v>744</v>
      </c>
      <c r="M1862" s="168">
        <v>46096</v>
      </c>
      <c r="N1862" s="192" t="s">
        <v>2661</v>
      </c>
      <c r="O1862" s="181" t="s">
        <v>212</v>
      </c>
    </row>
    <row r="1863" spans="1:15" x14ac:dyDescent="0.25">
      <c r="A1863" s="154">
        <v>1863</v>
      </c>
      <c r="B1863" s="181" t="s">
        <v>2710</v>
      </c>
      <c r="C1863" s="197">
        <v>1045000</v>
      </c>
      <c r="D1863" s="164" t="s">
        <v>2660</v>
      </c>
      <c r="E1863" s="198">
        <v>4776</v>
      </c>
      <c r="F1863" s="198">
        <v>2490.5</v>
      </c>
      <c r="G1863" s="198">
        <v>2285.5</v>
      </c>
      <c r="H1863" s="198">
        <v>0</v>
      </c>
      <c r="I1863" s="163"/>
      <c r="J1863" s="166">
        <v>0</v>
      </c>
      <c r="K1863" s="167" t="s">
        <v>1464</v>
      </c>
      <c r="L1863" s="167">
        <v>744</v>
      </c>
      <c r="M1863" s="168">
        <v>46096</v>
      </c>
      <c r="N1863" s="192" t="s">
        <v>2665</v>
      </c>
      <c r="O1863" s="181" t="s">
        <v>1016</v>
      </c>
    </row>
    <row r="1864" spans="1:15" x14ac:dyDescent="0.25">
      <c r="A1864" s="154">
        <v>1864</v>
      </c>
      <c r="B1864" s="181" t="s">
        <v>2710</v>
      </c>
      <c r="C1864" s="197">
        <v>1045000</v>
      </c>
      <c r="D1864" s="164" t="s">
        <v>2660</v>
      </c>
      <c r="E1864" s="198">
        <v>145530</v>
      </c>
      <c r="F1864" s="198">
        <v>72867.5</v>
      </c>
      <c r="G1864" s="198">
        <v>72662.5</v>
      </c>
      <c r="H1864" s="198">
        <v>0</v>
      </c>
      <c r="I1864" s="163"/>
      <c r="J1864" s="166">
        <v>0</v>
      </c>
      <c r="K1864" s="167" t="s">
        <v>1464</v>
      </c>
      <c r="L1864" s="167">
        <v>744</v>
      </c>
      <c r="M1864" s="168">
        <v>46096</v>
      </c>
      <c r="N1864" s="199" t="s">
        <v>2664</v>
      </c>
      <c r="O1864" s="181" t="s">
        <v>215</v>
      </c>
    </row>
    <row r="1865" spans="1:15" x14ac:dyDescent="0.25">
      <c r="A1865" s="154">
        <v>1865</v>
      </c>
      <c r="B1865" s="181" t="s">
        <v>2711</v>
      </c>
      <c r="C1865" s="197">
        <v>443200</v>
      </c>
      <c r="D1865" s="164" t="s">
        <v>2660</v>
      </c>
      <c r="E1865" s="198">
        <v>100905</v>
      </c>
      <c r="F1865" s="198">
        <v>50555</v>
      </c>
      <c r="G1865" s="198">
        <v>50350</v>
      </c>
      <c r="H1865" s="198">
        <v>0</v>
      </c>
      <c r="I1865" s="163"/>
      <c r="J1865" s="166">
        <v>0</v>
      </c>
      <c r="K1865" s="167" t="s">
        <v>1464</v>
      </c>
      <c r="L1865" s="167">
        <v>744</v>
      </c>
      <c r="M1865" s="168">
        <v>46096</v>
      </c>
      <c r="N1865" s="192" t="s">
        <v>2661</v>
      </c>
      <c r="O1865" s="181" t="s">
        <v>212</v>
      </c>
    </row>
    <row r="1866" spans="1:15" x14ac:dyDescent="0.25">
      <c r="A1866" s="154">
        <v>1866</v>
      </c>
      <c r="B1866" s="181" t="s">
        <v>2711</v>
      </c>
      <c r="C1866" s="197">
        <v>443200</v>
      </c>
      <c r="D1866" s="164" t="s">
        <v>2660</v>
      </c>
      <c r="E1866" s="198">
        <v>9465</v>
      </c>
      <c r="F1866" s="198">
        <v>4835</v>
      </c>
      <c r="G1866" s="198">
        <v>4630</v>
      </c>
      <c r="H1866" s="198">
        <v>0</v>
      </c>
      <c r="I1866" s="163"/>
      <c r="J1866" s="166">
        <v>0</v>
      </c>
      <c r="K1866" s="167" t="s">
        <v>1464</v>
      </c>
      <c r="L1866" s="167">
        <v>744</v>
      </c>
      <c r="M1866" s="168">
        <v>46096</v>
      </c>
      <c r="N1866" s="199" t="s">
        <v>2664</v>
      </c>
      <c r="O1866" s="181" t="s">
        <v>215</v>
      </c>
    </row>
    <row r="1867" spans="1:15" x14ac:dyDescent="0.25">
      <c r="A1867" s="154">
        <v>1867</v>
      </c>
      <c r="B1867" s="181" t="s">
        <v>2712</v>
      </c>
      <c r="C1867" s="197">
        <v>785900</v>
      </c>
      <c r="D1867" s="164" t="s">
        <v>2660</v>
      </c>
      <c r="E1867" s="198">
        <v>9703</v>
      </c>
      <c r="F1867" s="198">
        <v>4954</v>
      </c>
      <c r="G1867" s="198">
        <v>4749</v>
      </c>
      <c r="H1867" s="198">
        <v>0</v>
      </c>
      <c r="I1867" s="163"/>
      <c r="J1867" s="166">
        <v>0</v>
      </c>
      <c r="K1867" s="167" t="s">
        <v>1464</v>
      </c>
      <c r="L1867" s="167">
        <v>744</v>
      </c>
      <c r="M1867" s="168">
        <v>46096</v>
      </c>
      <c r="N1867" s="192" t="s">
        <v>2665</v>
      </c>
      <c r="O1867" s="181" t="s">
        <v>1016</v>
      </c>
    </row>
    <row r="1868" spans="1:15" x14ac:dyDescent="0.25">
      <c r="A1868" s="154">
        <v>1868</v>
      </c>
      <c r="B1868" s="181" t="s">
        <v>2712</v>
      </c>
      <c r="C1868" s="197">
        <v>785900</v>
      </c>
      <c r="D1868" s="164" t="s">
        <v>2660</v>
      </c>
      <c r="E1868" s="198">
        <v>155240</v>
      </c>
      <c r="F1868" s="198">
        <v>77722.5</v>
      </c>
      <c r="G1868" s="198">
        <v>77517.5</v>
      </c>
      <c r="H1868" s="198">
        <v>0</v>
      </c>
      <c r="I1868" s="163"/>
      <c r="J1868" s="166">
        <v>0</v>
      </c>
      <c r="K1868" s="167" t="s">
        <v>1464</v>
      </c>
      <c r="L1868" s="167">
        <v>744</v>
      </c>
      <c r="M1868" s="168">
        <v>46096</v>
      </c>
      <c r="N1868" s="199" t="s">
        <v>2664</v>
      </c>
      <c r="O1868" s="181" t="s">
        <v>215</v>
      </c>
    </row>
    <row r="1869" spans="1:15" x14ac:dyDescent="0.25">
      <c r="A1869" s="154">
        <v>1869</v>
      </c>
      <c r="B1869" s="181" t="s">
        <v>2713</v>
      </c>
      <c r="C1869" s="197">
        <v>791845</v>
      </c>
      <c r="D1869" s="164" t="s">
        <v>2660</v>
      </c>
      <c r="E1869" s="198">
        <v>26548</v>
      </c>
      <c r="F1869" s="198">
        <v>13376.5</v>
      </c>
      <c r="G1869" s="198">
        <v>13171.5</v>
      </c>
      <c r="H1869" s="198">
        <v>0</v>
      </c>
      <c r="I1869" s="163"/>
      <c r="J1869" s="166">
        <v>0</v>
      </c>
      <c r="K1869" s="167" t="s">
        <v>1464</v>
      </c>
      <c r="L1869" s="167">
        <v>744</v>
      </c>
      <c r="M1869" s="168">
        <v>46096</v>
      </c>
      <c r="N1869" s="192" t="s">
        <v>2665</v>
      </c>
      <c r="O1869" s="181" t="s">
        <v>1016</v>
      </c>
    </row>
    <row r="1870" spans="1:15" x14ac:dyDescent="0.25">
      <c r="A1870" s="154">
        <v>1870</v>
      </c>
      <c r="B1870" s="181" t="s">
        <v>2713</v>
      </c>
      <c r="C1870" s="197">
        <v>791845</v>
      </c>
      <c r="D1870" s="164" t="s">
        <v>2660</v>
      </c>
      <c r="E1870" s="198">
        <v>18993</v>
      </c>
      <c r="F1870" s="198">
        <v>9599</v>
      </c>
      <c r="G1870" s="198">
        <v>9394</v>
      </c>
      <c r="H1870" s="198">
        <v>0</v>
      </c>
      <c r="I1870" s="163"/>
      <c r="J1870" s="166">
        <v>0</v>
      </c>
      <c r="K1870" s="167" t="s">
        <v>1464</v>
      </c>
      <c r="L1870" s="167">
        <v>744</v>
      </c>
      <c r="M1870" s="168">
        <v>46096</v>
      </c>
      <c r="N1870" s="199" t="s">
        <v>2664</v>
      </c>
      <c r="O1870" s="181" t="s">
        <v>215</v>
      </c>
    </row>
    <row r="1871" spans="1:15" x14ac:dyDescent="0.25">
      <c r="A1871" s="154">
        <v>1871</v>
      </c>
      <c r="B1871" s="181" t="s">
        <v>2714</v>
      </c>
      <c r="C1871" s="197">
        <v>179033113</v>
      </c>
      <c r="D1871" s="164" t="s">
        <v>2660</v>
      </c>
      <c r="E1871" s="198">
        <v>794129</v>
      </c>
      <c r="F1871" s="198">
        <v>397167</v>
      </c>
      <c r="G1871" s="198">
        <v>396962</v>
      </c>
      <c r="H1871" s="198">
        <v>0</v>
      </c>
      <c r="I1871" s="163"/>
      <c r="J1871" s="166">
        <v>0</v>
      </c>
      <c r="K1871" s="167" t="s">
        <v>1464</v>
      </c>
      <c r="L1871" s="167">
        <v>744</v>
      </c>
      <c r="M1871" s="168">
        <v>46096</v>
      </c>
      <c r="N1871" s="192" t="s">
        <v>2663</v>
      </c>
      <c r="O1871" s="181" t="s">
        <v>185</v>
      </c>
    </row>
    <row r="1872" spans="1:15" x14ac:dyDescent="0.25">
      <c r="A1872" s="154">
        <v>1872</v>
      </c>
      <c r="B1872" s="181" t="s">
        <v>2714</v>
      </c>
      <c r="C1872" s="197">
        <v>179033113</v>
      </c>
      <c r="D1872" s="164" t="s">
        <v>2660</v>
      </c>
      <c r="E1872" s="198">
        <v>1978299</v>
      </c>
      <c r="F1872" s="198">
        <v>989252</v>
      </c>
      <c r="G1872" s="198">
        <v>989047</v>
      </c>
      <c r="H1872" s="198">
        <v>0</v>
      </c>
      <c r="I1872" s="163"/>
      <c r="J1872" s="166">
        <v>0</v>
      </c>
      <c r="K1872" s="167" t="s">
        <v>1464</v>
      </c>
      <c r="L1872" s="167">
        <v>744</v>
      </c>
      <c r="M1872" s="168">
        <v>46096</v>
      </c>
      <c r="N1872" s="192" t="s">
        <v>2661</v>
      </c>
      <c r="O1872" s="181" t="s">
        <v>212</v>
      </c>
    </row>
    <row r="1873" spans="1:15" x14ac:dyDescent="0.25">
      <c r="A1873" s="154">
        <v>1873</v>
      </c>
      <c r="B1873" s="181" t="s">
        <v>2714</v>
      </c>
      <c r="C1873" s="197">
        <v>179033113</v>
      </c>
      <c r="D1873" s="164" t="s">
        <v>2660</v>
      </c>
      <c r="E1873" s="198">
        <v>19294578</v>
      </c>
      <c r="F1873" s="198">
        <v>3143842</v>
      </c>
      <c r="G1873" s="198">
        <v>16150736</v>
      </c>
      <c r="H1873" s="198">
        <v>0</v>
      </c>
      <c r="I1873" s="163"/>
      <c r="J1873" s="166">
        <v>0</v>
      </c>
      <c r="K1873" s="167" t="s">
        <v>1464</v>
      </c>
      <c r="L1873" s="167">
        <v>744</v>
      </c>
      <c r="M1873" s="168">
        <v>46096</v>
      </c>
      <c r="N1873" s="192" t="s">
        <v>2666</v>
      </c>
      <c r="O1873" s="181" t="s">
        <v>227</v>
      </c>
    </row>
    <row r="1874" spans="1:15" x14ac:dyDescent="0.25">
      <c r="A1874" s="154">
        <v>1874</v>
      </c>
      <c r="B1874" s="181" t="s">
        <v>2714</v>
      </c>
      <c r="C1874" s="197">
        <v>179033113</v>
      </c>
      <c r="D1874" s="164" t="s">
        <v>2660</v>
      </c>
      <c r="E1874" s="198">
        <v>6507413</v>
      </c>
      <c r="F1874" s="198">
        <v>260290</v>
      </c>
      <c r="G1874" s="198">
        <v>6247123</v>
      </c>
      <c r="H1874" s="198">
        <v>0</v>
      </c>
      <c r="I1874" s="163"/>
      <c r="J1874" s="166">
        <v>0</v>
      </c>
      <c r="K1874" s="167" t="s">
        <v>1464</v>
      </c>
      <c r="L1874" s="167">
        <v>744</v>
      </c>
      <c r="M1874" s="168">
        <v>46096</v>
      </c>
      <c r="N1874" s="192" t="s">
        <v>2665</v>
      </c>
      <c r="O1874" s="181" t="s">
        <v>1016</v>
      </c>
    </row>
    <row r="1875" spans="1:15" x14ac:dyDescent="0.25">
      <c r="A1875" s="154">
        <v>1875</v>
      </c>
      <c r="B1875" s="181" t="s">
        <v>2714</v>
      </c>
      <c r="C1875" s="197">
        <v>179033113</v>
      </c>
      <c r="D1875" s="164" t="s">
        <v>2660</v>
      </c>
      <c r="E1875" s="198">
        <v>2795600</v>
      </c>
      <c r="F1875" s="198">
        <v>0</v>
      </c>
      <c r="G1875" s="198">
        <v>2795600</v>
      </c>
      <c r="H1875" s="198">
        <v>0</v>
      </c>
      <c r="I1875" s="163"/>
      <c r="J1875" s="166">
        <v>0</v>
      </c>
      <c r="K1875" s="167" t="s">
        <v>1464</v>
      </c>
      <c r="L1875" s="167">
        <v>744</v>
      </c>
      <c r="M1875" s="168">
        <v>46096</v>
      </c>
      <c r="N1875" s="192" t="s">
        <v>1582</v>
      </c>
      <c r="O1875" s="181" t="s">
        <v>2715</v>
      </c>
    </row>
    <row r="1876" spans="1:15" x14ac:dyDescent="0.25">
      <c r="A1876" s="154">
        <v>1876</v>
      </c>
      <c r="B1876" s="181" t="s">
        <v>2714</v>
      </c>
      <c r="C1876" s="197">
        <v>179033113</v>
      </c>
      <c r="D1876" s="164" t="s">
        <v>2660</v>
      </c>
      <c r="E1876" s="198">
        <v>85300</v>
      </c>
      <c r="F1876" s="198">
        <v>0</v>
      </c>
      <c r="G1876" s="198">
        <v>85300</v>
      </c>
      <c r="H1876" s="198">
        <v>0</v>
      </c>
      <c r="I1876" s="163"/>
      <c r="J1876" s="166">
        <v>0</v>
      </c>
      <c r="K1876" s="167" t="s">
        <v>1464</v>
      </c>
      <c r="L1876" s="167">
        <v>744</v>
      </c>
      <c r="M1876" s="168">
        <v>46096</v>
      </c>
      <c r="N1876" s="192" t="s">
        <v>1582</v>
      </c>
      <c r="O1876" s="181" t="s">
        <v>198</v>
      </c>
    </row>
    <row r="1877" spans="1:15" x14ac:dyDescent="0.25">
      <c r="A1877" s="154">
        <v>1877</v>
      </c>
      <c r="B1877" s="181" t="s">
        <v>2714</v>
      </c>
      <c r="C1877" s="197">
        <v>179033113</v>
      </c>
      <c r="D1877" s="164" t="s">
        <v>2660</v>
      </c>
      <c r="E1877" s="198">
        <v>11377945</v>
      </c>
      <c r="F1877" s="198">
        <v>3413384</v>
      </c>
      <c r="G1877" s="198">
        <v>7964561</v>
      </c>
      <c r="H1877" s="198">
        <v>0</v>
      </c>
      <c r="I1877" s="163"/>
      <c r="J1877" s="166">
        <v>0</v>
      </c>
      <c r="K1877" s="167" t="s">
        <v>1464</v>
      </c>
      <c r="L1877" s="167">
        <v>744</v>
      </c>
      <c r="M1877" s="168">
        <v>46096</v>
      </c>
      <c r="N1877" s="199" t="s">
        <v>2664</v>
      </c>
      <c r="O1877" s="181" t="s">
        <v>215</v>
      </c>
    </row>
    <row r="1878" spans="1:15" x14ac:dyDescent="0.25">
      <c r="A1878" s="154">
        <v>1878</v>
      </c>
      <c r="B1878" s="181" t="s">
        <v>2714</v>
      </c>
      <c r="C1878" s="197">
        <v>179033113</v>
      </c>
      <c r="D1878" s="164" t="s">
        <v>2660</v>
      </c>
      <c r="E1878" s="198">
        <v>907370</v>
      </c>
      <c r="F1878" s="198">
        <v>0</v>
      </c>
      <c r="G1878" s="198">
        <v>907370</v>
      </c>
      <c r="H1878" s="198">
        <v>0</v>
      </c>
      <c r="I1878" s="163"/>
      <c r="J1878" s="166">
        <v>0</v>
      </c>
      <c r="K1878" s="167" t="s">
        <v>1464</v>
      </c>
      <c r="L1878" s="167">
        <v>744</v>
      </c>
      <c r="M1878" s="168">
        <v>46096</v>
      </c>
      <c r="N1878" s="192" t="s">
        <v>1582</v>
      </c>
      <c r="O1878" s="181" t="s">
        <v>1848</v>
      </c>
    </row>
    <row r="1879" spans="1:15" x14ac:dyDescent="0.25">
      <c r="A1879" s="154">
        <v>1879</v>
      </c>
      <c r="B1879" s="181" t="s">
        <v>2714</v>
      </c>
      <c r="C1879" s="197">
        <v>179033113</v>
      </c>
      <c r="D1879" s="164" t="s">
        <v>2660</v>
      </c>
      <c r="E1879" s="198">
        <v>2440500</v>
      </c>
      <c r="F1879" s="198">
        <v>0</v>
      </c>
      <c r="G1879" s="198">
        <v>2440500</v>
      </c>
      <c r="H1879" s="198">
        <v>0</v>
      </c>
      <c r="I1879" s="163"/>
      <c r="J1879" s="166">
        <v>0</v>
      </c>
      <c r="K1879" s="167" t="s">
        <v>1464</v>
      </c>
      <c r="L1879" s="167">
        <v>744</v>
      </c>
      <c r="M1879" s="168">
        <v>46096</v>
      </c>
      <c r="N1879" s="192" t="s">
        <v>1582</v>
      </c>
      <c r="O1879" s="181" t="s">
        <v>1810</v>
      </c>
    </row>
    <row r="1880" spans="1:15" x14ac:dyDescent="0.25">
      <c r="A1880" s="154">
        <v>1880</v>
      </c>
      <c r="B1880" s="181" t="s">
        <v>2714</v>
      </c>
      <c r="C1880" s="197">
        <v>179033113</v>
      </c>
      <c r="D1880" s="164" t="s">
        <v>2660</v>
      </c>
      <c r="E1880" s="198">
        <v>168800</v>
      </c>
      <c r="F1880" s="198">
        <v>0</v>
      </c>
      <c r="G1880" s="198">
        <v>168800</v>
      </c>
      <c r="H1880" s="198">
        <v>0</v>
      </c>
      <c r="I1880" s="163"/>
      <c r="J1880" s="166">
        <v>0</v>
      </c>
      <c r="K1880" s="167" t="s">
        <v>1464</v>
      </c>
      <c r="L1880" s="167">
        <v>744</v>
      </c>
      <c r="M1880" s="168">
        <v>46096</v>
      </c>
      <c r="N1880" s="192" t="s">
        <v>1582</v>
      </c>
      <c r="O1880" s="181" t="s">
        <v>2716</v>
      </c>
    </row>
    <row r="1881" spans="1:15" x14ac:dyDescent="0.25">
      <c r="A1881" s="154">
        <v>1881</v>
      </c>
      <c r="B1881" s="181" t="s">
        <v>2717</v>
      </c>
      <c r="C1881" s="197">
        <v>7560338</v>
      </c>
      <c r="D1881" s="164" t="s">
        <v>2660</v>
      </c>
      <c r="E1881" s="198">
        <v>3000</v>
      </c>
      <c r="F1881" s="198">
        <v>1602.5</v>
      </c>
      <c r="G1881" s="198">
        <v>1397.5</v>
      </c>
      <c r="H1881" s="198">
        <v>0</v>
      </c>
      <c r="I1881" s="163"/>
      <c r="J1881" s="166">
        <v>0</v>
      </c>
      <c r="K1881" s="167" t="s">
        <v>1464</v>
      </c>
      <c r="L1881" s="167">
        <v>744</v>
      </c>
      <c r="M1881" s="168">
        <v>46096</v>
      </c>
      <c r="N1881" s="192" t="s">
        <v>2663</v>
      </c>
      <c r="O1881" s="181" t="s">
        <v>185</v>
      </c>
    </row>
    <row r="1882" spans="1:15" x14ac:dyDescent="0.25">
      <c r="A1882" s="154">
        <v>1882</v>
      </c>
      <c r="B1882" s="181" t="s">
        <v>2717</v>
      </c>
      <c r="C1882" s="197">
        <v>7560338</v>
      </c>
      <c r="D1882" s="164" t="s">
        <v>2660</v>
      </c>
      <c r="E1882" s="198">
        <v>28065</v>
      </c>
      <c r="F1882" s="198">
        <v>14135</v>
      </c>
      <c r="G1882" s="198">
        <v>13930</v>
      </c>
      <c r="H1882" s="198">
        <v>0</v>
      </c>
      <c r="I1882" s="163"/>
      <c r="J1882" s="166">
        <v>0</v>
      </c>
      <c r="K1882" s="167" t="s">
        <v>1464</v>
      </c>
      <c r="L1882" s="167">
        <v>744</v>
      </c>
      <c r="M1882" s="168">
        <v>46096</v>
      </c>
      <c r="N1882" s="192" t="s">
        <v>2661</v>
      </c>
      <c r="O1882" s="181" t="s">
        <v>212</v>
      </c>
    </row>
    <row r="1883" spans="1:15" x14ac:dyDescent="0.25">
      <c r="A1883" s="154">
        <v>1883</v>
      </c>
      <c r="B1883" s="181" t="s">
        <v>2717</v>
      </c>
      <c r="C1883" s="197">
        <v>7560338</v>
      </c>
      <c r="D1883" s="164" t="s">
        <v>2660</v>
      </c>
      <c r="E1883" s="198">
        <v>908230</v>
      </c>
      <c r="F1883" s="198">
        <v>454217.5</v>
      </c>
      <c r="G1883" s="198">
        <v>454012.5</v>
      </c>
      <c r="H1883" s="198">
        <v>0</v>
      </c>
      <c r="I1883" s="163"/>
      <c r="J1883" s="166">
        <v>0</v>
      </c>
      <c r="K1883" s="167" t="s">
        <v>1464</v>
      </c>
      <c r="L1883" s="167">
        <v>744</v>
      </c>
      <c r="M1883" s="168">
        <v>46096</v>
      </c>
      <c r="N1883" s="192" t="s">
        <v>2666</v>
      </c>
      <c r="O1883" s="181" t="s">
        <v>227</v>
      </c>
    </row>
    <row r="1884" spans="1:15" x14ac:dyDescent="0.25">
      <c r="A1884" s="154">
        <v>1884</v>
      </c>
      <c r="B1884" s="181" t="s">
        <v>2717</v>
      </c>
      <c r="C1884" s="197">
        <v>7560338</v>
      </c>
      <c r="D1884" s="164" t="s">
        <v>2660</v>
      </c>
      <c r="E1884" s="198">
        <v>27336</v>
      </c>
      <c r="F1884" s="198">
        <v>13770.5</v>
      </c>
      <c r="G1884" s="198">
        <v>13565.5</v>
      </c>
      <c r="H1884" s="198">
        <v>0</v>
      </c>
      <c r="I1884" s="163"/>
      <c r="J1884" s="166">
        <v>0</v>
      </c>
      <c r="K1884" s="167" t="s">
        <v>1464</v>
      </c>
      <c r="L1884" s="167">
        <v>744</v>
      </c>
      <c r="M1884" s="168">
        <v>46096</v>
      </c>
      <c r="N1884" s="192" t="s">
        <v>2665</v>
      </c>
      <c r="O1884" s="181" t="s">
        <v>1016</v>
      </c>
    </row>
    <row r="1885" spans="1:15" x14ac:dyDescent="0.25">
      <c r="A1885" s="154">
        <v>1885</v>
      </c>
      <c r="B1885" s="181" t="s">
        <v>2717</v>
      </c>
      <c r="C1885" s="197">
        <v>7560338</v>
      </c>
      <c r="D1885" s="164" t="s">
        <v>2660</v>
      </c>
      <c r="E1885" s="198">
        <v>625869</v>
      </c>
      <c r="F1885" s="198">
        <v>313037</v>
      </c>
      <c r="G1885" s="198">
        <v>312832</v>
      </c>
      <c r="H1885" s="198">
        <v>0</v>
      </c>
      <c r="I1885" s="163"/>
      <c r="J1885" s="166">
        <v>0</v>
      </c>
      <c r="K1885" s="167" t="s">
        <v>1464</v>
      </c>
      <c r="L1885" s="167">
        <v>744</v>
      </c>
      <c r="M1885" s="168">
        <v>46096</v>
      </c>
      <c r="N1885" s="199" t="s">
        <v>2664</v>
      </c>
      <c r="O1885" s="181" t="s">
        <v>215</v>
      </c>
    </row>
    <row r="1886" spans="1:15" x14ac:dyDescent="0.25">
      <c r="A1886" s="154">
        <v>1886</v>
      </c>
      <c r="B1886" s="181" t="s">
        <v>2717</v>
      </c>
      <c r="C1886" s="197">
        <v>7560338</v>
      </c>
      <c r="D1886" s="164" t="s">
        <v>2660</v>
      </c>
      <c r="E1886" s="198">
        <v>1072000</v>
      </c>
      <c r="F1886" s="198">
        <v>0</v>
      </c>
      <c r="G1886" s="198">
        <v>1072000</v>
      </c>
      <c r="H1886" s="198">
        <v>0</v>
      </c>
      <c r="I1886" s="163"/>
      <c r="J1886" s="166">
        <v>0</v>
      </c>
      <c r="K1886" s="167" t="s">
        <v>1464</v>
      </c>
      <c r="L1886" s="167">
        <v>744</v>
      </c>
      <c r="M1886" s="168">
        <v>46096</v>
      </c>
      <c r="N1886" s="192" t="s">
        <v>1582</v>
      </c>
      <c r="O1886" s="181" t="s">
        <v>1848</v>
      </c>
    </row>
    <row r="1887" spans="1:15" x14ac:dyDescent="0.25">
      <c r="A1887" s="154">
        <v>1887</v>
      </c>
      <c r="B1887" s="181" t="s">
        <v>2718</v>
      </c>
      <c r="C1887" s="197">
        <v>5325850</v>
      </c>
      <c r="D1887" s="164" t="s">
        <v>2660</v>
      </c>
      <c r="E1887" s="198">
        <v>9000</v>
      </c>
      <c r="F1887" s="198">
        <v>4602.5</v>
      </c>
      <c r="G1887" s="198">
        <v>4397.5</v>
      </c>
      <c r="H1887" s="198">
        <v>0</v>
      </c>
      <c r="I1887" s="163"/>
      <c r="J1887" s="166">
        <v>0</v>
      </c>
      <c r="K1887" s="167" t="s">
        <v>1464</v>
      </c>
      <c r="L1887" s="167">
        <v>744</v>
      </c>
      <c r="M1887" s="168">
        <v>46096</v>
      </c>
      <c r="N1887" s="192" t="s">
        <v>2663</v>
      </c>
      <c r="O1887" s="181" t="s">
        <v>185</v>
      </c>
    </row>
    <row r="1888" spans="1:15" x14ac:dyDescent="0.25">
      <c r="A1888" s="154">
        <v>1888</v>
      </c>
      <c r="B1888" s="181" t="s">
        <v>2718</v>
      </c>
      <c r="C1888" s="197">
        <v>5325850</v>
      </c>
      <c r="D1888" s="164" t="s">
        <v>2660</v>
      </c>
      <c r="E1888" s="198">
        <v>17260</v>
      </c>
      <c r="F1888" s="198">
        <v>8732.5</v>
      </c>
      <c r="G1888" s="198">
        <v>8527.5</v>
      </c>
      <c r="H1888" s="198">
        <v>0</v>
      </c>
      <c r="I1888" s="163"/>
      <c r="J1888" s="166">
        <v>0</v>
      </c>
      <c r="K1888" s="167" t="s">
        <v>1464</v>
      </c>
      <c r="L1888" s="167">
        <v>744</v>
      </c>
      <c r="M1888" s="168">
        <v>46096</v>
      </c>
      <c r="N1888" s="192" t="s">
        <v>2661</v>
      </c>
      <c r="O1888" s="181" t="s">
        <v>212</v>
      </c>
    </row>
    <row r="1889" spans="1:15" x14ac:dyDescent="0.25">
      <c r="A1889" s="154">
        <v>1889</v>
      </c>
      <c r="B1889" s="181" t="s">
        <v>2718</v>
      </c>
      <c r="C1889" s="197">
        <v>5325850</v>
      </c>
      <c r="D1889" s="164" t="s">
        <v>2660</v>
      </c>
      <c r="E1889" s="198">
        <v>378700</v>
      </c>
      <c r="F1889" s="198">
        <v>189452.5</v>
      </c>
      <c r="G1889" s="198">
        <v>189247.5</v>
      </c>
      <c r="H1889" s="198">
        <v>0</v>
      </c>
      <c r="I1889" s="163"/>
      <c r="J1889" s="166">
        <v>0</v>
      </c>
      <c r="K1889" s="167" t="s">
        <v>1464</v>
      </c>
      <c r="L1889" s="167">
        <v>744</v>
      </c>
      <c r="M1889" s="168">
        <v>46096</v>
      </c>
      <c r="N1889" s="192" t="s">
        <v>2666</v>
      </c>
      <c r="O1889" s="181" t="s">
        <v>227</v>
      </c>
    </row>
    <row r="1890" spans="1:15" x14ac:dyDescent="0.25">
      <c r="A1890" s="154">
        <v>1890</v>
      </c>
      <c r="B1890" s="181" t="s">
        <v>2718</v>
      </c>
      <c r="C1890" s="197">
        <v>5325850</v>
      </c>
      <c r="D1890" s="164" t="s">
        <v>2660</v>
      </c>
      <c r="E1890" s="198">
        <v>17045</v>
      </c>
      <c r="F1890" s="198">
        <v>8625</v>
      </c>
      <c r="G1890" s="198">
        <v>8420</v>
      </c>
      <c r="H1890" s="198">
        <v>0</v>
      </c>
      <c r="I1890" s="163"/>
      <c r="J1890" s="166">
        <v>0</v>
      </c>
      <c r="K1890" s="167" t="s">
        <v>1464</v>
      </c>
      <c r="L1890" s="167">
        <v>744</v>
      </c>
      <c r="M1890" s="168">
        <v>46096</v>
      </c>
      <c r="N1890" s="192" t="s">
        <v>2665</v>
      </c>
      <c r="O1890" s="181" t="s">
        <v>1016</v>
      </c>
    </row>
    <row r="1891" spans="1:15" x14ac:dyDescent="0.25">
      <c r="A1891" s="154">
        <v>1891</v>
      </c>
      <c r="B1891" s="181" t="s">
        <v>2718</v>
      </c>
      <c r="C1891" s="197">
        <v>5325850</v>
      </c>
      <c r="D1891" s="164" t="s">
        <v>2660</v>
      </c>
      <c r="E1891" s="198">
        <v>1424682</v>
      </c>
      <c r="F1891" s="198">
        <v>712443.5</v>
      </c>
      <c r="G1891" s="198">
        <v>712238.5</v>
      </c>
      <c r="H1891" s="198">
        <v>0</v>
      </c>
      <c r="I1891" s="163"/>
      <c r="J1891" s="166">
        <v>0</v>
      </c>
      <c r="K1891" s="167" t="s">
        <v>1464</v>
      </c>
      <c r="L1891" s="167">
        <v>744</v>
      </c>
      <c r="M1891" s="168">
        <v>46096</v>
      </c>
      <c r="N1891" s="199" t="s">
        <v>2664</v>
      </c>
      <c r="O1891" s="181" t="s">
        <v>215</v>
      </c>
    </row>
    <row r="1892" spans="1:15" x14ac:dyDescent="0.25">
      <c r="A1892" s="154">
        <v>1892</v>
      </c>
      <c r="B1892" s="181" t="s">
        <v>2718</v>
      </c>
      <c r="C1892" s="197">
        <v>5325850</v>
      </c>
      <c r="D1892" s="164" t="s">
        <v>2660</v>
      </c>
      <c r="E1892" s="198">
        <v>551100</v>
      </c>
      <c r="F1892" s="198">
        <v>0</v>
      </c>
      <c r="G1892" s="198">
        <v>551100</v>
      </c>
      <c r="H1892" s="198">
        <v>0</v>
      </c>
      <c r="I1892" s="163"/>
      <c r="J1892" s="166">
        <v>0</v>
      </c>
      <c r="K1892" s="167" t="s">
        <v>1464</v>
      </c>
      <c r="L1892" s="167">
        <v>744</v>
      </c>
      <c r="M1892" s="168">
        <v>46096</v>
      </c>
      <c r="N1892" s="192" t="s">
        <v>1582</v>
      </c>
      <c r="O1892" s="181" t="s">
        <v>1848</v>
      </c>
    </row>
    <row r="1893" spans="1:15" x14ac:dyDescent="0.25">
      <c r="A1893" s="154">
        <v>1893</v>
      </c>
      <c r="B1893" s="181" t="s">
        <v>2719</v>
      </c>
      <c r="C1893" s="197">
        <v>7483777</v>
      </c>
      <c r="D1893" s="164" t="s">
        <v>2660</v>
      </c>
      <c r="E1893" s="198">
        <v>207623</v>
      </c>
      <c r="F1893" s="198">
        <v>103914</v>
      </c>
      <c r="G1893" s="198">
        <v>103709</v>
      </c>
      <c r="H1893" s="198">
        <v>0</v>
      </c>
      <c r="I1893" s="163"/>
      <c r="J1893" s="166">
        <v>0</v>
      </c>
      <c r="K1893" s="167" t="s">
        <v>1464</v>
      </c>
      <c r="L1893" s="167">
        <v>744</v>
      </c>
      <c r="M1893" s="168">
        <v>46096</v>
      </c>
      <c r="N1893" s="192" t="s">
        <v>2663</v>
      </c>
      <c r="O1893" s="181" t="s">
        <v>185</v>
      </c>
    </row>
    <row r="1894" spans="1:15" x14ac:dyDescent="0.25">
      <c r="A1894" s="154">
        <v>1894</v>
      </c>
      <c r="B1894" s="181" t="s">
        <v>2719</v>
      </c>
      <c r="C1894" s="197">
        <v>7483777</v>
      </c>
      <c r="D1894" s="164" t="s">
        <v>2660</v>
      </c>
      <c r="E1894" s="198">
        <v>352391</v>
      </c>
      <c r="F1894" s="198">
        <v>176298</v>
      </c>
      <c r="G1894" s="198">
        <v>176093</v>
      </c>
      <c r="H1894" s="198">
        <v>0</v>
      </c>
      <c r="I1894" s="163"/>
      <c r="J1894" s="166">
        <v>0</v>
      </c>
      <c r="K1894" s="167" t="s">
        <v>1464</v>
      </c>
      <c r="L1894" s="167">
        <v>744</v>
      </c>
      <c r="M1894" s="168">
        <v>46096</v>
      </c>
      <c r="N1894" s="192" t="s">
        <v>2661</v>
      </c>
      <c r="O1894" s="181" t="s">
        <v>212</v>
      </c>
    </row>
    <row r="1895" spans="1:15" x14ac:dyDescent="0.25">
      <c r="A1895" s="154">
        <v>1895</v>
      </c>
      <c r="B1895" s="181" t="s">
        <v>2719</v>
      </c>
      <c r="C1895" s="197">
        <v>7483777</v>
      </c>
      <c r="D1895" s="164" t="s">
        <v>2660</v>
      </c>
      <c r="E1895" s="198">
        <v>75144</v>
      </c>
      <c r="F1895" s="198">
        <v>37674.5</v>
      </c>
      <c r="G1895" s="198">
        <v>37469.5</v>
      </c>
      <c r="H1895" s="198">
        <v>0</v>
      </c>
      <c r="I1895" s="163"/>
      <c r="J1895" s="166">
        <v>0</v>
      </c>
      <c r="K1895" s="167" t="s">
        <v>1464</v>
      </c>
      <c r="L1895" s="167">
        <v>744</v>
      </c>
      <c r="M1895" s="168">
        <v>46096</v>
      </c>
      <c r="N1895" s="192" t="s">
        <v>2665</v>
      </c>
      <c r="O1895" s="181" t="s">
        <v>1016</v>
      </c>
    </row>
    <row r="1896" spans="1:15" x14ac:dyDescent="0.25">
      <c r="A1896" s="154">
        <v>1896</v>
      </c>
      <c r="B1896" s="181" t="s">
        <v>2719</v>
      </c>
      <c r="C1896" s="197">
        <v>7483777</v>
      </c>
      <c r="D1896" s="164" t="s">
        <v>2660</v>
      </c>
      <c r="E1896" s="198">
        <v>1125735</v>
      </c>
      <c r="F1896" s="198">
        <v>562970</v>
      </c>
      <c r="G1896" s="198">
        <v>562765</v>
      </c>
      <c r="H1896" s="198">
        <v>0</v>
      </c>
      <c r="I1896" s="163"/>
      <c r="J1896" s="166">
        <v>0</v>
      </c>
      <c r="K1896" s="167" t="s">
        <v>1464</v>
      </c>
      <c r="L1896" s="167">
        <v>744</v>
      </c>
      <c r="M1896" s="168">
        <v>46096</v>
      </c>
      <c r="N1896" s="199" t="s">
        <v>2664</v>
      </c>
      <c r="O1896" s="181" t="s">
        <v>215</v>
      </c>
    </row>
    <row r="1897" spans="1:15" x14ac:dyDescent="0.25">
      <c r="A1897" s="154">
        <v>1897</v>
      </c>
      <c r="B1897" s="181" t="s">
        <v>2720</v>
      </c>
      <c r="C1897" s="197">
        <v>26171294</v>
      </c>
      <c r="D1897" s="164" t="s">
        <v>2660</v>
      </c>
      <c r="E1897" s="198">
        <v>697255</v>
      </c>
      <c r="F1897" s="198">
        <v>348730</v>
      </c>
      <c r="G1897" s="198">
        <v>348525</v>
      </c>
      <c r="H1897" s="198">
        <v>0</v>
      </c>
      <c r="I1897" s="163"/>
      <c r="J1897" s="166">
        <v>0</v>
      </c>
      <c r="K1897" s="167" t="s">
        <v>1464</v>
      </c>
      <c r="L1897" s="167">
        <v>744</v>
      </c>
      <c r="M1897" s="168">
        <v>46096</v>
      </c>
      <c r="N1897" s="192" t="s">
        <v>2663</v>
      </c>
      <c r="O1897" s="181" t="s">
        <v>185</v>
      </c>
    </row>
    <row r="1898" spans="1:15" x14ac:dyDescent="0.25">
      <c r="A1898" s="154">
        <v>1898</v>
      </c>
      <c r="B1898" s="181" t="s">
        <v>2720</v>
      </c>
      <c r="C1898" s="197">
        <v>26171294</v>
      </c>
      <c r="D1898" s="164" t="s">
        <v>2660</v>
      </c>
      <c r="E1898" s="198">
        <v>838700</v>
      </c>
      <c r="F1898" s="198">
        <v>419452.5</v>
      </c>
      <c r="G1898" s="198">
        <v>419247.5</v>
      </c>
      <c r="H1898" s="198">
        <v>0</v>
      </c>
      <c r="I1898" s="163"/>
      <c r="J1898" s="166">
        <v>0</v>
      </c>
      <c r="K1898" s="167" t="s">
        <v>1464</v>
      </c>
      <c r="L1898" s="167">
        <v>744</v>
      </c>
      <c r="M1898" s="168">
        <v>46096</v>
      </c>
      <c r="N1898" s="192" t="s">
        <v>2666</v>
      </c>
      <c r="O1898" s="181" t="s">
        <v>227</v>
      </c>
    </row>
    <row r="1899" spans="1:15" x14ac:dyDescent="0.25">
      <c r="A1899" s="154">
        <v>1899</v>
      </c>
      <c r="B1899" s="181" t="s">
        <v>2720</v>
      </c>
      <c r="C1899" s="197">
        <v>26171294</v>
      </c>
      <c r="D1899" s="164" t="s">
        <v>2660</v>
      </c>
      <c r="E1899" s="198">
        <v>65257</v>
      </c>
      <c r="F1899" s="198">
        <v>32731</v>
      </c>
      <c r="G1899" s="198">
        <v>32526</v>
      </c>
      <c r="H1899" s="198">
        <v>0</v>
      </c>
      <c r="I1899" s="163"/>
      <c r="J1899" s="166">
        <v>0</v>
      </c>
      <c r="K1899" s="167" t="s">
        <v>1464</v>
      </c>
      <c r="L1899" s="167">
        <v>744</v>
      </c>
      <c r="M1899" s="168">
        <v>46096</v>
      </c>
      <c r="N1899" s="192" t="s">
        <v>2665</v>
      </c>
      <c r="O1899" s="181" t="s">
        <v>1016</v>
      </c>
    </row>
    <row r="1900" spans="1:15" x14ac:dyDescent="0.25">
      <c r="A1900" s="154">
        <v>1900</v>
      </c>
      <c r="B1900" s="181" t="s">
        <v>2720</v>
      </c>
      <c r="C1900" s="197">
        <v>26171294</v>
      </c>
      <c r="D1900" s="164" t="s">
        <v>2660</v>
      </c>
      <c r="E1900" s="198">
        <v>4186125</v>
      </c>
      <c r="F1900" s="198">
        <v>2092652</v>
      </c>
      <c r="G1900" s="198">
        <v>2093473</v>
      </c>
      <c r="H1900" s="198">
        <v>0</v>
      </c>
      <c r="I1900" s="163"/>
      <c r="J1900" s="166">
        <v>0</v>
      </c>
      <c r="K1900" s="167" t="s">
        <v>1464</v>
      </c>
      <c r="L1900" s="167">
        <v>744</v>
      </c>
      <c r="M1900" s="168">
        <v>46096</v>
      </c>
      <c r="N1900" s="199" t="s">
        <v>2664</v>
      </c>
      <c r="O1900" s="181" t="s">
        <v>215</v>
      </c>
    </row>
    <row r="1901" spans="1:15" x14ac:dyDescent="0.25">
      <c r="A1901" s="154">
        <v>1901</v>
      </c>
      <c r="B1901" s="181" t="s">
        <v>2720</v>
      </c>
      <c r="C1901" s="197">
        <v>26171294</v>
      </c>
      <c r="D1901" s="164" t="s">
        <v>2660</v>
      </c>
      <c r="E1901" s="198">
        <v>316500</v>
      </c>
      <c r="F1901" s="198">
        <v>0</v>
      </c>
      <c r="G1901" s="198">
        <v>316500</v>
      </c>
      <c r="H1901" s="198">
        <v>0</v>
      </c>
      <c r="I1901" s="163"/>
      <c r="J1901" s="166">
        <v>0</v>
      </c>
      <c r="K1901" s="167" t="s">
        <v>1464</v>
      </c>
      <c r="L1901" s="167">
        <v>744</v>
      </c>
      <c r="M1901" s="168">
        <v>46096</v>
      </c>
      <c r="N1901" s="192" t="s">
        <v>1582</v>
      </c>
      <c r="O1901" s="181" t="s">
        <v>1848</v>
      </c>
    </row>
    <row r="1902" spans="1:15" x14ac:dyDescent="0.25">
      <c r="A1902" s="154">
        <v>1902</v>
      </c>
      <c r="B1902" s="181" t="s">
        <v>2721</v>
      </c>
      <c r="C1902" s="197">
        <v>21824636</v>
      </c>
      <c r="D1902" s="164" t="s">
        <v>2660</v>
      </c>
      <c r="E1902" s="198">
        <v>228000</v>
      </c>
      <c r="F1902" s="198">
        <v>114102.5</v>
      </c>
      <c r="G1902" s="198">
        <v>113897.5</v>
      </c>
      <c r="H1902" s="198">
        <v>0</v>
      </c>
      <c r="I1902" s="163"/>
      <c r="J1902" s="166">
        <v>0</v>
      </c>
      <c r="K1902" s="167" t="s">
        <v>1464</v>
      </c>
      <c r="L1902" s="167">
        <v>744</v>
      </c>
      <c r="M1902" s="168">
        <v>46096</v>
      </c>
      <c r="N1902" s="192" t="s">
        <v>2663</v>
      </c>
      <c r="O1902" s="181" t="s">
        <v>185</v>
      </c>
    </row>
    <row r="1903" spans="1:15" x14ac:dyDescent="0.25">
      <c r="A1903" s="154">
        <v>1903</v>
      </c>
      <c r="B1903" s="181" t="s">
        <v>2721</v>
      </c>
      <c r="C1903" s="197">
        <v>21824636</v>
      </c>
      <c r="D1903" s="164" t="s">
        <v>2660</v>
      </c>
      <c r="E1903" s="198">
        <v>88335</v>
      </c>
      <c r="F1903" s="198">
        <v>44270</v>
      </c>
      <c r="G1903" s="198">
        <v>44065</v>
      </c>
      <c r="H1903" s="198">
        <v>0</v>
      </c>
      <c r="I1903" s="163"/>
      <c r="J1903" s="166">
        <v>0</v>
      </c>
      <c r="K1903" s="167" t="s">
        <v>1464</v>
      </c>
      <c r="L1903" s="167">
        <v>744</v>
      </c>
      <c r="M1903" s="168">
        <v>46096</v>
      </c>
      <c r="N1903" s="192" t="s">
        <v>2661</v>
      </c>
      <c r="O1903" s="181" t="s">
        <v>212</v>
      </c>
    </row>
    <row r="1904" spans="1:15" x14ac:dyDescent="0.25">
      <c r="A1904" s="154">
        <v>1904</v>
      </c>
      <c r="B1904" s="181" t="s">
        <v>2721</v>
      </c>
      <c r="C1904" s="197">
        <v>21824636</v>
      </c>
      <c r="D1904" s="164" t="s">
        <v>2660</v>
      </c>
      <c r="E1904" s="198">
        <v>1060298</v>
      </c>
      <c r="F1904" s="198">
        <v>530251.5</v>
      </c>
      <c r="G1904" s="198">
        <v>530046.5</v>
      </c>
      <c r="H1904" s="198">
        <v>0</v>
      </c>
      <c r="I1904" s="163"/>
      <c r="J1904" s="166">
        <v>0</v>
      </c>
      <c r="K1904" s="167" t="s">
        <v>1464</v>
      </c>
      <c r="L1904" s="167">
        <v>744</v>
      </c>
      <c r="M1904" s="168">
        <v>46096</v>
      </c>
      <c r="N1904" s="192" t="s">
        <v>2666</v>
      </c>
      <c r="O1904" s="181" t="s">
        <v>227</v>
      </c>
    </row>
    <row r="1905" spans="1:15" x14ac:dyDescent="0.25">
      <c r="A1905" s="154">
        <v>1905</v>
      </c>
      <c r="B1905" s="181" t="s">
        <v>2721</v>
      </c>
      <c r="C1905" s="197">
        <v>21824636</v>
      </c>
      <c r="D1905" s="164" t="s">
        <v>2660</v>
      </c>
      <c r="E1905" s="198">
        <v>15547</v>
      </c>
      <c r="F1905" s="198">
        <v>7876</v>
      </c>
      <c r="G1905" s="198">
        <v>7671</v>
      </c>
      <c r="H1905" s="198">
        <v>0</v>
      </c>
      <c r="I1905" s="163"/>
      <c r="J1905" s="166">
        <v>0</v>
      </c>
      <c r="K1905" s="167" t="s">
        <v>1464</v>
      </c>
      <c r="L1905" s="167">
        <v>744</v>
      </c>
      <c r="M1905" s="168">
        <v>46096</v>
      </c>
      <c r="N1905" s="192" t="s">
        <v>2665</v>
      </c>
      <c r="O1905" s="181" t="s">
        <v>1016</v>
      </c>
    </row>
    <row r="1906" spans="1:15" x14ac:dyDescent="0.25">
      <c r="A1906" s="154">
        <v>1906</v>
      </c>
      <c r="B1906" s="181" t="s">
        <v>2721</v>
      </c>
      <c r="C1906" s="197">
        <v>21824636</v>
      </c>
      <c r="D1906" s="164" t="s">
        <v>2660</v>
      </c>
      <c r="E1906" s="198">
        <v>2693036</v>
      </c>
      <c r="F1906" s="198">
        <v>897800</v>
      </c>
      <c r="G1906" s="198">
        <v>1795236</v>
      </c>
      <c r="H1906" s="198">
        <v>0</v>
      </c>
      <c r="I1906" s="163"/>
      <c r="J1906" s="166">
        <v>0</v>
      </c>
      <c r="K1906" s="167" t="s">
        <v>1464</v>
      </c>
      <c r="L1906" s="167">
        <v>744</v>
      </c>
      <c r="M1906" s="168">
        <v>46096</v>
      </c>
      <c r="N1906" s="199" t="s">
        <v>2664</v>
      </c>
      <c r="O1906" s="181" t="s">
        <v>215</v>
      </c>
    </row>
    <row r="1907" spans="1:15" x14ac:dyDescent="0.25">
      <c r="A1907" s="154">
        <v>1907</v>
      </c>
      <c r="B1907" s="181" t="s">
        <v>2722</v>
      </c>
      <c r="C1907" s="197">
        <v>4813600</v>
      </c>
      <c r="D1907" s="164" t="s">
        <v>2660</v>
      </c>
      <c r="E1907" s="198">
        <v>14400</v>
      </c>
      <c r="F1907" s="198">
        <v>7302.5</v>
      </c>
      <c r="G1907" s="198">
        <v>7097.5</v>
      </c>
      <c r="H1907" s="198">
        <v>0</v>
      </c>
      <c r="I1907" s="163"/>
      <c r="J1907" s="166">
        <v>0</v>
      </c>
      <c r="K1907" s="167" t="s">
        <v>1464</v>
      </c>
      <c r="L1907" s="167">
        <v>744</v>
      </c>
      <c r="M1907" s="168">
        <v>46096</v>
      </c>
      <c r="N1907" s="192" t="s">
        <v>2663</v>
      </c>
      <c r="O1907" s="181" t="s">
        <v>185</v>
      </c>
    </row>
    <row r="1908" spans="1:15" x14ac:dyDescent="0.25">
      <c r="A1908" s="154">
        <v>1908</v>
      </c>
      <c r="B1908" s="181" t="s">
        <v>2722</v>
      </c>
      <c r="C1908" s="197">
        <v>4813600</v>
      </c>
      <c r="D1908" s="164" t="s">
        <v>2660</v>
      </c>
      <c r="E1908" s="198">
        <v>257770</v>
      </c>
      <c r="F1908" s="198">
        <v>128987.5</v>
      </c>
      <c r="G1908" s="198">
        <v>128782.5</v>
      </c>
      <c r="H1908" s="198">
        <v>0</v>
      </c>
      <c r="I1908" s="163"/>
      <c r="J1908" s="166">
        <v>0</v>
      </c>
      <c r="K1908" s="167" t="s">
        <v>1464</v>
      </c>
      <c r="L1908" s="167">
        <v>744</v>
      </c>
      <c r="M1908" s="168">
        <v>46096</v>
      </c>
      <c r="N1908" s="192" t="s">
        <v>2661</v>
      </c>
      <c r="O1908" s="181" t="s">
        <v>212</v>
      </c>
    </row>
    <row r="1909" spans="1:15" x14ac:dyDescent="0.25">
      <c r="A1909" s="154">
        <v>1909</v>
      </c>
      <c r="B1909" s="181" t="s">
        <v>2722</v>
      </c>
      <c r="C1909" s="197">
        <v>4813600</v>
      </c>
      <c r="D1909" s="164" t="s">
        <v>2660</v>
      </c>
      <c r="E1909" s="198">
        <v>106770</v>
      </c>
      <c r="F1909" s="198">
        <v>53487.5</v>
      </c>
      <c r="G1909" s="198">
        <v>53282.5</v>
      </c>
      <c r="H1909" s="198">
        <v>0</v>
      </c>
      <c r="I1909" s="163"/>
      <c r="J1909" s="166">
        <v>0</v>
      </c>
      <c r="K1909" s="167" t="s">
        <v>1464</v>
      </c>
      <c r="L1909" s="167">
        <v>744</v>
      </c>
      <c r="M1909" s="168">
        <v>46096</v>
      </c>
      <c r="N1909" s="192" t="s">
        <v>2665</v>
      </c>
      <c r="O1909" s="181" t="s">
        <v>1016</v>
      </c>
    </row>
    <row r="1910" spans="1:15" x14ac:dyDescent="0.25">
      <c r="A1910" s="154">
        <v>1910</v>
      </c>
      <c r="B1910" s="181" t="s">
        <v>2722</v>
      </c>
      <c r="C1910" s="197">
        <v>4813600</v>
      </c>
      <c r="D1910" s="164" t="s">
        <v>2660</v>
      </c>
      <c r="E1910" s="198">
        <v>450490</v>
      </c>
      <c r="F1910" s="198">
        <v>225347.5</v>
      </c>
      <c r="G1910" s="198">
        <v>225142.5</v>
      </c>
      <c r="H1910" s="198">
        <v>0</v>
      </c>
      <c r="I1910" s="163"/>
      <c r="J1910" s="166">
        <v>0</v>
      </c>
      <c r="K1910" s="167" t="s">
        <v>1464</v>
      </c>
      <c r="L1910" s="167">
        <v>744</v>
      </c>
      <c r="M1910" s="168">
        <v>46096</v>
      </c>
      <c r="N1910" s="199" t="s">
        <v>2664</v>
      </c>
      <c r="O1910" s="181" t="s">
        <v>215</v>
      </c>
    </row>
    <row r="1911" spans="1:15" x14ac:dyDescent="0.25">
      <c r="A1911" s="154">
        <v>1911</v>
      </c>
      <c r="B1911" s="181" t="s">
        <v>2722</v>
      </c>
      <c r="C1911" s="197">
        <v>4813600</v>
      </c>
      <c r="D1911" s="164" t="s">
        <v>2660</v>
      </c>
      <c r="E1911" s="198">
        <v>202400</v>
      </c>
      <c r="F1911" s="198">
        <v>0</v>
      </c>
      <c r="G1911" s="198">
        <v>202400</v>
      </c>
      <c r="H1911" s="198">
        <v>0</v>
      </c>
      <c r="I1911" s="163"/>
      <c r="J1911" s="166">
        <v>0</v>
      </c>
      <c r="K1911" s="167" t="s">
        <v>1464</v>
      </c>
      <c r="L1911" s="167">
        <v>744</v>
      </c>
      <c r="M1911" s="168">
        <v>46096</v>
      </c>
      <c r="N1911" s="192" t="s">
        <v>1582</v>
      </c>
      <c r="O1911" s="181" t="s">
        <v>1848</v>
      </c>
    </row>
    <row r="1912" spans="1:15" x14ac:dyDescent="0.25">
      <c r="A1912" s="154">
        <v>1912</v>
      </c>
      <c r="B1912" s="181" t="s">
        <v>2722</v>
      </c>
      <c r="C1912" s="197">
        <v>4813600</v>
      </c>
      <c r="D1912" s="164" t="s">
        <v>2660</v>
      </c>
      <c r="E1912" s="198">
        <v>738800</v>
      </c>
      <c r="F1912" s="198">
        <v>0</v>
      </c>
      <c r="G1912" s="198">
        <v>738800</v>
      </c>
      <c r="H1912" s="198">
        <v>0</v>
      </c>
      <c r="I1912" s="163"/>
      <c r="J1912" s="166">
        <v>0</v>
      </c>
      <c r="K1912" s="167" t="s">
        <v>1464</v>
      </c>
      <c r="L1912" s="167">
        <v>744</v>
      </c>
      <c r="M1912" s="168">
        <v>46096</v>
      </c>
      <c r="N1912" s="192" t="s">
        <v>1582</v>
      </c>
      <c r="O1912" s="181" t="s">
        <v>2716</v>
      </c>
    </row>
    <row r="1913" spans="1:15" x14ac:dyDescent="0.25">
      <c r="A1913" s="154">
        <v>1913</v>
      </c>
      <c r="B1913" s="181" t="s">
        <v>2723</v>
      </c>
      <c r="C1913" s="197">
        <v>52636020</v>
      </c>
      <c r="D1913" s="164" t="s">
        <v>2660</v>
      </c>
      <c r="E1913" s="198">
        <v>15755</v>
      </c>
      <c r="F1913" s="198">
        <v>7980</v>
      </c>
      <c r="G1913" s="198">
        <v>7775</v>
      </c>
      <c r="H1913" s="198">
        <v>0</v>
      </c>
      <c r="I1913" s="163"/>
      <c r="J1913" s="166">
        <v>0</v>
      </c>
      <c r="K1913" s="167" t="s">
        <v>1464</v>
      </c>
      <c r="L1913" s="167">
        <v>744</v>
      </c>
      <c r="M1913" s="168">
        <v>46096</v>
      </c>
      <c r="N1913" s="192" t="s">
        <v>2663</v>
      </c>
      <c r="O1913" s="181" t="s">
        <v>185</v>
      </c>
    </row>
    <row r="1914" spans="1:15" x14ac:dyDescent="0.25">
      <c r="A1914" s="154">
        <v>1914</v>
      </c>
      <c r="B1914" s="181" t="s">
        <v>2723</v>
      </c>
      <c r="C1914" s="197">
        <v>52636020</v>
      </c>
      <c r="D1914" s="164" t="s">
        <v>2660</v>
      </c>
      <c r="E1914" s="198">
        <v>84340</v>
      </c>
      <c r="F1914" s="198">
        <v>42272.5</v>
      </c>
      <c r="G1914" s="198">
        <v>42067.5</v>
      </c>
      <c r="H1914" s="198">
        <v>0</v>
      </c>
      <c r="I1914" s="163"/>
      <c r="J1914" s="166">
        <v>0</v>
      </c>
      <c r="K1914" s="167" t="s">
        <v>1464</v>
      </c>
      <c r="L1914" s="167">
        <v>744</v>
      </c>
      <c r="M1914" s="168">
        <v>46096</v>
      </c>
      <c r="N1914" s="192" t="s">
        <v>2661</v>
      </c>
      <c r="O1914" s="181" t="s">
        <v>212</v>
      </c>
    </row>
    <row r="1915" spans="1:15" x14ac:dyDescent="0.25">
      <c r="A1915" s="154">
        <v>1915</v>
      </c>
      <c r="B1915" s="181" t="s">
        <v>2723</v>
      </c>
      <c r="C1915" s="197">
        <v>52636020</v>
      </c>
      <c r="D1915" s="164" t="s">
        <v>2660</v>
      </c>
      <c r="E1915" s="198">
        <v>3122570</v>
      </c>
      <c r="F1915" s="198">
        <v>1699611</v>
      </c>
      <c r="G1915" s="198">
        <v>1422959</v>
      </c>
      <c r="H1915" s="198">
        <v>0</v>
      </c>
      <c r="I1915" s="163"/>
      <c r="J1915" s="166">
        <v>0</v>
      </c>
      <c r="K1915" s="167" t="s">
        <v>1464</v>
      </c>
      <c r="L1915" s="167">
        <v>744</v>
      </c>
      <c r="M1915" s="168">
        <v>46096</v>
      </c>
      <c r="N1915" s="192" t="s">
        <v>2666</v>
      </c>
      <c r="O1915" s="181" t="s">
        <v>227</v>
      </c>
    </row>
    <row r="1916" spans="1:15" x14ac:dyDescent="0.25">
      <c r="A1916" s="154">
        <v>1916</v>
      </c>
      <c r="B1916" s="181" t="s">
        <v>2723</v>
      </c>
      <c r="C1916" s="197">
        <v>52636020</v>
      </c>
      <c r="D1916" s="164" t="s">
        <v>2660</v>
      </c>
      <c r="E1916" s="198">
        <v>262732</v>
      </c>
      <c r="F1916" s="198">
        <v>131468.5</v>
      </c>
      <c r="G1916" s="198">
        <v>131263.5</v>
      </c>
      <c r="H1916" s="198">
        <v>0</v>
      </c>
      <c r="I1916" s="163"/>
      <c r="J1916" s="166">
        <v>0</v>
      </c>
      <c r="K1916" s="167" t="s">
        <v>1464</v>
      </c>
      <c r="L1916" s="167">
        <v>744</v>
      </c>
      <c r="M1916" s="168">
        <v>46096</v>
      </c>
      <c r="N1916" s="192" t="s">
        <v>2665</v>
      </c>
      <c r="O1916" s="181" t="s">
        <v>1016</v>
      </c>
    </row>
    <row r="1917" spans="1:15" x14ac:dyDescent="0.25">
      <c r="A1917" s="154">
        <v>1917</v>
      </c>
      <c r="B1917" s="181" t="s">
        <v>2723</v>
      </c>
      <c r="C1917" s="197">
        <v>52636020</v>
      </c>
      <c r="D1917" s="164" t="s">
        <v>2660</v>
      </c>
      <c r="E1917" s="198">
        <v>32565420</v>
      </c>
      <c r="F1917" s="198">
        <v>5618400</v>
      </c>
      <c r="G1917" s="198">
        <v>26947020</v>
      </c>
      <c r="H1917" s="198">
        <v>0</v>
      </c>
      <c r="I1917" s="163"/>
      <c r="J1917" s="166">
        <v>0</v>
      </c>
      <c r="K1917" s="167" t="s">
        <v>1464</v>
      </c>
      <c r="L1917" s="167">
        <v>744</v>
      </c>
      <c r="M1917" s="168">
        <v>46096</v>
      </c>
      <c r="N1917" s="199" t="s">
        <v>2664</v>
      </c>
      <c r="O1917" s="181" t="s">
        <v>215</v>
      </c>
    </row>
    <row r="1918" spans="1:15" x14ac:dyDescent="0.25">
      <c r="A1918" s="154">
        <v>1918</v>
      </c>
      <c r="B1918" s="181" t="s">
        <v>2724</v>
      </c>
      <c r="C1918" s="197">
        <v>15495280</v>
      </c>
      <c r="D1918" s="164" t="s">
        <v>2660</v>
      </c>
      <c r="E1918" s="198">
        <v>7200</v>
      </c>
      <c r="F1918" s="198">
        <v>3702.5</v>
      </c>
      <c r="G1918" s="198">
        <v>3497.5</v>
      </c>
      <c r="H1918" s="198">
        <v>0</v>
      </c>
      <c r="I1918" s="163"/>
      <c r="J1918" s="166">
        <v>0</v>
      </c>
      <c r="K1918" s="167" t="s">
        <v>1464</v>
      </c>
      <c r="L1918" s="167">
        <v>744</v>
      </c>
      <c r="M1918" s="168">
        <v>46096</v>
      </c>
      <c r="N1918" s="192" t="s">
        <v>2663</v>
      </c>
      <c r="O1918" s="181" t="s">
        <v>185</v>
      </c>
    </row>
    <row r="1919" spans="1:15" x14ac:dyDescent="0.25">
      <c r="A1919" s="154">
        <v>1919</v>
      </c>
      <c r="B1919" s="181" t="s">
        <v>2724</v>
      </c>
      <c r="C1919" s="197">
        <v>15495280</v>
      </c>
      <c r="D1919" s="164" t="s">
        <v>2660</v>
      </c>
      <c r="E1919" s="198">
        <v>136141</v>
      </c>
      <c r="F1919" s="198">
        <v>68173</v>
      </c>
      <c r="G1919" s="198">
        <v>67968</v>
      </c>
      <c r="H1919" s="198">
        <v>0</v>
      </c>
      <c r="I1919" s="163"/>
      <c r="J1919" s="166">
        <v>0</v>
      </c>
      <c r="K1919" s="167" t="s">
        <v>1464</v>
      </c>
      <c r="L1919" s="167">
        <v>744</v>
      </c>
      <c r="M1919" s="168">
        <v>46096</v>
      </c>
      <c r="N1919" s="192" t="s">
        <v>2666</v>
      </c>
      <c r="O1919" s="181" t="s">
        <v>227</v>
      </c>
    </row>
    <row r="1920" spans="1:15" x14ac:dyDescent="0.25">
      <c r="A1920" s="154">
        <v>1920</v>
      </c>
      <c r="B1920" s="181" t="s">
        <v>2724</v>
      </c>
      <c r="C1920" s="197">
        <v>15495280</v>
      </c>
      <c r="D1920" s="164" t="s">
        <v>2660</v>
      </c>
      <c r="E1920" s="198">
        <v>13325</v>
      </c>
      <c r="F1920" s="198">
        <v>6765</v>
      </c>
      <c r="G1920" s="198">
        <v>6560</v>
      </c>
      <c r="H1920" s="198">
        <v>0</v>
      </c>
      <c r="I1920" s="163"/>
      <c r="J1920" s="166">
        <v>0</v>
      </c>
      <c r="K1920" s="167" t="s">
        <v>1464</v>
      </c>
      <c r="L1920" s="167">
        <v>744</v>
      </c>
      <c r="M1920" s="168">
        <v>46096</v>
      </c>
      <c r="N1920" s="192" t="s">
        <v>2665</v>
      </c>
      <c r="O1920" s="181" t="s">
        <v>1016</v>
      </c>
    </row>
    <row r="1921" spans="1:15" x14ac:dyDescent="0.25">
      <c r="A1921" s="154">
        <v>1921</v>
      </c>
      <c r="B1921" s="181" t="s">
        <v>2724</v>
      </c>
      <c r="C1921" s="197">
        <v>15495280</v>
      </c>
      <c r="D1921" s="164" t="s">
        <v>2660</v>
      </c>
      <c r="E1921" s="198">
        <v>3831250</v>
      </c>
      <c r="F1921" s="198">
        <v>1260833</v>
      </c>
      <c r="G1921" s="198">
        <v>2570417</v>
      </c>
      <c r="H1921" s="198">
        <v>0</v>
      </c>
      <c r="I1921" s="163"/>
      <c r="J1921" s="166">
        <v>0</v>
      </c>
      <c r="K1921" s="167" t="s">
        <v>1464</v>
      </c>
      <c r="L1921" s="167">
        <v>744</v>
      </c>
      <c r="M1921" s="168">
        <v>46096</v>
      </c>
      <c r="N1921" s="199" t="s">
        <v>2664</v>
      </c>
      <c r="O1921" s="181" t="s">
        <v>215</v>
      </c>
    </row>
    <row r="1922" spans="1:15" x14ac:dyDescent="0.25">
      <c r="A1922" s="154">
        <v>1922</v>
      </c>
      <c r="B1922" s="181" t="s">
        <v>2725</v>
      </c>
      <c r="C1922" s="197">
        <v>3417000</v>
      </c>
      <c r="D1922" s="164" t="s">
        <v>2660</v>
      </c>
      <c r="E1922" s="198">
        <v>31200</v>
      </c>
      <c r="F1922" s="198">
        <v>15702.5</v>
      </c>
      <c r="G1922" s="198">
        <v>15497.5</v>
      </c>
      <c r="H1922" s="198">
        <v>0</v>
      </c>
      <c r="I1922" s="163"/>
      <c r="J1922" s="166">
        <v>0</v>
      </c>
      <c r="K1922" s="167" t="s">
        <v>1464</v>
      </c>
      <c r="L1922" s="167">
        <v>744</v>
      </c>
      <c r="M1922" s="168">
        <v>46096</v>
      </c>
      <c r="N1922" s="192" t="s">
        <v>2663</v>
      </c>
      <c r="O1922" s="181" t="s">
        <v>185</v>
      </c>
    </row>
    <row r="1923" spans="1:15" x14ac:dyDescent="0.25">
      <c r="A1923" s="154">
        <v>1923</v>
      </c>
      <c r="B1923" s="181" t="s">
        <v>2725</v>
      </c>
      <c r="C1923" s="197">
        <v>3417000</v>
      </c>
      <c r="D1923" s="164" t="s">
        <v>2660</v>
      </c>
      <c r="E1923" s="198">
        <v>4503</v>
      </c>
      <c r="F1923" s="198">
        <v>2354</v>
      </c>
      <c r="G1923" s="198">
        <v>2149</v>
      </c>
      <c r="H1923" s="198">
        <v>0</v>
      </c>
      <c r="I1923" s="163"/>
      <c r="J1923" s="166">
        <v>0</v>
      </c>
      <c r="K1923" s="167" t="s">
        <v>1464</v>
      </c>
      <c r="L1923" s="167">
        <v>744</v>
      </c>
      <c r="M1923" s="168">
        <v>46096</v>
      </c>
      <c r="N1923" s="192" t="s">
        <v>2666</v>
      </c>
      <c r="O1923" s="181" t="s">
        <v>227</v>
      </c>
    </row>
    <row r="1924" spans="1:15" x14ac:dyDescent="0.25">
      <c r="A1924" s="154">
        <v>1924</v>
      </c>
      <c r="B1924" s="181" t="s">
        <v>2725</v>
      </c>
      <c r="C1924" s="197">
        <v>3417000</v>
      </c>
      <c r="D1924" s="164" t="s">
        <v>2660</v>
      </c>
      <c r="E1924" s="198">
        <v>137831</v>
      </c>
      <c r="F1924" s="198">
        <v>69018</v>
      </c>
      <c r="G1924" s="198">
        <v>68813</v>
      </c>
      <c r="H1924" s="198">
        <v>0</v>
      </c>
      <c r="I1924" s="163"/>
      <c r="J1924" s="166">
        <v>0</v>
      </c>
      <c r="K1924" s="167" t="s">
        <v>1464</v>
      </c>
      <c r="L1924" s="167">
        <v>744</v>
      </c>
      <c r="M1924" s="168">
        <v>46096</v>
      </c>
      <c r="N1924" s="192" t="s">
        <v>2665</v>
      </c>
      <c r="O1924" s="181" t="s">
        <v>1016</v>
      </c>
    </row>
    <row r="1925" spans="1:15" x14ac:dyDescent="0.25">
      <c r="A1925" s="154">
        <v>1925</v>
      </c>
      <c r="B1925" s="181" t="s">
        <v>2725</v>
      </c>
      <c r="C1925" s="197">
        <v>3417000</v>
      </c>
      <c r="D1925" s="164" t="s">
        <v>2660</v>
      </c>
      <c r="E1925" s="198">
        <v>348525</v>
      </c>
      <c r="F1925" s="198">
        <v>174365</v>
      </c>
      <c r="G1925" s="198">
        <v>174160</v>
      </c>
      <c r="H1925" s="198">
        <v>0</v>
      </c>
      <c r="I1925" s="163"/>
      <c r="J1925" s="166">
        <v>0</v>
      </c>
      <c r="K1925" s="167" t="s">
        <v>1464</v>
      </c>
      <c r="L1925" s="167">
        <v>744</v>
      </c>
      <c r="M1925" s="168">
        <v>46096</v>
      </c>
      <c r="N1925" s="199" t="s">
        <v>2664</v>
      </c>
      <c r="O1925" s="181" t="s">
        <v>215</v>
      </c>
    </row>
    <row r="1926" spans="1:15" x14ac:dyDescent="0.25">
      <c r="A1926" s="154">
        <v>1926</v>
      </c>
      <c r="B1926" s="181" t="s">
        <v>2726</v>
      </c>
      <c r="C1926" s="197">
        <v>1036800</v>
      </c>
      <c r="D1926" s="164" t="s">
        <v>2660</v>
      </c>
      <c r="E1926" s="198">
        <v>5577</v>
      </c>
      <c r="F1926" s="198">
        <v>2891</v>
      </c>
      <c r="G1926" s="198">
        <v>2686</v>
      </c>
      <c r="H1926" s="198">
        <v>0</v>
      </c>
      <c r="I1926" s="163"/>
      <c r="J1926" s="166">
        <v>0</v>
      </c>
      <c r="K1926" s="167" t="s">
        <v>1464</v>
      </c>
      <c r="L1926" s="167">
        <v>744</v>
      </c>
      <c r="M1926" s="168">
        <v>46096</v>
      </c>
      <c r="N1926" s="192" t="s">
        <v>2666</v>
      </c>
      <c r="O1926" s="181" t="s">
        <v>227</v>
      </c>
    </row>
    <row r="1927" spans="1:15" x14ac:dyDescent="0.25">
      <c r="A1927" s="154">
        <v>1927</v>
      </c>
      <c r="B1927" s="181" t="s">
        <v>2726</v>
      </c>
      <c r="C1927" s="197">
        <v>1036800</v>
      </c>
      <c r="D1927" s="164" t="s">
        <v>2660</v>
      </c>
      <c r="E1927" s="198">
        <v>13605</v>
      </c>
      <c r="F1927" s="198">
        <v>6905</v>
      </c>
      <c r="G1927" s="198">
        <v>6700</v>
      </c>
      <c r="H1927" s="198">
        <v>0</v>
      </c>
      <c r="I1927" s="163"/>
      <c r="J1927" s="166">
        <v>0</v>
      </c>
      <c r="K1927" s="167" t="s">
        <v>1464</v>
      </c>
      <c r="L1927" s="167">
        <v>744</v>
      </c>
      <c r="M1927" s="168">
        <v>46096</v>
      </c>
      <c r="N1927" s="192" t="s">
        <v>2665</v>
      </c>
      <c r="O1927" s="181" t="s">
        <v>1016</v>
      </c>
    </row>
    <row r="1928" spans="1:15" x14ac:dyDescent="0.25">
      <c r="A1928" s="154">
        <v>1928</v>
      </c>
      <c r="B1928" s="181" t="s">
        <v>2726</v>
      </c>
      <c r="C1928" s="197">
        <v>1036800</v>
      </c>
      <c r="D1928" s="164" t="s">
        <v>2660</v>
      </c>
      <c r="E1928" s="198">
        <v>126120</v>
      </c>
      <c r="F1928" s="198">
        <v>63162.5</v>
      </c>
      <c r="G1928" s="198">
        <v>62957.5</v>
      </c>
      <c r="H1928" s="198">
        <v>0</v>
      </c>
      <c r="I1928" s="163"/>
      <c r="J1928" s="166">
        <v>0</v>
      </c>
      <c r="K1928" s="167" t="s">
        <v>1464</v>
      </c>
      <c r="L1928" s="167">
        <v>744</v>
      </c>
      <c r="M1928" s="168">
        <v>46096</v>
      </c>
      <c r="N1928" s="199" t="s">
        <v>2664</v>
      </c>
      <c r="O1928" s="181" t="s">
        <v>215</v>
      </c>
    </row>
    <row r="1929" spans="1:15" x14ac:dyDescent="0.25">
      <c r="A1929" s="154">
        <v>1929</v>
      </c>
      <c r="B1929" s="181" t="s">
        <v>2727</v>
      </c>
      <c r="C1929" s="197">
        <v>72804566</v>
      </c>
      <c r="D1929" s="164" t="s">
        <v>2660</v>
      </c>
      <c r="E1929" s="198">
        <v>221000</v>
      </c>
      <c r="F1929" s="198">
        <v>110602.5</v>
      </c>
      <c r="G1929" s="198">
        <v>110397.5</v>
      </c>
      <c r="H1929" s="198">
        <v>0</v>
      </c>
      <c r="I1929" s="163"/>
      <c r="J1929" s="166">
        <v>0</v>
      </c>
      <c r="K1929" s="167" t="s">
        <v>1464</v>
      </c>
      <c r="L1929" s="167">
        <v>744</v>
      </c>
      <c r="M1929" s="168">
        <v>46096</v>
      </c>
      <c r="N1929" s="192" t="s">
        <v>2663</v>
      </c>
      <c r="O1929" s="181" t="s">
        <v>185</v>
      </c>
    </row>
    <row r="1930" spans="1:15" x14ac:dyDescent="0.25">
      <c r="A1930" s="154">
        <v>1930</v>
      </c>
      <c r="B1930" s="181" t="s">
        <v>2727</v>
      </c>
      <c r="C1930" s="197">
        <v>72804566</v>
      </c>
      <c r="D1930" s="164" t="s">
        <v>2660</v>
      </c>
      <c r="E1930" s="198">
        <v>5756061</v>
      </c>
      <c r="F1930" s="198">
        <v>739563</v>
      </c>
      <c r="G1930" s="198">
        <v>5016498</v>
      </c>
      <c r="H1930" s="198">
        <v>0</v>
      </c>
      <c r="I1930" s="163"/>
      <c r="J1930" s="166">
        <v>0</v>
      </c>
      <c r="K1930" s="167" t="s">
        <v>1464</v>
      </c>
      <c r="L1930" s="167">
        <v>744</v>
      </c>
      <c r="M1930" s="168">
        <v>46096</v>
      </c>
      <c r="N1930" s="192" t="s">
        <v>2666</v>
      </c>
      <c r="O1930" s="181" t="s">
        <v>227</v>
      </c>
    </row>
    <row r="1931" spans="1:15" x14ac:dyDescent="0.25">
      <c r="A1931" s="154">
        <v>1931</v>
      </c>
      <c r="B1931" s="181" t="s">
        <v>2727</v>
      </c>
      <c r="C1931" s="197">
        <v>72804566</v>
      </c>
      <c r="D1931" s="164" t="s">
        <v>2660</v>
      </c>
      <c r="E1931" s="198">
        <v>492186</v>
      </c>
      <c r="F1931" s="198">
        <v>246195.5</v>
      </c>
      <c r="G1931" s="198">
        <v>245990.5</v>
      </c>
      <c r="H1931" s="198">
        <v>0</v>
      </c>
      <c r="I1931" s="163"/>
      <c r="J1931" s="166">
        <v>0</v>
      </c>
      <c r="K1931" s="167" t="s">
        <v>1464</v>
      </c>
      <c r="L1931" s="167">
        <v>744</v>
      </c>
      <c r="M1931" s="168">
        <v>46096</v>
      </c>
      <c r="N1931" s="192" t="s">
        <v>2665</v>
      </c>
      <c r="O1931" s="181" t="s">
        <v>1016</v>
      </c>
    </row>
    <row r="1932" spans="1:15" x14ac:dyDescent="0.25">
      <c r="A1932" s="154">
        <v>1932</v>
      </c>
      <c r="B1932" s="181" t="s">
        <v>2727</v>
      </c>
      <c r="C1932" s="197">
        <v>72804566</v>
      </c>
      <c r="D1932" s="164" t="s">
        <v>2660</v>
      </c>
      <c r="E1932" s="198">
        <v>11547451</v>
      </c>
      <c r="F1932" s="198">
        <v>3250690</v>
      </c>
      <c r="G1932" s="198">
        <v>8296761</v>
      </c>
      <c r="H1932" s="198">
        <v>0</v>
      </c>
      <c r="I1932" s="163"/>
      <c r="J1932" s="166">
        <v>0</v>
      </c>
      <c r="K1932" s="167" t="s">
        <v>1464</v>
      </c>
      <c r="L1932" s="167">
        <v>744</v>
      </c>
      <c r="M1932" s="168">
        <v>46096</v>
      </c>
      <c r="N1932" s="199" t="s">
        <v>2664</v>
      </c>
      <c r="O1932" s="181" t="s">
        <v>215</v>
      </c>
    </row>
    <row r="1933" spans="1:15" x14ac:dyDescent="0.25">
      <c r="A1933" s="154">
        <v>1933</v>
      </c>
      <c r="B1933" s="181" t="s">
        <v>2727</v>
      </c>
      <c r="C1933" s="197">
        <v>72804566</v>
      </c>
      <c r="D1933" s="164" t="s">
        <v>2660</v>
      </c>
      <c r="E1933" s="198">
        <v>1088960</v>
      </c>
      <c r="F1933" s="198">
        <v>362800</v>
      </c>
      <c r="G1933" s="198">
        <v>726160</v>
      </c>
      <c r="H1933" s="198">
        <v>0</v>
      </c>
      <c r="I1933" s="163"/>
      <c r="J1933" s="166">
        <v>0</v>
      </c>
      <c r="K1933" s="167" t="s">
        <v>1464</v>
      </c>
      <c r="L1933" s="167">
        <v>744</v>
      </c>
      <c r="M1933" s="168">
        <v>46096</v>
      </c>
      <c r="N1933" s="192" t="s">
        <v>2728</v>
      </c>
      <c r="O1933" s="181" t="s">
        <v>325</v>
      </c>
    </row>
    <row r="1934" spans="1:15" x14ac:dyDescent="0.25">
      <c r="A1934" s="154">
        <v>1934</v>
      </c>
      <c r="B1934" s="181" t="s">
        <v>2727</v>
      </c>
      <c r="C1934" s="197">
        <v>72804566</v>
      </c>
      <c r="D1934" s="164" t="s">
        <v>2660</v>
      </c>
      <c r="E1934" s="198">
        <v>957800</v>
      </c>
      <c r="F1934" s="198">
        <v>0</v>
      </c>
      <c r="G1934" s="198">
        <v>957800</v>
      </c>
      <c r="H1934" s="198">
        <v>0</v>
      </c>
      <c r="I1934" s="163"/>
      <c r="J1934" s="166">
        <v>0</v>
      </c>
      <c r="K1934" s="167" t="s">
        <v>1464</v>
      </c>
      <c r="L1934" s="167">
        <v>744</v>
      </c>
      <c r="M1934" s="168">
        <v>46096</v>
      </c>
      <c r="N1934" s="192" t="s">
        <v>1582</v>
      </c>
      <c r="O1934" s="181" t="s">
        <v>333</v>
      </c>
    </row>
    <row r="1935" spans="1:15" x14ac:dyDescent="0.25">
      <c r="A1935" s="154">
        <v>1935</v>
      </c>
      <c r="B1935" s="181" t="s">
        <v>2729</v>
      </c>
      <c r="C1935" s="197">
        <v>16889608</v>
      </c>
      <c r="D1935" s="164" t="s">
        <v>2660</v>
      </c>
      <c r="E1935" s="198">
        <v>271600</v>
      </c>
      <c r="F1935" s="198">
        <v>135902.5</v>
      </c>
      <c r="G1935" s="198">
        <v>135697.5</v>
      </c>
      <c r="H1935" s="198">
        <v>0</v>
      </c>
      <c r="I1935" s="163"/>
      <c r="J1935" s="166">
        <v>0</v>
      </c>
      <c r="K1935" s="167" t="s">
        <v>1464</v>
      </c>
      <c r="L1935" s="167">
        <v>744</v>
      </c>
      <c r="M1935" s="168">
        <v>46096</v>
      </c>
      <c r="N1935" s="192" t="s">
        <v>2663</v>
      </c>
      <c r="O1935" s="181" t="s">
        <v>185</v>
      </c>
    </row>
    <row r="1936" spans="1:15" x14ac:dyDescent="0.25">
      <c r="A1936" s="154">
        <v>1936</v>
      </c>
      <c r="B1936" s="181" t="s">
        <v>2729</v>
      </c>
      <c r="C1936" s="197">
        <v>16889608</v>
      </c>
      <c r="D1936" s="164" t="s">
        <v>2660</v>
      </c>
      <c r="E1936" s="198">
        <v>616205</v>
      </c>
      <c r="F1936" s="198">
        <v>308205</v>
      </c>
      <c r="G1936" s="198">
        <v>308000</v>
      </c>
      <c r="H1936" s="198">
        <v>0</v>
      </c>
      <c r="I1936" s="163"/>
      <c r="J1936" s="166">
        <v>0</v>
      </c>
      <c r="K1936" s="167" t="s">
        <v>1464</v>
      </c>
      <c r="L1936" s="167">
        <v>744</v>
      </c>
      <c r="M1936" s="168">
        <v>46096</v>
      </c>
      <c r="N1936" s="192" t="s">
        <v>2666</v>
      </c>
      <c r="O1936" s="181" t="s">
        <v>227</v>
      </c>
    </row>
    <row r="1937" spans="1:15" x14ac:dyDescent="0.25">
      <c r="A1937" s="154">
        <v>1937</v>
      </c>
      <c r="B1937" s="181" t="s">
        <v>2729</v>
      </c>
      <c r="C1937" s="197">
        <v>16889608</v>
      </c>
      <c r="D1937" s="164" t="s">
        <v>2660</v>
      </c>
      <c r="E1937" s="198">
        <v>58695</v>
      </c>
      <c r="F1937" s="198">
        <v>29450</v>
      </c>
      <c r="G1937" s="198">
        <v>29245</v>
      </c>
      <c r="H1937" s="198">
        <v>0</v>
      </c>
      <c r="I1937" s="163"/>
      <c r="J1937" s="166">
        <v>0</v>
      </c>
      <c r="K1937" s="167" t="s">
        <v>1464</v>
      </c>
      <c r="L1937" s="167">
        <v>744</v>
      </c>
      <c r="M1937" s="168">
        <v>46096</v>
      </c>
      <c r="N1937" s="192" t="s">
        <v>2665</v>
      </c>
      <c r="O1937" s="181" t="s">
        <v>1016</v>
      </c>
    </row>
    <row r="1938" spans="1:15" x14ac:dyDescent="0.25">
      <c r="A1938" s="154">
        <v>1938</v>
      </c>
      <c r="B1938" s="181" t="s">
        <v>2729</v>
      </c>
      <c r="C1938" s="197">
        <v>16889608</v>
      </c>
      <c r="D1938" s="164" t="s">
        <v>2660</v>
      </c>
      <c r="E1938" s="198">
        <v>2958775</v>
      </c>
      <c r="F1938" s="198">
        <v>968283</v>
      </c>
      <c r="G1938" s="198">
        <v>1990492</v>
      </c>
      <c r="H1938" s="198">
        <v>0</v>
      </c>
      <c r="I1938" s="163"/>
      <c r="J1938" s="166">
        <v>0</v>
      </c>
      <c r="K1938" s="167" t="s">
        <v>1464</v>
      </c>
      <c r="L1938" s="167">
        <v>744</v>
      </c>
      <c r="M1938" s="168">
        <v>46096</v>
      </c>
      <c r="N1938" s="199" t="s">
        <v>2664</v>
      </c>
      <c r="O1938" s="181" t="s">
        <v>215</v>
      </c>
    </row>
    <row r="1939" spans="1:15" x14ac:dyDescent="0.25">
      <c r="A1939" s="154">
        <v>1939</v>
      </c>
      <c r="B1939" s="181" t="s">
        <v>2730</v>
      </c>
      <c r="C1939" s="197">
        <v>804200</v>
      </c>
      <c r="D1939" s="164" t="s">
        <v>2660</v>
      </c>
      <c r="E1939" s="198">
        <v>7907</v>
      </c>
      <c r="F1939" s="198">
        <v>4056</v>
      </c>
      <c r="G1939" s="198">
        <v>3851</v>
      </c>
      <c r="H1939" s="198">
        <v>0</v>
      </c>
      <c r="I1939" s="163"/>
      <c r="J1939" s="166">
        <v>0</v>
      </c>
      <c r="K1939" s="167" t="s">
        <v>1464</v>
      </c>
      <c r="L1939" s="167">
        <v>744</v>
      </c>
      <c r="M1939" s="168">
        <v>46096</v>
      </c>
      <c r="N1939" s="192" t="s">
        <v>2666</v>
      </c>
      <c r="O1939" s="181" t="s">
        <v>227</v>
      </c>
    </row>
    <row r="1940" spans="1:15" x14ac:dyDescent="0.25">
      <c r="A1940" s="154">
        <v>1940</v>
      </c>
      <c r="B1940" s="181" t="s">
        <v>2730</v>
      </c>
      <c r="C1940" s="197">
        <v>804200</v>
      </c>
      <c r="D1940" s="164" t="s">
        <v>2660</v>
      </c>
      <c r="E1940" s="198">
        <v>2658</v>
      </c>
      <c r="F1940" s="198">
        <v>1431.5</v>
      </c>
      <c r="G1940" s="198">
        <v>1226.5</v>
      </c>
      <c r="H1940" s="198">
        <v>0</v>
      </c>
      <c r="I1940" s="163"/>
      <c r="J1940" s="166">
        <v>0</v>
      </c>
      <c r="K1940" s="167" t="s">
        <v>1464</v>
      </c>
      <c r="L1940" s="167">
        <v>744</v>
      </c>
      <c r="M1940" s="168">
        <v>46096</v>
      </c>
      <c r="N1940" s="192" t="s">
        <v>2665</v>
      </c>
      <c r="O1940" s="181" t="s">
        <v>1016</v>
      </c>
    </row>
    <row r="1941" spans="1:15" x14ac:dyDescent="0.25">
      <c r="A1941" s="154">
        <v>1941</v>
      </c>
      <c r="B1941" s="181" t="s">
        <v>2730</v>
      </c>
      <c r="C1941" s="197">
        <v>804200</v>
      </c>
      <c r="D1941" s="164" t="s">
        <v>2660</v>
      </c>
      <c r="E1941" s="198">
        <v>74845</v>
      </c>
      <c r="F1941" s="198">
        <v>37525</v>
      </c>
      <c r="G1941" s="198">
        <v>37320</v>
      </c>
      <c r="H1941" s="198">
        <v>0</v>
      </c>
      <c r="I1941" s="163"/>
      <c r="J1941" s="166">
        <v>0</v>
      </c>
      <c r="K1941" s="167" t="s">
        <v>1464</v>
      </c>
      <c r="L1941" s="167">
        <v>744</v>
      </c>
      <c r="M1941" s="168">
        <v>46096</v>
      </c>
      <c r="N1941" s="199" t="s">
        <v>2664</v>
      </c>
      <c r="O1941" s="181" t="s">
        <v>215</v>
      </c>
    </row>
    <row r="1942" spans="1:15" x14ac:dyDescent="0.25">
      <c r="A1942" s="154">
        <v>1942</v>
      </c>
      <c r="B1942" s="181" t="s">
        <v>2731</v>
      </c>
      <c r="C1942" s="197">
        <v>11469400</v>
      </c>
      <c r="D1942" s="164" t="s">
        <v>2660</v>
      </c>
      <c r="E1942" s="198">
        <v>3000</v>
      </c>
      <c r="F1942" s="198">
        <v>1602.5</v>
      </c>
      <c r="G1942" s="198">
        <v>1397.5</v>
      </c>
      <c r="H1942" s="198">
        <v>0</v>
      </c>
      <c r="I1942" s="163"/>
      <c r="J1942" s="166">
        <v>0</v>
      </c>
      <c r="K1942" s="167" t="s">
        <v>1464</v>
      </c>
      <c r="L1942" s="167">
        <v>744</v>
      </c>
      <c r="M1942" s="168">
        <v>46096</v>
      </c>
      <c r="N1942" s="192" t="s">
        <v>2663</v>
      </c>
      <c r="O1942" s="181" t="s">
        <v>185</v>
      </c>
    </row>
    <row r="1943" spans="1:15" x14ac:dyDescent="0.25">
      <c r="A1943" s="154">
        <v>1943</v>
      </c>
      <c r="B1943" s="181" t="s">
        <v>2731</v>
      </c>
      <c r="C1943" s="197">
        <v>11469400</v>
      </c>
      <c r="D1943" s="164" t="s">
        <v>2660</v>
      </c>
      <c r="E1943" s="198">
        <v>1694685</v>
      </c>
      <c r="F1943" s="198">
        <v>847445</v>
      </c>
      <c r="G1943" s="198">
        <v>847240</v>
      </c>
      <c r="H1943" s="198">
        <v>0</v>
      </c>
      <c r="I1943" s="163"/>
      <c r="J1943" s="166">
        <v>0</v>
      </c>
      <c r="K1943" s="167" t="s">
        <v>1464</v>
      </c>
      <c r="L1943" s="167">
        <v>744</v>
      </c>
      <c r="M1943" s="168">
        <v>46096</v>
      </c>
      <c r="N1943" s="192" t="s">
        <v>2666</v>
      </c>
      <c r="O1943" s="181" t="s">
        <v>227</v>
      </c>
    </row>
    <row r="1944" spans="1:15" x14ac:dyDescent="0.25">
      <c r="A1944" s="154">
        <v>1944</v>
      </c>
      <c r="B1944" s="181" t="s">
        <v>2731</v>
      </c>
      <c r="C1944" s="197">
        <v>11469400</v>
      </c>
      <c r="D1944" s="164" t="s">
        <v>2660</v>
      </c>
      <c r="E1944" s="198">
        <v>7689</v>
      </c>
      <c r="F1944" s="198">
        <v>3947</v>
      </c>
      <c r="G1944" s="198">
        <v>3742</v>
      </c>
      <c r="H1944" s="198">
        <v>0</v>
      </c>
      <c r="I1944" s="163"/>
      <c r="J1944" s="166">
        <v>0</v>
      </c>
      <c r="K1944" s="167" t="s">
        <v>1464</v>
      </c>
      <c r="L1944" s="167">
        <v>744</v>
      </c>
      <c r="M1944" s="168">
        <v>46096</v>
      </c>
      <c r="N1944" s="192" t="s">
        <v>2665</v>
      </c>
      <c r="O1944" s="181" t="s">
        <v>1016</v>
      </c>
    </row>
    <row r="1945" spans="1:15" x14ac:dyDescent="0.25">
      <c r="A1945" s="154">
        <v>1945</v>
      </c>
      <c r="B1945" s="181" t="s">
        <v>2731</v>
      </c>
      <c r="C1945" s="197">
        <v>11469400</v>
      </c>
      <c r="D1945" s="164" t="s">
        <v>2660</v>
      </c>
      <c r="E1945" s="198">
        <v>3654522</v>
      </c>
      <c r="F1945" s="198">
        <v>868950</v>
      </c>
      <c r="G1945" s="198">
        <v>2785572</v>
      </c>
      <c r="H1945" s="198">
        <v>0</v>
      </c>
      <c r="I1945" s="163"/>
      <c r="J1945" s="166">
        <v>0</v>
      </c>
      <c r="K1945" s="167" t="s">
        <v>1464</v>
      </c>
      <c r="L1945" s="167">
        <v>744</v>
      </c>
      <c r="M1945" s="168">
        <v>46096</v>
      </c>
      <c r="N1945" s="199" t="s">
        <v>2664</v>
      </c>
      <c r="O1945" s="181" t="s">
        <v>215</v>
      </c>
    </row>
    <row r="1946" spans="1:15" x14ac:dyDescent="0.25">
      <c r="A1946" s="154">
        <v>1946</v>
      </c>
      <c r="B1946" s="181" t="s">
        <v>2732</v>
      </c>
      <c r="C1946" s="197">
        <v>11251738</v>
      </c>
      <c r="D1946" s="164" t="s">
        <v>2660</v>
      </c>
      <c r="E1946" s="198">
        <v>248900</v>
      </c>
      <c r="F1946" s="198">
        <v>124552.5</v>
      </c>
      <c r="G1946" s="198">
        <v>124347.5</v>
      </c>
      <c r="H1946" s="198">
        <v>0</v>
      </c>
      <c r="I1946" s="163"/>
      <c r="J1946" s="166">
        <v>0</v>
      </c>
      <c r="K1946" s="167" t="s">
        <v>1464</v>
      </c>
      <c r="L1946" s="167">
        <v>744</v>
      </c>
      <c r="M1946" s="168">
        <v>46096</v>
      </c>
      <c r="N1946" s="192" t="s">
        <v>2663</v>
      </c>
      <c r="O1946" s="181" t="s">
        <v>185</v>
      </c>
    </row>
    <row r="1947" spans="1:15" x14ac:dyDescent="0.25">
      <c r="A1947" s="154">
        <v>1947</v>
      </c>
      <c r="B1947" s="181" t="s">
        <v>2732</v>
      </c>
      <c r="C1947" s="197">
        <v>11251738</v>
      </c>
      <c r="D1947" s="164" t="s">
        <v>2660</v>
      </c>
      <c r="E1947" s="198">
        <v>66393</v>
      </c>
      <c r="F1947" s="198">
        <v>33299</v>
      </c>
      <c r="G1947" s="198">
        <v>33094</v>
      </c>
      <c r="H1947" s="198">
        <v>0</v>
      </c>
      <c r="I1947" s="163"/>
      <c r="J1947" s="166">
        <v>0</v>
      </c>
      <c r="K1947" s="167" t="s">
        <v>1464</v>
      </c>
      <c r="L1947" s="167">
        <v>744</v>
      </c>
      <c r="M1947" s="168">
        <v>46096</v>
      </c>
      <c r="N1947" s="192" t="s">
        <v>2666</v>
      </c>
      <c r="O1947" s="181" t="s">
        <v>227</v>
      </c>
    </row>
    <row r="1948" spans="1:15" x14ac:dyDescent="0.25">
      <c r="A1948" s="154">
        <v>1948</v>
      </c>
      <c r="B1948" s="181" t="s">
        <v>2732</v>
      </c>
      <c r="C1948" s="197">
        <v>11251738</v>
      </c>
      <c r="D1948" s="164" t="s">
        <v>2660</v>
      </c>
      <c r="E1948" s="198">
        <v>59057</v>
      </c>
      <c r="F1948" s="198">
        <v>29631</v>
      </c>
      <c r="G1948" s="198">
        <v>29426</v>
      </c>
      <c r="H1948" s="198">
        <v>0</v>
      </c>
      <c r="I1948" s="163"/>
      <c r="J1948" s="166">
        <v>0</v>
      </c>
      <c r="K1948" s="167" t="s">
        <v>1464</v>
      </c>
      <c r="L1948" s="167">
        <v>744</v>
      </c>
      <c r="M1948" s="168">
        <v>46096</v>
      </c>
      <c r="N1948" s="192" t="s">
        <v>2665</v>
      </c>
      <c r="O1948" s="181" t="s">
        <v>1016</v>
      </c>
    </row>
    <row r="1949" spans="1:15" x14ac:dyDescent="0.25">
      <c r="A1949" s="154">
        <v>1949</v>
      </c>
      <c r="B1949" s="181" t="s">
        <v>2732</v>
      </c>
      <c r="C1949" s="197">
        <v>11251738</v>
      </c>
      <c r="D1949" s="164" t="s">
        <v>2660</v>
      </c>
      <c r="E1949" s="198">
        <v>1765599</v>
      </c>
      <c r="F1949" s="198">
        <v>882902</v>
      </c>
      <c r="G1949" s="198">
        <v>882697</v>
      </c>
      <c r="H1949" s="198">
        <v>0</v>
      </c>
      <c r="I1949" s="163"/>
      <c r="J1949" s="166">
        <v>0</v>
      </c>
      <c r="K1949" s="167" t="s">
        <v>1464</v>
      </c>
      <c r="L1949" s="167">
        <v>744</v>
      </c>
      <c r="M1949" s="168">
        <v>46096</v>
      </c>
      <c r="N1949" s="199" t="s">
        <v>2664</v>
      </c>
      <c r="O1949" s="181" t="s">
        <v>215</v>
      </c>
    </row>
    <row r="1950" spans="1:15" x14ac:dyDescent="0.25">
      <c r="A1950" s="154">
        <v>1950</v>
      </c>
      <c r="B1950" s="181" t="s">
        <v>2733</v>
      </c>
      <c r="C1950" s="197">
        <v>1798200</v>
      </c>
      <c r="D1950" s="164" t="s">
        <v>2660</v>
      </c>
      <c r="E1950" s="198">
        <v>8000</v>
      </c>
      <c r="F1950" s="198">
        <v>4102.5</v>
      </c>
      <c r="G1950" s="198">
        <v>3897.5</v>
      </c>
      <c r="H1950" s="198">
        <v>0</v>
      </c>
      <c r="I1950" s="163"/>
      <c r="J1950" s="166">
        <v>0</v>
      </c>
      <c r="K1950" s="167" t="s">
        <v>1464</v>
      </c>
      <c r="L1950" s="167">
        <v>744</v>
      </c>
      <c r="M1950" s="168">
        <v>46096</v>
      </c>
      <c r="N1950" s="192" t="s">
        <v>2663</v>
      </c>
      <c r="O1950" s="181" t="s">
        <v>185</v>
      </c>
    </row>
    <row r="1951" spans="1:15" x14ac:dyDescent="0.25">
      <c r="A1951" s="154">
        <v>1951</v>
      </c>
      <c r="B1951" s="181" t="s">
        <v>2733</v>
      </c>
      <c r="C1951" s="197">
        <v>1798200</v>
      </c>
      <c r="D1951" s="164" t="s">
        <v>2660</v>
      </c>
      <c r="E1951" s="198">
        <v>35280</v>
      </c>
      <c r="F1951" s="198">
        <v>17742.5</v>
      </c>
      <c r="G1951" s="198">
        <v>17537.5</v>
      </c>
      <c r="H1951" s="198">
        <v>0</v>
      </c>
      <c r="I1951" s="163"/>
      <c r="J1951" s="166">
        <v>0</v>
      </c>
      <c r="K1951" s="167" t="s">
        <v>1464</v>
      </c>
      <c r="L1951" s="167">
        <v>744</v>
      </c>
      <c r="M1951" s="168">
        <v>46096</v>
      </c>
      <c r="N1951" s="192" t="s">
        <v>2666</v>
      </c>
      <c r="O1951" s="181" t="s">
        <v>227</v>
      </c>
    </row>
    <row r="1952" spans="1:15" x14ac:dyDescent="0.25">
      <c r="A1952" s="154">
        <v>1952</v>
      </c>
      <c r="B1952" s="181" t="s">
        <v>2733</v>
      </c>
      <c r="C1952" s="197">
        <v>1798200</v>
      </c>
      <c r="D1952" s="164" t="s">
        <v>2660</v>
      </c>
      <c r="E1952" s="198">
        <v>3142</v>
      </c>
      <c r="F1952" s="198">
        <v>1673.5</v>
      </c>
      <c r="G1952" s="198">
        <v>1468.5</v>
      </c>
      <c r="H1952" s="198">
        <v>0</v>
      </c>
      <c r="I1952" s="163"/>
      <c r="J1952" s="166">
        <v>0</v>
      </c>
      <c r="K1952" s="167" t="s">
        <v>1464</v>
      </c>
      <c r="L1952" s="167">
        <v>744</v>
      </c>
      <c r="M1952" s="168">
        <v>46096</v>
      </c>
      <c r="N1952" s="192" t="s">
        <v>2665</v>
      </c>
      <c r="O1952" s="181" t="s">
        <v>1016</v>
      </c>
    </row>
    <row r="1953" spans="1:15" x14ac:dyDescent="0.25">
      <c r="A1953" s="154">
        <v>1953</v>
      </c>
      <c r="B1953" s="181" t="s">
        <v>2733</v>
      </c>
      <c r="C1953" s="197">
        <v>1798200</v>
      </c>
      <c r="D1953" s="164" t="s">
        <v>2660</v>
      </c>
      <c r="E1953" s="198">
        <v>185530</v>
      </c>
      <c r="F1953" s="198">
        <v>92867.5</v>
      </c>
      <c r="G1953" s="198">
        <v>92662.5</v>
      </c>
      <c r="H1953" s="198">
        <v>0</v>
      </c>
      <c r="I1953" s="163"/>
      <c r="J1953" s="166">
        <v>0</v>
      </c>
      <c r="K1953" s="167" t="s">
        <v>1464</v>
      </c>
      <c r="L1953" s="167">
        <v>744</v>
      </c>
      <c r="M1953" s="168">
        <v>46096</v>
      </c>
      <c r="N1953" s="199" t="s">
        <v>2664</v>
      </c>
      <c r="O1953" s="181" t="s">
        <v>215</v>
      </c>
    </row>
    <row r="1954" spans="1:15" x14ac:dyDescent="0.25">
      <c r="A1954" s="154">
        <v>1954</v>
      </c>
      <c r="B1954" s="181" t="s">
        <v>2734</v>
      </c>
      <c r="C1954" s="197">
        <v>7557680</v>
      </c>
      <c r="D1954" s="164" t="s">
        <v>2660</v>
      </c>
      <c r="E1954" s="198">
        <v>624808</v>
      </c>
      <c r="F1954" s="198">
        <v>312506.5</v>
      </c>
      <c r="G1954" s="198">
        <v>312301.5</v>
      </c>
      <c r="H1954" s="198">
        <v>0</v>
      </c>
      <c r="I1954" s="163"/>
      <c r="J1954" s="166">
        <v>0</v>
      </c>
      <c r="K1954" s="167" t="s">
        <v>1464</v>
      </c>
      <c r="L1954" s="167">
        <v>744</v>
      </c>
      <c r="M1954" s="168">
        <v>46096</v>
      </c>
      <c r="N1954" s="192" t="s">
        <v>2666</v>
      </c>
      <c r="O1954" s="181" t="s">
        <v>227</v>
      </c>
    </row>
    <row r="1955" spans="1:15" x14ac:dyDescent="0.25">
      <c r="A1955" s="154">
        <v>1955</v>
      </c>
      <c r="B1955" s="181" t="s">
        <v>2734</v>
      </c>
      <c r="C1955" s="197">
        <v>7557680</v>
      </c>
      <c r="D1955" s="164" t="s">
        <v>2660</v>
      </c>
      <c r="E1955" s="198">
        <v>174560</v>
      </c>
      <c r="F1955" s="198">
        <v>87382.5</v>
      </c>
      <c r="G1955" s="198">
        <v>87177.5</v>
      </c>
      <c r="H1955" s="198">
        <v>0</v>
      </c>
      <c r="I1955" s="163"/>
      <c r="J1955" s="166">
        <v>0</v>
      </c>
      <c r="K1955" s="167" t="s">
        <v>1464</v>
      </c>
      <c r="L1955" s="167">
        <v>744</v>
      </c>
      <c r="M1955" s="168">
        <v>46096</v>
      </c>
      <c r="N1955" s="192" t="s">
        <v>2665</v>
      </c>
      <c r="O1955" s="181" t="s">
        <v>1016</v>
      </c>
    </row>
    <row r="1956" spans="1:15" x14ac:dyDescent="0.25">
      <c r="A1956" s="154">
        <v>1956</v>
      </c>
      <c r="B1956" s="181" t="s">
        <v>2734</v>
      </c>
      <c r="C1956" s="197">
        <v>7557680</v>
      </c>
      <c r="D1956" s="164" t="s">
        <v>2660</v>
      </c>
      <c r="E1956" s="198">
        <v>1242198</v>
      </c>
      <c r="F1956" s="198">
        <v>621201.5</v>
      </c>
      <c r="G1956" s="198">
        <v>620996.5</v>
      </c>
      <c r="H1956" s="198">
        <v>0</v>
      </c>
      <c r="I1956" s="163"/>
      <c r="J1956" s="166">
        <v>0</v>
      </c>
      <c r="K1956" s="167" t="s">
        <v>1464</v>
      </c>
      <c r="L1956" s="167">
        <v>744</v>
      </c>
      <c r="M1956" s="168">
        <v>46096</v>
      </c>
      <c r="N1956" s="199" t="s">
        <v>2664</v>
      </c>
      <c r="O1956" s="181" t="s">
        <v>215</v>
      </c>
    </row>
    <row r="1957" spans="1:15" x14ac:dyDescent="0.25">
      <c r="A1957" s="154">
        <v>1957</v>
      </c>
      <c r="B1957" s="181" t="s">
        <v>2735</v>
      </c>
      <c r="C1957" s="197">
        <v>1460480</v>
      </c>
      <c r="D1957" s="164" t="s">
        <v>2660</v>
      </c>
      <c r="E1957" s="198">
        <v>8000</v>
      </c>
      <c r="F1957" s="198">
        <v>4102</v>
      </c>
      <c r="G1957" s="198">
        <v>3898</v>
      </c>
      <c r="H1957" s="198">
        <v>0</v>
      </c>
      <c r="I1957" s="163"/>
      <c r="J1957" s="166">
        <v>0</v>
      </c>
      <c r="K1957" s="167" t="s">
        <v>1464</v>
      </c>
      <c r="L1957" s="167">
        <v>744</v>
      </c>
      <c r="M1957" s="168">
        <v>46096</v>
      </c>
      <c r="N1957" s="192" t="s">
        <v>2663</v>
      </c>
      <c r="O1957" s="181" t="s">
        <v>185</v>
      </c>
    </row>
    <row r="1958" spans="1:15" x14ac:dyDescent="0.25">
      <c r="A1958" s="154">
        <v>1958</v>
      </c>
      <c r="B1958" s="181" t="s">
        <v>2735</v>
      </c>
      <c r="C1958" s="197">
        <v>1460480</v>
      </c>
      <c r="D1958" s="164" t="s">
        <v>2660</v>
      </c>
      <c r="E1958" s="198">
        <v>14630</v>
      </c>
      <c r="F1958" s="198">
        <v>7417</v>
      </c>
      <c r="G1958" s="198">
        <v>7213</v>
      </c>
      <c r="H1958" s="198">
        <v>0</v>
      </c>
      <c r="I1958" s="163"/>
      <c r="J1958" s="166">
        <v>0</v>
      </c>
      <c r="K1958" s="167" t="s">
        <v>1464</v>
      </c>
      <c r="L1958" s="167">
        <v>744</v>
      </c>
      <c r="M1958" s="168">
        <v>46096</v>
      </c>
      <c r="N1958" s="192" t="s">
        <v>2666</v>
      </c>
      <c r="O1958" s="181" t="s">
        <v>227</v>
      </c>
    </row>
    <row r="1959" spans="1:15" x14ac:dyDescent="0.25">
      <c r="A1959" s="154">
        <v>1959</v>
      </c>
      <c r="B1959" s="181" t="s">
        <v>2735</v>
      </c>
      <c r="C1959" s="197">
        <v>1460480</v>
      </c>
      <c r="D1959" s="164" t="s">
        <v>2660</v>
      </c>
      <c r="E1959" s="198">
        <v>6767</v>
      </c>
      <c r="F1959" s="198">
        <v>3486</v>
      </c>
      <c r="G1959" s="198">
        <v>3281</v>
      </c>
      <c r="H1959" s="198">
        <v>0</v>
      </c>
      <c r="I1959" s="163"/>
      <c r="J1959" s="166">
        <v>0</v>
      </c>
      <c r="K1959" s="167" t="s">
        <v>1464</v>
      </c>
      <c r="L1959" s="167">
        <v>744</v>
      </c>
      <c r="M1959" s="168">
        <v>46096</v>
      </c>
      <c r="N1959" s="192" t="s">
        <v>2665</v>
      </c>
      <c r="O1959" s="181" t="s">
        <v>1016</v>
      </c>
    </row>
    <row r="1960" spans="1:15" x14ac:dyDescent="0.25">
      <c r="A1960" s="154">
        <v>1960</v>
      </c>
      <c r="B1960" s="181" t="s">
        <v>2735</v>
      </c>
      <c r="C1960" s="197">
        <v>1460480</v>
      </c>
      <c r="D1960" s="164" t="s">
        <v>2660</v>
      </c>
      <c r="E1960" s="198">
        <v>282295</v>
      </c>
      <c r="F1960" s="198">
        <v>141250</v>
      </c>
      <c r="G1960" s="198">
        <v>141045</v>
      </c>
      <c r="H1960" s="198">
        <v>0</v>
      </c>
      <c r="I1960" s="163"/>
      <c r="J1960" s="166">
        <v>0</v>
      </c>
      <c r="K1960" s="167" t="s">
        <v>1464</v>
      </c>
      <c r="L1960" s="167">
        <v>744</v>
      </c>
      <c r="M1960" s="168">
        <v>46096</v>
      </c>
      <c r="N1960" s="199" t="s">
        <v>2664</v>
      </c>
      <c r="O1960" s="181" t="s">
        <v>215</v>
      </c>
    </row>
    <row r="1961" spans="1:15" x14ac:dyDescent="0.25">
      <c r="A1961" s="154">
        <v>1961</v>
      </c>
      <c r="B1961" s="181" t="s">
        <v>2736</v>
      </c>
      <c r="C1961" s="197">
        <v>87700</v>
      </c>
      <c r="D1961" s="164" t="s">
        <v>2660</v>
      </c>
      <c r="E1961" s="198">
        <v>6868</v>
      </c>
      <c r="F1961" s="198">
        <v>3536.5</v>
      </c>
      <c r="G1961" s="198">
        <v>3331.5</v>
      </c>
      <c r="H1961" s="198">
        <v>0</v>
      </c>
      <c r="I1961" s="163"/>
      <c r="J1961" s="166">
        <v>0</v>
      </c>
      <c r="K1961" s="167" t="s">
        <v>1464</v>
      </c>
      <c r="L1961" s="167">
        <v>744</v>
      </c>
      <c r="M1961" s="168">
        <v>46096</v>
      </c>
      <c r="N1961" s="192" t="s">
        <v>2661</v>
      </c>
      <c r="O1961" s="181" t="s">
        <v>212</v>
      </c>
    </row>
    <row r="1962" spans="1:15" x14ac:dyDescent="0.25">
      <c r="A1962" s="154">
        <v>1962</v>
      </c>
      <c r="B1962" s="181" t="s">
        <v>2737</v>
      </c>
      <c r="C1962" s="197">
        <v>24203566</v>
      </c>
      <c r="D1962" s="164" t="s">
        <v>2660</v>
      </c>
      <c r="E1962" s="198">
        <v>1085775</v>
      </c>
      <c r="F1962" s="198">
        <v>0</v>
      </c>
      <c r="G1962" s="198">
        <v>1085775</v>
      </c>
      <c r="H1962" s="198">
        <v>0</v>
      </c>
      <c r="I1962" s="163"/>
      <c r="J1962" s="166">
        <v>0</v>
      </c>
      <c r="K1962" s="167" t="s">
        <v>1464</v>
      </c>
      <c r="L1962" s="167">
        <v>744</v>
      </c>
      <c r="M1962" s="168">
        <v>46096</v>
      </c>
      <c r="N1962" s="192" t="s">
        <v>1582</v>
      </c>
      <c r="O1962" s="181" t="s">
        <v>325</v>
      </c>
    </row>
    <row r="1963" spans="1:15" x14ac:dyDescent="0.25">
      <c r="A1963" s="154">
        <v>1963</v>
      </c>
      <c r="B1963" s="181" t="s">
        <v>2737</v>
      </c>
      <c r="C1963" s="197">
        <v>24203566</v>
      </c>
      <c r="D1963" s="164" t="s">
        <v>2660</v>
      </c>
      <c r="E1963" s="198">
        <v>21054991</v>
      </c>
      <c r="F1963" s="198">
        <v>5610890</v>
      </c>
      <c r="G1963" s="198">
        <v>15444101</v>
      </c>
      <c r="H1963" s="198">
        <v>0</v>
      </c>
      <c r="I1963" s="163"/>
      <c r="J1963" s="166">
        <v>0</v>
      </c>
      <c r="K1963" s="167" t="s">
        <v>1464</v>
      </c>
      <c r="L1963" s="167">
        <v>744</v>
      </c>
      <c r="M1963" s="168">
        <v>46096</v>
      </c>
      <c r="N1963" s="192" t="s">
        <v>2668</v>
      </c>
      <c r="O1963" s="181" t="s">
        <v>413</v>
      </c>
    </row>
    <row r="1964" spans="1:15" x14ac:dyDescent="0.25">
      <c r="A1964" s="154">
        <v>1964</v>
      </c>
      <c r="B1964" s="181" t="s">
        <v>2737</v>
      </c>
      <c r="C1964" s="197">
        <v>24203566</v>
      </c>
      <c r="D1964" s="164" t="s">
        <v>2660</v>
      </c>
      <c r="E1964" s="198">
        <v>2062800</v>
      </c>
      <c r="F1964" s="198">
        <v>950860</v>
      </c>
      <c r="G1964" s="198">
        <v>1111940</v>
      </c>
      <c r="H1964" s="198">
        <v>0</v>
      </c>
      <c r="I1964" s="163"/>
      <c r="J1964" s="166">
        <v>0</v>
      </c>
      <c r="K1964" s="167" t="s">
        <v>1464</v>
      </c>
      <c r="L1964" s="167">
        <v>744</v>
      </c>
      <c r="M1964" s="168">
        <v>46096</v>
      </c>
      <c r="N1964" s="192" t="s">
        <v>2728</v>
      </c>
      <c r="O1964" s="181" t="s">
        <v>333</v>
      </c>
    </row>
    <row r="1965" spans="1:15" x14ac:dyDescent="0.25">
      <c r="A1965" s="154">
        <v>1965</v>
      </c>
      <c r="B1965" s="181" t="s">
        <v>2738</v>
      </c>
      <c r="C1965" s="197">
        <v>8272866</v>
      </c>
      <c r="D1965" s="164" t="s">
        <v>2660</v>
      </c>
      <c r="E1965" s="198">
        <v>55600</v>
      </c>
      <c r="F1965" s="198">
        <v>27902</v>
      </c>
      <c r="G1965" s="198">
        <v>27698</v>
      </c>
      <c r="H1965" s="198">
        <v>0</v>
      </c>
      <c r="I1965" s="163"/>
      <c r="J1965" s="166">
        <v>0</v>
      </c>
      <c r="K1965" s="167" t="s">
        <v>1464</v>
      </c>
      <c r="L1965" s="167">
        <v>744</v>
      </c>
      <c r="M1965" s="168">
        <v>46096</v>
      </c>
      <c r="N1965" s="192" t="s">
        <v>2663</v>
      </c>
      <c r="O1965" s="181" t="s">
        <v>185</v>
      </c>
    </row>
    <row r="1966" spans="1:15" x14ac:dyDescent="0.25">
      <c r="A1966" s="154">
        <v>1966</v>
      </c>
      <c r="B1966" s="181" t="s">
        <v>2738</v>
      </c>
      <c r="C1966" s="197">
        <v>8272866</v>
      </c>
      <c r="D1966" s="164" t="s">
        <v>2660</v>
      </c>
      <c r="E1966" s="198">
        <v>860219</v>
      </c>
      <c r="F1966" s="198">
        <v>430212</v>
      </c>
      <c r="G1966" s="198">
        <v>430007</v>
      </c>
      <c r="H1966" s="198">
        <v>0</v>
      </c>
      <c r="I1966" s="163"/>
      <c r="J1966" s="166">
        <v>0</v>
      </c>
      <c r="K1966" s="167" t="s">
        <v>1464</v>
      </c>
      <c r="L1966" s="167">
        <v>744</v>
      </c>
      <c r="M1966" s="168">
        <v>46096</v>
      </c>
      <c r="N1966" s="192" t="s">
        <v>2666</v>
      </c>
      <c r="O1966" s="181" t="s">
        <v>227</v>
      </c>
    </row>
    <row r="1967" spans="1:15" x14ac:dyDescent="0.25">
      <c r="A1967" s="154">
        <v>1967</v>
      </c>
      <c r="B1967" s="181" t="s">
        <v>2738</v>
      </c>
      <c r="C1967" s="197">
        <v>8272866</v>
      </c>
      <c r="D1967" s="164" t="s">
        <v>2660</v>
      </c>
      <c r="E1967" s="198">
        <v>255230</v>
      </c>
      <c r="F1967" s="198">
        <v>127718</v>
      </c>
      <c r="G1967" s="198">
        <v>127512</v>
      </c>
      <c r="H1967" s="198">
        <v>0</v>
      </c>
      <c r="I1967" s="163"/>
      <c r="J1967" s="166">
        <v>0</v>
      </c>
      <c r="K1967" s="167" t="s">
        <v>1464</v>
      </c>
      <c r="L1967" s="167">
        <v>744</v>
      </c>
      <c r="M1967" s="168">
        <v>46096</v>
      </c>
      <c r="N1967" s="192" t="s">
        <v>2665</v>
      </c>
      <c r="O1967" s="181" t="s">
        <v>1016</v>
      </c>
    </row>
    <row r="1968" spans="1:15" x14ac:dyDescent="0.25">
      <c r="A1968" s="154">
        <v>1968</v>
      </c>
      <c r="B1968" s="181" t="s">
        <v>2738</v>
      </c>
      <c r="C1968" s="197">
        <v>8272866</v>
      </c>
      <c r="D1968" s="164" t="s">
        <v>2660</v>
      </c>
      <c r="E1968" s="198">
        <v>777476</v>
      </c>
      <c r="F1968" s="198">
        <v>388840.5</v>
      </c>
      <c r="G1968" s="198">
        <v>388635.5</v>
      </c>
      <c r="H1968" s="198">
        <v>0</v>
      </c>
      <c r="I1968" s="163"/>
      <c r="J1968" s="166">
        <v>0</v>
      </c>
      <c r="K1968" s="167" t="s">
        <v>1464</v>
      </c>
      <c r="L1968" s="167">
        <v>744</v>
      </c>
      <c r="M1968" s="168">
        <v>46096</v>
      </c>
      <c r="N1968" s="199" t="s">
        <v>2664</v>
      </c>
      <c r="O1968" s="181" t="s">
        <v>215</v>
      </c>
    </row>
    <row r="1969" spans="1:15" x14ac:dyDescent="0.25">
      <c r="A1969" s="154">
        <v>1969</v>
      </c>
      <c r="B1969" s="181" t="s">
        <v>2739</v>
      </c>
      <c r="C1969" s="197">
        <v>65876710</v>
      </c>
      <c r="D1969" s="164" t="s">
        <v>2660</v>
      </c>
      <c r="E1969" s="198">
        <v>275000</v>
      </c>
      <c r="F1969" s="198">
        <v>137602.5</v>
      </c>
      <c r="G1969" s="198">
        <v>137397.5</v>
      </c>
      <c r="H1969" s="198">
        <v>0</v>
      </c>
      <c r="I1969" s="163"/>
      <c r="J1969" s="166">
        <v>0</v>
      </c>
      <c r="K1969" s="167" t="s">
        <v>1464</v>
      </c>
      <c r="L1969" s="167">
        <v>744</v>
      </c>
      <c r="M1969" s="168">
        <v>46096</v>
      </c>
      <c r="N1969" s="192" t="s">
        <v>2663</v>
      </c>
      <c r="O1969" s="181" t="s">
        <v>185</v>
      </c>
    </row>
    <row r="1970" spans="1:15" x14ac:dyDescent="0.25">
      <c r="A1970" s="154">
        <v>1970</v>
      </c>
      <c r="B1970" s="181" t="s">
        <v>2739</v>
      </c>
      <c r="C1970" s="197">
        <v>65876710</v>
      </c>
      <c r="D1970" s="164" t="s">
        <v>2660</v>
      </c>
      <c r="E1970" s="198">
        <v>12390768</v>
      </c>
      <c r="F1970" s="198">
        <v>1250700</v>
      </c>
      <c r="G1970" s="198">
        <v>11140068</v>
      </c>
      <c r="H1970" s="198">
        <v>0</v>
      </c>
      <c r="I1970" s="163"/>
      <c r="J1970" s="166">
        <v>0</v>
      </c>
      <c r="K1970" s="167" t="s">
        <v>1464</v>
      </c>
      <c r="L1970" s="167">
        <v>744</v>
      </c>
      <c r="M1970" s="168">
        <v>46096</v>
      </c>
      <c r="N1970" s="192" t="s">
        <v>2668</v>
      </c>
      <c r="O1970" s="181" t="s">
        <v>1187</v>
      </c>
    </row>
    <row r="1971" spans="1:15" x14ac:dyDescent="0.25">
      <c r="A1971" s="154">
        <v>1971</v>
      </c>
      <c r="B1971" s="181" t="s">
        <v>2739</v>
      </c>
      <c r="C1971" s="197">
        <v>65876710</v>
      </c>
      <c r="D1971" s="164" t="s">
        <v>2660</v>
      </c>
      <c r="E1971" s="198">
        <v>823973.00019999966</v>
      </c>
      <c r="F1971" s="198">
        <v>412089.00009999983</v>
      </c>
      <c r="G1971" s="198">
        <v>411884.00009999983</v>
      </c>
      <c r="H1971" s="198">
        <v>0</v>
      </c>
      <c r="I1971" s="163"/>
      <c r="J1971" s="166">
        <v>0</v>
      </c>
      <c r="K1971" s="167" t="s">
        <v>1464</v>
      </c>
      <c r="L1971" s="167">
        <v>744</v>
      </c>
      <c r="M1971" s="168">
        <v>46096</v>
      </c>
      <c r="N1971" s="192" t="s">
        <v>2666</v>
      </c>
      <c r="O1971" s="181" t="s">
        <v>227</v>
      </c>
    </row>
    <row r="1972" spans="1:15" x14ac:dyDescent="0.25">
      <c r="A1972" s="154">
        <v>1972</v>
      </c>
      <c r="B1972" s="181" t="s">
        <v>2739</v>
      </c>
      <c r="C1972" s="197">
        <v>65876710</v>
      </c>
      <c r="D1972" s="164" t="s">
        <v>2660</v>
      </c>
      <c r="E1972" s="198">
        <v>243009</v>
      </c>
      <c r="F1972" s="198">
        <v>121607</v>
      </c>
      <c r="G1972" s="198">
        <v>121402</v>
      </c>
      <c r="H1972" s="198">
        <v>0</v>
      </c>
      <c r="I1972" s="163"/>
      <c r="J1972" s="166">
        <v>0</v>
      </c>
      <c r="K1972" s="167" t="s">
        <v>1464</v>
      </c>
      <c r="L1972" s="167">
        <v>744</v>
      </c>
      <c r="M1972" s="168">
        <v>46096</v>
      </c>
      <c r="N1972" s="192" t="s">
        <v>2665</v>
      </c>
      <c r="O1972" s="181" t="s">
        <v>1016</v>
      </c>
    </row>
    <row r="1973" spans="1:15" x14ac:dyDescent="0.25">
      <c r="A1973" s="154">
        <v>1973</v>
      </c>
      <c r="B1973" s="181" t="s">
        <v>2739</v>
      </c>
      <c r="C1973" s="197">
        <v>65876710</v>
      </c>
      <c r="D1973" s="164" t="s">
        <v>2660</v>
      </c>
      <c r="E1973" s="198">
        <v>32300</v>
      </c>
      <c r="F1973" s="198">
        <v>0</v>
      </c>
      <c r="G1973" s="198">
        <v>32300</v>
      </c>
      <c r="H1973" s="198">
        <v>0</v>
      </c>
      <c r="I1973" s="163"/>
      <c r="J1973" s="166">
        <v>0</v>
      </c>
      <c r="K1973" s="167" t="s">
        <v>1464</v>
      </c>
      <c r="L1973" s="167">
        <v>744</v>
      </c>
      <c r="M1973" s="168">
        <v>46096</v>
      </c>
      <c r="N1973" s="192" t="s">
        <v>1582</v>
      </c>
      <c r="O1973" s="181" t="s">
        <v>309</v>
      </c>
    </row>
    <row r="1974" spans="1:15" x14ac:dyDescent="0.25">
      <c r="A1974" s="154">
        <v>1974</v>
      </c>
      <c r="B1974" s="181" t="s">
        <v>2739</v>
      </c>
      <c r="C1974" s="197">
        <v>65876710</v>
      </c>
      <c r="D1974" s="164" t="s">
        <v>2660</v>
      </c>
      <c r="E1974" s="198">
        <v>12685594</v>
      </c>
      <c r="F1974" s="198">
        <v>3806600</v>
      </c>
      <c r="G1974" s="198">
        <v>8878994</v>
      </c>
      <c r="H1974" s="198">
        <v>0</v>
      </c>
      <c r="I1974" s="163"/>
      <c r="J1974" s="166">
        <v>0</v>
      </c>
      <c r="K1974" s="167" t="s">
        <v>1464</v>
      </c>
      <c r="L1974" s="167">
        <v>744</v>
      </c>
      <c r="M1974" s="168">
        <v>46096</v>
      </c>
      <c r="N1974" s="199" t="s">
        <v>2664</v>
      </c>
      <c r="O1974" s="181" t="s">
        <v>215</v>
      </c>
    </row>
    <row r="1975" spans="1:15" x14ac:dyDescent="0.25">
      <c r="A1975" s="154">
        <v>1975</v>
      </c>
      <c r="B1975" s="181" t="s">
        <v>2739</v>
      </c>
      <c r="C1975" s="197">
        <v>65876710</v>
      </c>
      <c r="D1975" s="164" t="s">
        <v>2660</v>
      </c>
      <c r="E1975" s="198">
        <v>2174092</v>
      </c>
      <c r="F1975" s="198">
        <v>641565</v>
      </c>
      <c r="G1975" s="198">
        <v>1532527</v>
      </c>
      <c r="H1975" s="198">
        <v>0</v>
      </c>
      <c r="I1975" s="163"/>
      <c r="J1975" s="166">
        <v>0</v>
      </c>
      <c r="K1975" s="167" t="s">
        <v>1464</v>
      </c>
      <c r="L1975" s="167">
        <v>744</v>
      </c>
      <c r="M1975" s="168">
        <v>46096</v>
      </c>
      <c r="N1975" s="192" t="s">
        <v>2728</v>
      </c>
      <c r="O1975" s="181" t="s">
        <v>325</v>
      </c>
    </row>
    <row r="1976" spans="1:15" x14ac:dyDescent="0.25">
      <c r="A1976" s="154">
        <v>1976</v>
      </c>
      <c r="B1976" s="181" t="s">
        <v>2739</v>
      </c>
      <c r="C1976" s="197">
        <v>65876710</v>
      </c>
      <c r="D1976" s="164" t="s">
        <v>2660</v>
      </c>
      <c r="E1976" s="198">
        <v>4686100</v>
      </c>
      <c r="F1976" s="198">
        <v>0</v>
      </c>
      <c r="G1976" s="198">
        <v>4686100</v>
      </c>
      <c r="H1976" s="198">
        <v>0</v>
      </c>
      <c r="I1976" s="163"/>
      <c r="J1976" s="166">
        <v>0</v>
      </c>
      <c r="K1976" s="167" t="s">
        <v>1464</v>
      </c>
      <c r="L1976" s="167">
        <v>744</v>
      </c>
      <c r="M1976" s="168">
        <v>46096</v>
      </c>
      <c r="N1976" s="192" t="s">
        <v>1582</v>
      </c>
      <c r="O1976" s="181" t="s">
        <v>279</v>
      </c>
    </row>
    <row r="1977" spans="1:15" x14ac:dyDescent="0.25">
      <c r="A1977" s="154">
        <v>1977</v>
      </c>
      <c r="B1977" s="181" t="s">
        <v>2740</v>
      </c>
      <c r="C1977" s="197">
        <v>2689394</v>
      </c>
      <c r="D1977" s="164" t="s">
        <v>2660</v>
      </c>
      <c r="E1977" s="198">
        <v>38100</v>
      </c>
      <c r="F1977" s="198">
        <v>19152.5</v>
      </c>
      <c r="G1977" s="198">
        <v>18947.5</v>
      </c>
      <c r="H1977" s="198">
        <v>0</v>
      </c>
      <c r="I1977" s="163"/>
      <c r="J1977" s="166">
        <v>0</v>
      </c>
      <c r="K1977" s="167" t="s">
        <v>1464</v>
      </c>
      <c r="L1977" s="167">
        <v>744</v>
      </c>
      <c r="M1977" s="168">
        <v>46096</v>
      </c>
      <c r="N1977" s="192" t="s">
        <v>2663</v>
      </c>
      <c r="O1977" s="181" t="s">
        <v>185</v>
      </c>
    </row>
    <row r="1978" spans="1:15" x14ac:dyDescent="0.25">
      <c r="A1978" s="154">
        <v>1978</v>
      </c>
      <c r="B1978" s="181" t="s">
        <v>2740</v>
      </c>
      <c r="C1978" s="197">
        <v>2689394</v>
      </c>
      <c r="D1978" s="164" t="s">
        <v>2660</v>
      </c>
      <c r="E1978" s="198">
        <v>278432</v>
      </c>
      <c r="F1978" s="198">
        <v>139318</v>
      </c>
      <c r="G1978" s="198">
        <v>139114</v>
      </c>
      <c r="H1978" s="198">
        <v>0</v>
      </c>
      <c r="I1978" s="163"/>
      <c r="J1978" s="166">
        <v>0</v>
      </c>
      <c r="K1978" s="167" t="s">
        <v>1464</v>
      </c>
      <c r="L1978" s="167">
        <v>744</v>
      </c>
      <c r="M1978" s="168">
        <v>46096</v>
      </c>
      <c r="N1978" s="192" t="s">
        <v>2661</v>
      </c>
      <c r="O1978" s="181" t="s">
        <v>212</v>
      </c>
    </row>
    <row r="1979" spans="1:15" x14ac:dyDescent="0.25">
      <c r="A1979" s="154">
        <v>1979</v>
      </c>
      <c r="B1979" s="181" t="s">
        <v>2740</v>
      </c>
      <c r="C1979" s="197">
        <v>2689394</v>
      </c>
      <c r="D1979" s="164" t="s">
        <v>2660</v>
      </c>
      <c r="E1979" s="198">
        <v>4695</v>
      </c>
      <c r="F1979" s="198">
        <v>2450</v>
      </c>
      <c r="G1979" s="198">
        <v>2245</v>
      </c>
      <c r="H1979" s="198">
        <v>0</v>
      </c>
      <c r="I1979" s="163"/>
      <c r="J1979" s="166">
        <v>0</v>
      </c>
      <c r="K1979" s="167" t="s">
        <v>1464</v>
      </c>
      <c r="L1979" s="167">
        <v>744</v>
      </c>
      <c r="M1979" s="168">
        <v>46096</v>
      </c>
      <c r="N1979" s="192" t="s">
        <v>2666</v>
      </c>
      <c r="O1979" s="181" t="s">
        <v>227</v>
      </c>
    </row>
    <row r="1980" spans="1:15" x14ac:dyDescent="0.25">
      <c r="A1980" s="154">
        <v>1980</v>
      </c>
      <c r="B1980" s="181" t="s">
        <v>2740</v>
      </c>
      <c r="C1980" s="197">
        <v>2689394</v>
      </c>
      <c r="D1980" s="164" t="s">
        <v>2660</v>
      </c>
      <c r="E1980" s="198">
        <v>15584</v>
      </c>
      <c r="F1980" s="198">
        <v>7894.5</v>
      </c>
      <c r="G1980" s="198">
        <v>7689.5</v>
      </c>
      <c r="H1980" s="198">
        <v>0</v>
      </c>
      <c r="I1980" s="163"/>
      <c r="J1980" s="166">
        <v>0</v>
      </c>
      <c r="K1980" s="167" t="s">
        <v>1464</v>
      </c>
      <c r="L1980" s="167">
        <v>744</v>
      </c>
      <c r="M1980" s="168">
        <v>46096</v>
      </c>
      <c r="N1980" s="192" t="s">
        <v>2665</v>
      </c>
      <c r="O1980" s="181" t="s">
        <v>1016</v>
      </c>
    </row>
    <row r="1981" spans="1:15" x14ac:dyDescent="0.25">
      <c r="A1981" s="154">
        <v>1981</v>
      </c>
      <c r="B1981" s="181" t="s">
        <v>2740</v>
      </c>
      <c r="C1981" s="197">
        <v>2689394</v>
      </c>
      <c r="D1981" s="164" t="s">
        <v>2660</v>
      </c>
      <c r="E1981" s="198">
        <v>380755</v>
      </c>
      <c r="F1981" s="198">
        <v>221584</v>
      </c>
      <c r="G1981" s="198">
        <v>159171</v>
      </c>
      <c r="H1981" s="198">
        <v>0</v>
      </c>
      <c r="I1981" s="163"/>
      <c r="J1981" s="166">
        <v>0</v>
      </c>
      <c r="K1981" s="167" t="s">
        <v>1464</v>
      </c>
      <c r="L1981" s="167">
        <v>744</v>
      </c>
      <c r="M1981" s="168">
        <v>46096</v>
      </c>
      <c r="N1981" s="199" t="s">
        <v>2664</v>
      </c>
      <c r="O1981" s="181" t="s">
        <v>215</v>
      </c>
    </row>
    <row r="1982" spans="1:15" x14ac:dyDescent="0.25">
      <c r="A1982" s="154">
        <v>1982</v>
      </c>
      <c r="B1982" s="181" t="s">
        <v>2741</v>
      </c>
      <c r="C1982" s="197">
        <v>25524298</v>
      </c>
      <c r="D1982" s="164" t="s">
        <v>2660</v>
      </c>
      <c r="E1982" s="198">
        <v>402000</v>
      </c>
      <c r="F1982" s="198">
        <v>0</v>
      </c>
      <c r="G1982" s="198">
        <v>402000</v>
      </c>
      <c r="H1982" s="198">
        <v>0</v>
      </c>
      <c r="I1982" s="163"/>
      <c r="J1982" s="166">
        <v>0</v>
      </c>
      <c r="K1982" s="167" t="s">
        <v>1464</v>
      </c>
      <c r="L1982" s="167">
        <v>744</v>
      </c>
      <c r="M1982" s="168">
        <v>46096</v>
      </c>
      <c r="N1982" s="192" t="s">
        <v>1582</v>
      </c>
      <c r="O1982" s="181" t="s">
        <v>1187</v>
      </c>
    </row>
    <row r="1983" spans="1:15" x14ac:dyDescent="0.25">
      <c r="A1983" s="154">
        <v>1983</v>
      </c>
      <c r="B1983" s="181" t="s">
        <v>2741</v>
      </c>
      <c r="C1983" s="197">
        <v>25524298</v>
      </c>
      <c r="D1983" s="164" t="s">
        <v>2660</v>
      </c>
      <c r="E1983" s="198">
        <v>7424800</v>
      </c>
      <c r="F1983" s="198">
        <v>0</v>
      </c>
      <c r="G1983" s="198">
        <v>7424800</v>
      </c>
      <c r="H1983" s="198">
        <v>0</v>
      </c>
      <c r="I1983" s="163"/>
      <c r="J1983" s="166">
        <v>0</v>
      </c>
      <c r="K1983" s="167" t="s">
        <v>1464</v>
      </c>
      <c r="L1983" s="167">
        <v>744</v>
      </c>
      <c r="M1983" s="168">
        <v>46096</v>
      </c>
      <c r="N1983" s="192" t="s">
        <v>1582</v>
      </c>
      <c r="O1983" s="181" t="s">
        <v>2742</v>
      </c>
    </row>
    <row r="1984" spans="1:15" x14ac:dyDescent="0.25">
      <c r="A1984" s="154">
        <v>1984</v>
      </c>
      <c r="B1984" s="181" t="s">
        <v>2741</v>
      </c>
      <c r="C1984" s="197">
        <v>25524298</v>
      </c>
      <c r="D1984" s="164" t="s">
        <v>2660</v>
      </c>
      <c r="E1984" s="198">
        <v>17697498</v>
      </c>
      <c r="F1984" s="198">
        <v>5209500</v>
      </c>
      <c r="G1984" s="198">
        <v>12487998</v>
      </c>
      <c r="H1984" s="198">
        <v>0</v>
      </c>
      <c r="I1984" s="163"/>
      <c r="J1984" s="166">
        <v>0</v>
      </c>
      <c r="K1984" s="167" t="s">
        <v>1464</v>
      </c>
      <c r="L1984" s="167">
        <v>744</v>
      </c>
      <c r="M1984" s="168">
        <v>46096</v>
      </c>
      <c r="N1984" s="192" t="s">
        <v>2668</v>
      </c>
      <c r="O1984" s="181" t="s">
        <v>2743</v>
      </c>
    </row>
    <row r="1985" spans="1:15" x14ac:dyDescent="0.25">
      <c r="A1985" s="154">
        <v>1985</v>
      </c>
      <c r="B1985" s="181" t="s">
        <v>2744</v>
      </c>
      <c r="C1985" s="197">
        <v>819500</v>
      </c>
      <c r="D1985" s="164" t="s">
        <v>2660</v>
      </c>
      <c r="E1985" s="198">
        <v>18373</v>
      </c>
      <c r="F1985" s="198">
        <v>9300</v>
      </c>
      <c r="G1985" s="198">
        <v>9073</v>
      </c>
      <c r="H1985" s="198">
        <v>0</v>
      </c>
      <c r="I1985" s="163"/>
      <c r="J1985" s="166">
        <v>0</v>
      </c>
      <c r="K1985" s="167" t="s">
        <v>1464</v>
      </c>
      <c r="L1985" s="167">
        <v>744</v>
      </c>
      <c r="M1985" s="168">
        <v>46096</v>
      </c>
      <c r="N1985" s="192" t="s">
        <v>2666</v>
      </c>
      <c r="O1985" s="181" t="s">
        <v>227</v>
      </c>
    </row>
    <row r="1986" spans="1:15" x14ac:dyDescent="0.25">
      <c r="A1986" s="154">
        <v>1986</v>
      </c>
      <c r="B1986" s="181" t="s">
        <v>2744</v>
      </c>
      <c r="C1986" s="197">
        <v>819500</v>
      </c>
      <c r="D1986" s="164" t="s">
        <v>2660</v>
      </c>
      <c r="E1986" s="198">
        <v>1836</v>
      </c>
      <c r="F1986" s="198">
        <v>1020.5</v>
      </c>
      <c r="G1986" s="198">
        <v>815.5</v>
      </c>
      <c r="H1986" s="198">
        <v>0</v>
      </c>
      <c r="I1986" s="163"/>
      <c r="J1986" s="166">
        <v>0</v>
      </c>
      <c r="K1986" s="167" t="s">
        <v>1464</v>
      </c>
      <c r="L1986" s="167">
        <v>744</v>
      </c>
      <c r="M1986" s="168">
        <v>46096</v>
      </c>
      <c r="N1986" s="192" t="s">
        <v>2665</v>
      </c>
      <c r="O1986" s="181" t="s">
        <v>1016</v>
      </c>
    </row>
    <row r="1987" spans="1:15" x14ac:dyDescent="0.25">
      <c r="A1987" s="154">
        <v>1987</v>
      </c>
      <c r="B1987" s="181" t="s">
        <v>2744</v>
      </c>
      <c r="C1987" s="197">
        <v>819500</v>
      </c>
      <c r="D1987" s="164" t="s">
        <v>2660</v>
      </c>
      <c r="E1987" s="198">
        <v>120725</v>
      </c>
      <c r="F1987" s="198">
        <v>60465</v>
      </c>
      <c r="G1987" s="198">
        <v>60260</v>
      </c>
      <c r="H1987" s="198">
        <v>0</v>
      </c>
      <c r="I1987" s="163"/>
      <c r="J1987" s="166">
        <v>0</v>
      </c>
      <c r="K1987" s="167" t="s">
        <v>1464</v>
      </c>
      <c r="L1987" s="167">
        <v>744</v>
      </c>
      <c r="M1987" s="168">
        <v>46096</v>
      </c>
      <c r="N1987" s="199" t="s">
        <v>2664</v>
      </c>
      <c r="O1987" s="181" t="s">
        <v>215</v>
      </c>
    </row>
    <row r="1988" spans="1:15" x14ac:dyDescent="0.25">
      <c r="A1988" s="154">
        <v>1988</v>
      </c>
      <c r="B1988" s="181" t="s">
        <v>2745</v>
      </c>
      <c r="C1988" s="197">
        <v>18478028</v>
      </c>
      <c r="D1988" s="164" t="s">
        <v>2660</v>
      </c>
      <c r="E1988" s="198">
        <v>18478028</v>
      </c>
      <c r="F1988" s="198">
        <v>5543408</v>
      </c>
      <c r="G1988" s="198">
        <v>12934620</v>
      </c>
      <c r="H1988" s="198">
        <v>0</v>
      </c>
      <c r="I1988" s="163"/>
      <c r="J1988" s="166">
        <v>0</v>
      </c>
      <c r="K1988" s="167" t="s">
        <v>1464</v>
      </c>
      <c r="L1988" s="167">
        <v>744</v>
      </c>
      <c r="M1988" s="168">
        <v>46096</v>
      </c>
      <c r="N1988" s="192" t="s">
        <v>2668</v>
      </c>
      <c r="O1988" s="181" t="s">
        <v>2743</v>
      </c>
    </row>
    <row r="1989" spans="1:15" x14ac:dyDescent="0.25">
      <c r="A1989" s="154">
        <v>1989</v>
      </c>
      <c r="B1989" s="196" t="s">
        <v>2746</v>
      </c>
      <c r="C1989" s="197">
        <v>98105123</v>
      </c>
      <c r="D1989" s="164" t="s">
        <v>2660</v>
      </c>
      <c r="E1989" s="198">
        <v>1912940</v>
      </c>
      <c r="F1989" s="198">
        <v>0</v>
      </c>
      <c r="G1989" s="198">
        <v>1912940</v>
      </c>
      <c r="H1989" s="198">
        <v>0</v>
      </c>
      <c r="I1989" s="163"/>
      <c r="J1989" s="166">
        <v>0</v>
      </c>
      <c r="K1989" s="167" t="s">
        <v>1464</v>
      </c>
      <c r="L1989" s="167">
        <v>744</v>
      </c>
      <c r="M1989" s="168">
        <v>46096</v>
      </c>
      <c r="N1989" s="192" t="s">
        <v>1582</v>
      </c>
      <c r="O1989" s="181" t="s">
        <v>1848</v>
      </c>
    </row>
    <row r="1990" spans="1:15" x14ac:dyDescent="0.25">
      <c r="A1990" s="154">
        <v>1990</v>
      </c>
      <c r="B1990" s="196" t="s">
        <v>2746</v>
      </c>
      <c r="C1990" s="197">
        <v>98105123</v>
      </c>
      <c r="D1990" s="164" t="s">
        <v>2660</v>
      </c>
      <c r="E1990" s="198">
        <v>367401</v>
      </c>
      <c r="F1990" s="198">
        <v>0</v>
      </c>
      <c r="G1990" s="198">
        <v>367401</v>
      </c>
      <c r="H1990" s="198">
        <v>0</v>
      </c>
      <c r="I1990" s="163"/>
      <c r="J1990" s="166">
        <v>0</v>
      </c>
      <c r="K1990" s="167" t="s">
        <v>1464</v>
      </c>
      <c r="L1990" s="167">
        <v>744</v>
      </c>
      <c r="M1990" s="168">
        <v>46096</v>
      </c>
      <c r="N1990" s="192" t="s">
        <v>1582</v>
      </c>
      <c r="O1990" s="181" t="s">
        <v>2747</v>
      </c>
    </row>
    <row r="1991" spans="1:15" x14ac:dyDescent="0.25">
      <c r="A1991" s="154">
        <v>1991</v>
      </c>
      <c r="B1991" s="196" t="s">
        <v>2746</v>
      </c>
      <c r="C1991" s="197">
        <v>98105123</v>
      </c>
      <c r="D1991" s="164" t="s">
        <v>2660</v>
      </c>
      <c r="E1991" s="198">
        <v>1610040</v>
      </c>
      <c r="F1991" s="198">
        <v>0</v>
      </c>
      <c r="G1991" s="198">
        <v>1610040</v>
      </c>
      <c r="H1991" s="198">
        <v>0</v>
      </c>
      <c r="I1991" s="163"/>
      <c r="J1991" s="166">
        <v>0</v>
      </c>
      <c r="K1991" s="167" t="s">
        <v>1464</v>
      </c>
      <c r="L1991" s="167">
        <v>744</v>
      </c>
      <c r="M1991" s="168">
        <v>46096</v>
      </c>
      <c r="N1991" s="192" t="s">
        <v>1582</v>
      </c>
      <c r="O1991" s="181" t="s">
        <v>1187</v>
      </c>
    </row>
    <row r="1992" spans="1:15" x14ac:dyDescent="0.25">
      <c r="A1992" s="154">
        <v>1992</v>
      </c>
      <c r="B1992" s="196" t="s">
        <v>2746</v>
      </c>
      <c r="C1992" s="197">
        <v>98105123</v>
      </c>
      <c r="D1992" s="164" t="s">
        <v>2660</v>
      </c>
      <c r="E1992" s="198">
        <v>1428700</v>
      </c>
      <c r="F1992" s="198">
        <v>357200</v>
      </c>
      <c r="G1992" s="198">
        <v>1071500</v>
      </c>
      <c r="H1992" s="198">
        <v>0</v>
      </c>
      <c r="I1992" s="163"/>
      <c r="J1992" s="166">
        <v>0</v>
      </c>
      <c r="K1992" s="167" t="s">
        <v>1464</v>
      </c>
      <c r="L1992" s="167">
        <v>744</v>
      </c>
      <c r="M1992" s="168">
        <v>46096</v>
      </c>
      <c r="N1992" s="192" t="s">
        <v>2663</v>
      </c>
      <c r="O1992" s="181" t="s">
        <v>185</v>
      </c>
    </row>
    <row r="1993" spans="1:15" x14ac:dyDescent="0.25">
      <c r="A1993" s="154">
        <v>1993</v>
      </c>
      <c r="B1993" s="196" t="s">
        <v>2746</v>
      </c>
      <c r="C1993" s="197">
        <v>98105123</v>
      </c>
      <c r="D1993" s="164" t="s">
        <v>2660</v>
      </c>
      <c r="E1993" s="198">
        <v>3136870</v>
      </c>
      <c r="F1993" s="198">
        <v>648540</v>
      </c>
      <c r="G1993" s="198">
        <v>2488330</v>
      </c>
      <c r="H1993" s="198">
        <v>0</v>
      </c>
      <c r="I1993" s="163"/>
      <c r="J1993" s="166">
        <v>0</v>
      </c>
      <c r="K1993" s="167" t="s">
        <v>1464</v>
      </c>
      <c r="L1993" s="167">
        <v>744</v>
      </c>
      <c r="M1993" s="168">
        <v>46096</v>
      </c>
      <c r="N1993" s="192" t="s">
        <v>2666</v>
      </c>
      <c r="O1993" s="181" t="s">
        <v>227</v>
      </c>
    </row>
    <row r="1994" spans="1:15" x14ac:dyDescent="0.25">
      <c r="A1994" s="154">
        <v>1994</v>
      </c>
      <c r="B1994" s="196" t="s">
        <v>2746</v>
      </c>
      <c r="C1994" s="197">
        <v>98105123</v>
      </c>
      <c r="D1994" s="164" t="s">
        <v>2660</v>
      </c>
      <c r="E1994" s="198">
        <v>3530315</v>
      </c>
      <c r="F1994" s="198">
        <v>1092650</v>
      </c>
      <c r="G1994" s="198">
        <v>2437665</v>
      </c>
      <c r="H1994" s="198">
        <v>0</v>
      </c>
      <c r="I1994" s="163"/>
      <c r="J1994" s="166">
        <v>0</v>
      </c>
      <c r="K1994" s="167" t="s">
        <v>1464</v>
      </c>
      <c r="L1994" s="167">
        <v>744</v>
      </c>
      <c r="M1994" s="168">
        <v>46096</v>
      </c>
      <c r="N1994" s="192" t="s">
        <v>2661</v>
      </c>
      <c r="O1994" s="181" t="s">
        <v>212</v>
      </c>
    </row>
    <row r="1995" spans="1:15" x14ac:dyDescent="0.25">
      <c r="A1995" s="154">
        <v>1995</v>
      </c>
      <c r="B1995" s="196" t="s">
        <v>2746</v>
      </c>
      <c r="C1995" s="197">
        <v>98105123</v>
      </c>
      <c r="D1995" s="164" t="s">
        <v>2660</v>
      </c>
      <c r="E1995" s="198">
        <v>8367703</v>
      </c>
      <c r="F1995" s="198">
        <v>2082925</v>
      </c>
      <c r="G1995" s="198">
        <v>6284778</v>
      </c>
      <c r="H1995" s="198">
        <v>0</v>
      </c>
      <c r="I1995" s="163"/>
      <c r="J1995" s="166">
        <v>0</v>
      </c>
      <c r="K1995" s="167" t="s">
        <v>1464</v>
      </c>
      <c r="L1995" s="167">
        <v>744</v>
      </c>
      <c r="M1995" s="168">
        <v>46096</v>
      </c>
      <c r="N1995" s="199" t="s">
        <v>2664</v>
      </c>
      <c r="O1995" s="181" t="s">
        <v>215</v>
      </c>
    </row>
    <row r="1996" spans="1:15" x14ac:dyDescent="0.25">
      <c r="A1996" s="154">
        <v>1996</v>
      </c>
      <c r="B1996" s="196" t="s">
        <v>2746</v>
      </c>
      <c r="C1996" s="197">
        <v>98105123</v>
      </c>
      <c r="D1996" s="164" t="s">
        <v>2660</v>
      </c>
      <c r="E1996" s="198">
        <v>9873403</v>
      </c>
      <c r="F1996" s="198">
        <v>2562020</v>
      </c>
      <c r="G1996" s="198">
        <v>7311383</v>
      </c>
      <c r="H1996" s="198">
        <v>0</v>
      </c>
      <c r="I1996" s="163"/>
      <c r="J1996" s="166">
        <v>0</v>
      </c>
      <c r="K1996" s="167" t="s">
        <v>1464</v>
      </c>
      <c r="L1996" s="167">
        <v>744</v>
      </c>
      <c r="M1996" s="168">
        <v>46096</v>
      </c>
      <c r="N1996" s="192" t="s">
        <v>2665</v>
      </c>
      <c r="O1996" s="181" t="s">
        <v>1016</v>
      </c>
    </row>
    <row r="1997" spans="1:15" x14ac:dyDescent="0.25">
      <c r="A1997" s="154">
        <v>1997</v>
      </c>
      <c r="B1997" s="196" t="s">
        <v>2748</v>
      </c>
      <c r="C1997" s="197">
        <v>74786981</v>
      </c>
      <c r="D1997" s="164" t="s">
        <v>2660</v>
      </c>
      <c r="E1997" s="197">
        <v>74786981</v>
      </c>
      <c r="F1997" s="198">
        <v>29228767</v>
      </c>
      <c r="G1997" s="198">
        <v>45558214</v>
      </c>
      <c r="H1997" s="198">
        <v>0</v>
      </c>
      <c r="I1997" s="163"/>
      <c r="J1997" s="166">
        <v>0</v>
      </c>
      <c r="K1997" s="167" t="s">
        <v>1464</v>
      </c>
      <c r="L1997" s="167">
        <v>748</v>
      </c>
      <c r="M1997" s="168">
        <v>46098</v>
      </c>
      <c r="N1997" s="199" t="s">
        <v>2749</v>
      </c>
      <c r="O1997" s="162">
        <v>430</v>
      </c>
    </row>
    <row r="1998" spans="1:15" x14ac:dyDescent="0.25">
      <c r="A1998" s="154">
        <v>1998</v>
      </c>
      <c r="B1998" s="196" t="s">
        <v>2750</v>
      </c>
      <c r="C1998" s="197">
        <v>34173414</v>
      </c>
      <c r="D1998" s="164" t="s">
        <v>2660</v>
      </c>
      <c r="E1998" s="197">
        <v>34173414</v>
      </c>
      <c r="F1998" s="198">
        <v>25660669</v>
      </c>
      <c r="G1998" s="198">
        <v>8512745</v>
      </c>
      <c r="H1998" s="198">
        <v>0</v>
      </c>
      <c r="I1998" s="163"/>
      <c r="J1998" s="166">
        <v>0</v>
      </c>
      <c r="K1998" s="167" t="s">
        <v>1464</v>
      </c>
      <c r="L1998" s="167">
        <v>748</v>
      </c>
      <c r="M1998" s="168">
        <v>46098</v>
      </c>
      <c r="N1998" s="199" t="s">
        <v>2749</v>
      </c>
      <c r="O1998" s="162">
        <v>430</v>
      </c>
    </row>
    <row r="1999" spans="1:15" x14ac:dyDescent="0.25">
      <c r="A1999" s="154">
        <v>1999</v>
      </c>
      <c r="B1999" s="196" t="s">
        <v>2751</v>
      </c>
      <c r="C1999" s="197">
        <v>44060706</v>
      </c>
      <c r="D1999" s="164" t="s">
        <v>2660</v>
      </c>
      <c r="E1999" s="197">
        <v>44060706</v>
      </c>
      <c r="F1999" s="198">
        <v>43090415</v>
      </c>
      <c r="G1999" s="198">
        <v>970291</v>
      </c>
      <c r="H1999" s="198">
        <v>0</v>
      </c>
      <c r="I1999" s="163"/>
      <c r="J1999" s="166">
        <v>0</v>
      </c>
      <c r="K1999" s="167" t="s">
        <v>1464</v>
      </c>
      <c r="L1999" s="167">
        <v>748</v>
      </c>
      <c r="M1999" s="168">
        <v>46098</v>
      </c>
      <c r="N1999" s="199" t="s">
        <v>2749</v>
      </c>
      <c r="O1999" s="162">
        <v>430</v>
      </c>
    </row>
    <row r="2000" spans="1:15" x14ac:dyDescent="0.25">
      <c r="A2000" s="154">
        <v>2000</v>
      </c>
      <c r="B2000" s="162" t="s">
        <v>2752</v>
      </c>
      <c r="C2000" s="163">
        <v>80800</v>
      </c>
      <c r="D2000" s="164" t="s">
        <v>968</v>
      </c>
      <c r="E2000" s="163">
        <v>80800</v>
      </c>
      <c r="F2000" s="165">
        <v>0</v>
      </c>
      <c r="G2000" s="163">
        <v>80800</v>
      </c>
      <c r="H2000" s="165">
        <v>0</v>
      </c>
      <c r="I2000" s="163"/>
      <c r="J2000" s="166">
        <v>0</v>
      </c>
      <c r="K2000" s="167" t="s">
        <v>1464</v>
      </c>
      <c r="L2000" s="167">
        <v>751</v>
      </c>
      <c r="M2000" s="168">
        <v>46111</v>
      </c>
      <c r="N2000" s="169" t="s">
        <v>1029</v>
      </c>
      <c r="O2000" s="162">
        <v>308</v>
      </c>
    </row>
    <row r="2001" spans="1:15" x14ac:dyDescent="0.25">
      <c r="A2001" s="154">
        <v>2001</v>
      </c>
      <c r="B2001" s="162" t="s">
        <v>2753</v>
      </c>
      <c r="C2001" s="163">
        <v>1029600</v>
      </c>
      <c r="D2001" s="164" t="s">
        <v>968</v>
      </c>
      <c r="E2001" s="165">
        <v>61900</v>
      </c>
      <c r="F2001" s="165">
        <v>21300</v>
      </c>
      <c r="G2001" s="165">
        <v>40600</v>
      </c>
      <c r="H2001" s="165">
        <v>0</v>
      </c>
      <c r="I2001" s="163"/>
      <c r="J2001" s="166">
        <v>0</v>
      </c>
      <c r="K2001" s="167" t="s">
        <v>1464</v>
      </c>
      <c r="L2001" s="167">
        <v>752</v>
      </c>
      <c r="M2001" s="168">
        <v>46111</v>
      </c>
      <c r="N2001" s="169" t="s">
        <v>2754</v>
      </c>
      <c r="O2001" s="162">
        <v>208</v>
      </c>
    </row>
    <row r="2002" spans="1:15" x14ac:dyDescent="0.25">
      <c r="A2002" s="154">
        <v>2002</v>
      </c>
      <c r="B2002" s="162" t="s">
        <v>2755</v>
      </c>
      <c r="C2002" s="163">
        <v>1615130</v>
      </c>
      <c r="D2002" s="164" t="s">
        <v>968</v>
      </c>
      <c r="E2002" s="165">
        <v>61900</v>
      </c>
      <c r="F2002" s="165">
        <v>21300</v>
      </c>
      <c r="G2002" s="165">
        <v>40600</v>
      </c>
      <c r="H2002" s="165">
        <v>0</v>
      </c>
      <c r="I2002" s="163"/>
      <c r="J2002" s="166">
        <v>0</v>
      </c>
      <c r="K2002" s="167" t="s">
        <v>1464</v>
      </c>
      <c r="L2002" s="167">
        <v>752</v>
      </c>
      <c r="M2002" s="168">
        <v>46111</v>
      </c>
      <c r="N2002" s="169" t="s">
        <v>2754</v>
      </c>
      <c r="O2002" s="162">
        <v>208</v>
      </c>
    </row>
    <row r="2003" spans="1:15" x14ac:dyDescent="0.25">
      <c r="A2003" s="154">
        <v>2003</v>
      </c>
      <c r="B2003" s="162" t="s">
        <v>2756</v>
      </c>
      <c r="C2003" s="163">
        <v>666100</v>
      </c>
      <c r="D2003" s="164" t="s">
        <v>968</v>
      </c>
      <c r="E2003" s="165">
        <v>383800</v>
      </c>
      <c r="F2003" s="165">
        <v>202800</v>
      </c>
      <c r="G2003" s="165">
        <v>181000</v>
      </c>
      <c r="H2003" s="165">
        <v>0</v>
      </c>
      <c r="I2003" s="163"/>
      <c r="J2003" s="166">
        <v>0</v>
      </c>
      <c r="K2003" s="167" t="s">
        <v>1464</v>
      </c>
      <c r="L2003" s="167">
        <v>752</v>
      </c>
      <c r="M2003" s="168">
        <v>46111</v>
      </c>
      <c r="N2003" s="169" t="s">
        <v>2757</v>
      </c>
      <c r="O2003" s="162">
        <v>601</v>
      </c>
    </row>
    <row r="2004" spans="1:15" x14ac:dyDescent="0.25">
      <c r="A2004" s="154">
        <v>2004</v>
      </c>
      <c r="B2004" s="162" t="s">
        <v>2758</v>
      </c>
      <c r="C2004" s="163">
        <v>4738612</v>
      </c>
      <c r="D2004" s="164" t="s">
        <v>968</v>
      </c>
      <c r="E2004" s="165">
        <v>123800</v>
      </c>
      <c r="F2004" s="165">
        <v>42600</v>
      </c>
      <c r="G2004" s="165">
        <v>81200</v>
      </c>
      <c r="H2004" s="165">
        <v>0</v>
      </c>
      <c r="I2004" s="163"/>
      <c r="J2004" s="166">
        <v>0</v>
      </c>
      <c r="K2004" s="167" t="s">
        <v>1464</v>
      </c>
      <c r="L2004" s="167">
        <v>752</v>
      </c>
      <c r="M2004" s="168">
        <v>46111</v>
      </c>
      <c r="N2004" s="169" t="s">
        <v>2759</v>
      </c>
      <c r="O2004" s="162">
        <v>208</v>
      </c>
    </row>
    <row r="2005" spans="1:15" x14ac:dyDescent="0.25">
      <c r="A2005" s="154">
        <v>2005</v>
      </c>
      <c r="B2005" s="162" t="s">
        <v>2760</v>
      </c>
      <c r="C2005" s="163">
        <v>8139857</v>
      </c>
      <c r="D2005" s="164" t="s">
        <v>968</v>
      </c>
      <c r="E2005" s="165">
        <v>1790600</v>
      </c>
      <c r="F2005" s="165">
        <v>1790600</v>
      </c>
      <c r="G2005" s="165">
        <v>0</v>
      </c>
      <c r="H2005" s="165">
        <v>0</v>
      </c>
      <c r="I2005" s="163"/>
      <c r="J2005" s="166">
        <v>0</v>
      </c>
      <c r="K2005" s="167" t="s">
        <v>1464</v>
      </c>
      <c r="L2005" s="167">
        <v>752</v>
      </c>
      <c r="M2005" s="168">
        <v>46111</v>
      </c>
      <c r="N2005" s="169" t="s">
        <v>2761</v>
      </c>
      <c r="O2005" s="162">
        <v>601</v>
      </c>
    </row>
    <row r="2006" spans="1:15" x14ac:dyDescent="0.25">
      <c r="A2006" s="154">
        <v>2006</v>
      </c>
      <c r="B2006" s="162" t="s">
        <v>2762</v>
      </c>
      <c r="C2006" s="163">
        <v>2614200</v>
      </c>
      <c r="D2006" s="164" t="s">
        <v>968</v>
      </c>
      <c r="E2006" s="165">
        <v>61900</v>
      </c>
      <c r="F2006" s="165">
        <v>21300</v>
      </c>
      <c r="G2006" s="165">
        <v>40600</v>
      </c>
      <c r="H2006" s="165">
        <v>0</v>
      </c>
      <c r="I2006" s="163"/>
      <c r="J2006" s="166">
        <v>0</v>
      </c>
      <c r="K2006" s="167" t="s">
        <v>1464</v>
      </c>
      <c r="L2006" s="167">
        <v>752</v>
      </c>
      <c r="M2006" s="168">
        <v>46111</v>
      </c>
      <c r="N2006" s="169" t="s">
        <v>2754</v>
      </c>
      <c r="O2006" s="162">
        <v>208</v>
      </c>
    </row>
    <row r="2007" spans="1:15" x14ac:dyDescent="0.25">
      <c r="A2007" s="154">
        <v>2007</v>
      </c>
      <c r="B2007" s="162" t="s">
        <v>2763</v>
      </c>
      <c r="C2007" s="163">
        <v>1608700</v>
      </c>
      <c r="D2007" s="164" t="s">
        <v>968</v>
      </c>
      <c r="E2007" s="165">
        <v>61900</v>
      </c>
      <c r="F2007" s="165">
        <v>21300</v>
      </c>
      <c r="G2007" s="165">
        <v>40600</v>
      </c>
      <c r="H2007" s="165">
        <v>0</v>
      </c>
      <c r="I2007" s="163"/>
      <c r="J2007" s="166">
        <v>0</v>
      </c>
      <c r="K2007" s="167" t="s">
        <v>1464</v>
      </c>
      <c r="L2007" s="167">
        <v>752</v>
      </c>
      <c r="M2007" s="168">
        <v>46111</v>
      </c>
      <c r="N2007" s="169" t="s">
        <v>2754</v>
      </c>
      <c r="O2007" s="162">
        <v>208</v>
      </c>
    </row>
    <row r="2008" spans="1:15" x14ac:dyDescent="0.25">
      <c r="A2008" s="154">
        <v>2008</v>
      </c>
      <c r="B2008" s="162" t="s">
        <v>2764</v>
      </c>
      <c r="C2008" s="163">
        <v>1563100</v>
      </c>
      <c r="D2008" s="164" t="s">
        <v>968</v>
      </c>
      <c r="E2008" s="165">
        <v>61900</v>
      </c>
      <c r="F2008" s="165">
        <v>21300</v>
      </c>
      <c r="G2008" s="165">
        <v>40600</v>
      </c>
      <c r="H2008" s="165">
        <v>0</v>
      </c>
      <c r="I2008" s="163"/>
      <c r="J2008" s="166">
        <v>0</v>
      </c>
      <c r="K2008" s="167" t="s">
        <v>1464</v>
      </c>
      <c r="L2008" s="167">
        <v>752</v>
      </c>
      <c r="M2008" s="168">
        <v>46111</v>
      </c>
      <c r="N2008" s="169" t="s">
        <v>2754</v>
      </c>
      <c r="O2008" s="162">
        <v>208</v>
      </c>
    </row>
    <row r="2009" spans="1:15" x14ac:dyDescent="0.25">
      <c r="A2009" s="154">
        <v>2009</v>
      </c>
      <c r="B2009" s="162" t="s">
        <v>2765</v>
      </c>
      <c r="C2009" s="163">
        <v>2544360</v>
      </c>
      <c r="D2009" s="164" t="s">
        <v>968</v>
      </c>
      <c r="E2009" s="165">
        <v>61900</v>
      </c>
      <c r="F2009" s="165">
        <v>21300</v>
      </c>
      <c r="G2009" s="165">
        <v>40600</v>
      </c>
      <c r="H2009" s="165">
        <v>0</v>
      </c>
      <c r="I2009" s="163"/>
      <c r="J2009" s="166">
        <v>0</v>
      </c>
      <c r="K2009" s="167" t="s">
        <v>1464</v>
      </c>
      <c r="L2009" s="167">
        <v>752</v>
      </c>
      <c r="M2009" s="168">
        <v>46111</v>
      </c>
      <c r="N2009" s="169" t="s">
        <v>2754</v>
      </c>
      <c r="O2009" s="162">
        <v>208</v>
      </c>
    </row>
    <row r="2010" spans="1:15" x14ac:dyDescent="0.25">
      <c r="A2010" s="154">
        <v>2010</v>
      </c>
      <c r="B2010" s="162" t="s">
        <v>2766</v>
      </c>
      <c r="C2010" s="163">
        <v>7634200</v>
      </c>
      <c r="D2010" s="164" t="s">
        <v>968</v>
      </c>
      <c r="E2010" s="165">
        <v>3036300</v>
      </c>
      <c r="F2010" s="165">
        <v>0</v>
      </c>
      <c r="G2010" s="165">
        <v>0</v>
      </c>
      <c r="H2010" s="165">
        <v>3036300</v>
      </c>
      <c r="I2010" s="163"/>
      <c r="J2010" s="166">
        <v>0</v>
      </c>
      <c r="K2010" s="167" t="s">
        <v>1464</v>
      </c>
      <c r="L2010" s="167">
        <v>752</v>
      </c>
      <c r="M2010" s="168">
        <v>46111</v>
      </c>
      <c r="N2010" s="169" t="s">
        <v>2767</v>
      </c>
      <c r="O2010" s="162">
        <v>223</v>
      </c>
    </row>
    <row r="2011" spans="1:15" x14ac:dyDescent="0.25">
      <c r="A2011" s="154">
        <v>2011</v>
      </c>
      <c r="B2011" s="162" t="s">
        <v>2768</v>
      </c>
      <c r="C2011" s="163">
        <v>1393500</v>
      </c>
      <c r="D2011" s="164" t="s">
        <v>968</v>
      </c>
      <c r="E2011" s="165">
        <v>321900</v>
      </c>
      <c r="F2011" s="165">
        <v>181500</v>
      </c>
      <c r="G2011" s="165">
        <v>140400</v>
      </c>
      <c r="H2011" s="165">
        <v>0</v>
      </c>
      <c r="I2011" s="163"/>
      <c r="J2011" s="166">
        <v>0</v>
      </c>
      <c r="K2011" s="167" t="s">
        <v>1464</v>
      </c>
      <c r="L2011" s="167">
        <v>752</v>
      </c>
      <c r="M2011" s="168">
        <v>46111</v>
      </c>
      <c r="N2011" s="169" t="s">
        <v>2769</v>
      </c>
      <c r="O2011" s="162">
        <v>601</v>
      </c>
    </row>
    <row r="2012" spans="1:15" x14ac:dyDescent="0.25">
      <c r="A2012" s="154">
        <v>2012</v>
      </c>
      <c r="B2012" s="162" t="s">
        <v>2770</v>
      </c>
      <c r="C2012" s="163">
        <v>48622521</v>
      </c>
      <c r="D2012" s="164" t="s">
        <v>968</v>
      </c>
      <c r="E2012" s="165">
        <v>48622521</v>
      </c>
      <c r="F2012" s="165">
        <v>0</v>
      </c>
      <c r="G2012" s="165">
        <v>0</v>
      </c>
      <c r="H2012" s="165">
        <v>48622521</v>
      </c>
      <c r="I2012" s="163"/>
      <c r="J2012" s="166">
        <v>0</v>
      </c>
      <c r="K2012" s="167" t="s">
        <v>1464</v>
      </c>
      <c r="L2012" s="167">
        <v>752</v>
      </c>
      <c r="M2012" s="168">
        <v>46111</v>
      </c>
      <c r="N2012" s="169" t="s">
        <v>2771</v>
      </c>
      <c r="O2012" s="162">
        <v>116</v>
      </c>
    </row>
    <row r="2013" spans="1:15" x14ac:dyDescent="0.25">
      <c r="A2013" s="154">
        <v>2013</v>
      </c>
      <c r="B2013" s="162" t="s">
        <v>2772</v>
      </c>
      <c r="C2013" s="163">
        <v>1744400</v>
      </c>
      <c r="D2013" s="164" t="s">
        <v>968</v>
      </c>
      <c r="E2013" s="165">
        <v>61900</v>
      </c>
      <c r="F2013" s="165">
        <v>21300</v>
      </c>
      <c r="G2013" s="165">
        <v>40600</v>
      </c>
      <c r="H2013" s="165">
        <v>0</v>
      </c>
      <c r="I2013" s="163"/>
      <c r="J2013" s="166">
        <v>0</v>
      </c>
      <c r="K2013" s="167" t="s">
        <v>1464</v>
      </c>
      <c r="L2013" s="167">
        <v>752</v>
      </c>
      <c r="M2013" s="168">
        <v>46111</v>
      </c>
      <c r="N2013" s="169" t="s">
        <v>2754</v>
      </c>
      <c r="O2013" s="162">
        <v>208</v>
      </c>
    </row>
    <row r="2014" spans="1:15" x14ac:dyDescent="0.25">
      <c r="A2014" s="154">
        <v>2014</v>
      </c>
      <c r="B2014" s="162" t="s">
        <v>2773</v>
      </c>
      <c r="C2014" s="163">
        <v>2313200</v>
      </c>
      <c r="D2014" s="164" t="s">
        <v>968</v>
      </c>
      <c r="E2014" s="165">
        <v>61900</v>
      </c>
      <c r="F2014" s="165">
        <v>21300</v>
      </c>
      <c r="G2014" s="165">
        <v>40600</v>
      </c>
      <c r="H2014" s="165">
        <v>0</v>
      </c>
      <c r="I2014" s="163"/>
      <c r="J2014" s="166">
        <v>0</v>
      </c>
      <c r="K2014" s="167" t="s">
        <v>1464</v>
      </c>
      <c r="L2014" s="167">
        <v>752</v>
      </c>
      <c r="M2014" s="168">
        <v>46111</v>
      </c>
      <c r="N2014" s="169" t="s">
        <v>2754</v>
      </c>
      <c r="O2014" s="162">
        <v>208</v>
      </c>
    </row>
    <row r="2015" spans="1:15" x14ac:dyDescent="0.25">
      <c r="A2015" s="154">
        <v>2015</v>
      </c>
      <c r="B2015" s="162" t="s">
        <v>2774</v>
      </c>
      <c r="C2015" s="163">
        <v>5253960</v>
      </c>
      <c r="D2015" s="164" t="s">
        <v>968</v>
      </c>
      <c r="E2015" s="165">
        <v>123800</v>
      </c>
      <c r="F2015" s="165">
        <v>42600</v>
      </c>
      <c r="G2015" s="165">
        <v>81200</v>
      </c>
      <c r="H2015" s="165">
        <v>0</v>
      </c>
      <c r="I2015" s="163"/>
      <c r="J2015" s="166">
        <v>0</v>
      </c>
      <c r="K2015" s="167" t="s">
        <v>1464</v>
      </c>
      <c r="L2015" s="167">
        <v>752</v>
      </c>
      <c r="M2015" s="168">
        <v>46111</v>
      </c>
      <c r="N2015" s="169" t="s">
        <v>2759</v>
      </c>
      <c r="O2015" s="162">
        <v>208</v>
      </c>
    </row>
    <row r="2016" spans="1:15" x14ac:dyDescent="0.25">
      <c r="A2016" s="154">
        <v>2016</v>
      </c>
      <c r="B2016" s="162" t="s">
        <v>2775</v>
      </c>
      <c r="C2016" s="163">
        <v>34317124</v>
      </c>
      <c r="D2016" s="164" t="s">
        <v>968</v>
      </c>
      <c r="E2016" s="165">
        <v>6433740</v>
      </c>
      <c r="F2016" s="165">
        <v>3229000</v>
      </c>
      <c r="G2016" s="165">
        <v>2291840</v>
      </c>
      <c r="H2016" s="165">
        <v>912900</v>
      </c>
      <c r="I2016" s="163"/>
      <c r="J2016" s="166">
        <v>0</v>
      </c>
      <c r="K2016" s="167" t="s">
        <v>1464</v>
      </c>
      <c r="L2016" s="167">
        <v>752</v>
      </c>
      <c r="M2016" s="168">
        <v>46111</v>
      </c>
      <c r="N2016" s="169" t="s">
        <v>2776</v>
      </c>
      <c r="O2016" s="162">
        <v>206</v>
      </c>
    </row>
    <row r="2017" spans="1:15" x14ac:dyDescent="0.25">
      <c r="A2017" s="154">
        <v>2017</v>
      </c>
      <c r="B2017" s="162" t="s">
        <v>2777</v>
      </c>
      <c r="C2017" s="163">
        <v>7745332</v>
      </c>
      <c r="D2017" s="164" t="s">
        <v>968</v>
      </c>
      <c r="E2017" s="165">
        <v>365900</v>
      </c>
      <c r="F2017" s="165">
        <v>112110</v>
      </c>
      <c r="G2017" s="165">
        <v>253790</v>
      </c>
      <c r="H2017" s="165">
        <v>0</v>
      </c>
      <c r="I2017" s="163"/>
      <c r="J2017" s="166">
        <v>0</v>
      </c>
      <c r="K2017" s="167" t="s">
        <v>1464</v>
      </c>
      <c r="L2017" s="167">
        <v>752</v>
      </c>
      <c r="M2017" s="168">
        <v>46111</v>
      </c>
      <c r="N2017" s="169" t="s">
        <v>2778</v>
      </c>
      <c r="O2017" s="162">
        <v>208</v>
      </c>
    </row>
    <row r="2018" spans="1:15" x14ac:dyDescent="0.25">
      <c r="A2018" s="154">
        <v>2018</v>
      </c>
      <c r="B2018" s="162" t="s">
        <v>2779</v>
      </c>
      <c r="C2018" s="163">
        <v>3025200</v>
      </c>
      <c r="D2018" s="164" t="s">
        <v>968</v>
      </c>
      <c r="E2018" s="165">
        <v>63200</v>
      </c>
      <c r="F2018" s="165">
        <v>25280</v>
      </c>
      <c r="G2018" s="165">
        <v>37920</v>
      </c>
      <c r="H2018" s="165">
        <v>0</v>
      </c>
      <c r="I2018" s="163"/>
      <c r="J2018" s="166">
        <v>0</v>
      </c>
      <c r="K2018" s="167" t="s">
        <v>1464</v>
      </c>
      <c r="L2018" s="167">
        <v>752</v>
      </c>
      <c r="M2018" s="168">
        <v>46111</v>
      </c>
      <c r="N2018" s="169" t="s">
        <v>2780</v>
      </c>
      <c r="O2018" s="162">
        <v>207</v>
      </c>
    </row>
    <row r="2019" spans="1:15" x14ac:dyDescent="0.25">
      <c r="A2019" s="154">
        <v>2019</v>
      </c>
      <c r="B2019" s="162" t="s">
        <v>2781</v>
      </c>
      <c r="C2019" s="163">
        <v>5044950</v>
      </c>
      <c r="D2019" s="164" t="s">
        <v>968</v>
      </c>
      <c r="E2019" s="165">
        <v>5044950</v>
      </c>
      <c r="F2019" s="165">
        <v>0</v>
      </c>
      <c r="G2019" s="165">
        <v>0</v>
      </c>
      <c r="H2019" s="165">
        <v>5044950</v>
      </c>
      <c r="I2019" s="163"/>
      <c r="J2019" s="166">
        <v>0</v>
      </c>
      <c r="K2019" s="167" t="s">
        <v>1464</v>
      </c>
      <c r="L2019" s="167">
        <v>752</v>
      </c>
      <c r="M2019" s="168">
        <v>46111</v>
      </c>
      <c r="N2019" s="169" t="s">
        <v>1908</v>
      </c>
      <c r="O2019" s="162">
        <v>116</v>
      </c>
    </row>
    <row r="2020" spans="1:15" x14ac:dyDescent="0.25">
      <c r="A2020" s="154">
        <v>2020</v>
      </c>
      <c r="B2020" s="162" t="s">
        <v>2782</v>
      </c>
      <c r="C2020" s="163">
        <v>2686200</v>
      </c>
      <c r="D2020" s="164" t="s">
        <v>968</v>
      </c>
      <c r="E2020" s="165">
        <v>61900</v>
      </c>
      <c r="F2020" s="165">
        <v>21300</v>
      </c>
      <c r="G2020" s="165">
        <v>40600</v>
      </c>
      <c r="H2020" s="165">
        <v>0</v>
      </c>
      <c r="I2020" s="163"/>
      <c r="J2020" s="166">
        <v>0</v>
      </c>
      <c r="K2020" s="167" t="s">
        <v>1464</v>
      </c>
      <c r="L2020" s="167">
        <v>752</v>
      </c>
      <c r="M2020" s="168">
        <v>46111</v>
      </c>
      <c r="N2020" s="169" t="s">
        <v>2754</v>
      </c>
      <c r="O2020" s="162">
        <v>208</v>
      </c>
    </row>
    <row r="2021" spans="1:15" x14ac:dyDescent="0.25">
      <c r="A2021" s="154">
        <v>2021</v>
      </c>
      <c r="B2021" s="162" t="s">
        <v>2783</v>
      </c>
      <c r="C2021" s="163">
        <v>2773795</v>
      </c>
      <c r="D2021" s="164" t="s">
        <v>968</v>
      </c>
      <c r="E2021" s="165">
        <v>178000</v>
      </c>
      <c r="F2021" s="165">
        <v>137400</v>
      </c>
      <c r="G2021" s="165">
        <v>40600</v>
      </c>
      <c r="H2021" s="165">
        <v>0</v>
      </c>
      <c r="I2021" s="163"/>
      <c r="J2021" s="166">
        <v>0</v>
      </c>
      <c r="K2021" s="167" t="s">
        <v>1464</v>
      </c>
      <c r="L2021" s="167">
        <v>752</v>
      </c>
      <c r="M2021" s="168">
        <v>46111</v>
      </c>
      <c r="N2021" s="169" t="s">
        <v>2784</v>
      </c>
      <c r="O2021" s="162">
        <v>208</v>
      </c>
    </row>
    <row r="2022" spans="1:15" x14ac:dyDescent="0.25">
      <c r="A2022" s="154">
        <v>2022</v>
      </c>
      <c r="B2022" s="162" t="s">
        <v>2785</v>
      </c>
      <c r="C2022" s="163">
        <v>2936700</v>
      </c>
      <c r="D2022" s="164" t="s">
        <v>968</v>
      </c>
      <c r="E2022" s="165">
        <v>55200</v>
      </c>
      <c r="F2022" s="165">
        <v>55200</v>
      </c>
      <c r="G2022" s="165">
        <v>0</v>
      </c>
      <c r="H2022" s="165">
        <v>0</v>
      </c>
      <c r="I2022" s="163"/>
      <c r="J2022" s="166">
        <v>0</v>
      </c>
      <c r="K2022" s="167" t="s">
        <v>1464</v>
      </c>
      <c r="L2022" s="167">
        <v>752</v>
      </c>
      <c r="M2022" s="168">
        <v>46111</v>
      </c>
      <c r="N2022" s="169" t="s">
        <v>2786</v>
      </c>
      <c r="O2022" s="162">
        <v>108</v>
      </c>
    </row>
    <row r="2023" spans="1:15" x14ac:dyDescent="0.25">
      <c r="A2023" s="154">
        <v>2023</v>
      </c>
      <c r="B2023" s="162" t="s">
        <v>2787</v>
      </c>
      <c r="C2023" s="163">
        <v>2984350</v>
      </c>
      <c r="D2023" s="164" t="s">
        <v>968</v>
      </c>
      <c r="E2023" s="165">
        <v>61900</v>
      </c>
      <c r="F2023" s="165">
        <v>21300</v>
      </c>
      <c r="G2023" s="165">
        <v>40600</v>
      </c>
      <c r="H2023" s="165">
        <v>0</v>
      </c>
      <c r="I2023" s="163"/>
      <c r="J2023" s="166">
        <v>0</v>
      </c>
      <c r="K2023" s="167" t="s">
        <v>1464</v>
      </c>
      <c r="L2023" s="167">
        <v>752</v>
      </c>
      <c r="M2023" s="168">
        <v>46111</v>
      </c>
      <c r="N2023" s="169" t="s">
        <v>2754</v>
      </c>
      <c r="O2023" s="162">
        <v>208</v>
      </c>
    </row>
    <row r="2024" spans="1:15" x14ac:dyDescent="0.25">
      <c r="A2024" s="154">
        <v>2024</v>
      </c>
      <c r="B2024" s="162" t="s">
        <v>2788</v>
      </c>
      <c r="C2024" s="163">
        <v>517600</v>
      </c>
      <c r="D2024" s="164" t="s">
        <v>968</v>
      </c>
      <c r="E2024" s="165">
        <v>321900</v>
      </c>
      <c r="F2024" s="165">
        <v>181500</v>
      </c>
      <c r="G2024" s="165">
        <v>140400</v>
      </c>
      <c r="H2024" s="165">
        <v>0</v>
      </c>
      <c r="I2024" s="163"/>
      <c r="J2024" s="166">
        <v>0</v>
      </c>
      <c r="K2024" s="167" t="s">
        <v>1464</v>
      </c>
      <c r="L2024" s="167">
        <v>752</v>
      </c>
      <c r="M2024" s="168">
        <v>46111</v>
      </c>
      <c r="N2024" s="169" t="s">
        <v>2789</v>
      </c>
      <c r="O2024" s="162">
        <v>601</v>
      </c>
    </row>
    <row r="2025" spans="1:15" x14ac:dyDescent="0.25">
      <c r="A2025" s="154">
        <v>2025</v>
      </c>
      <c r="B2025" s="162" t="s">
        <v>2790</v>
      </c>
      <c r="C2025" s="163">
        <v>1307630</v>
      </c>
      <c r="D2025" s="164" t="s">
        <v>968</v>
      </c>
      <c r="E2025" s="165">
        <v>61900</v>
      </c>
      <c r="F2025" s="165">
        <v>21300</v>
      </c>
      <c r="G2025" s="165">
        <v>40600</v>
      </c>
      <c r="H2025" s="165">
        <v>0</v>
      </c>
      <c r="I2025" s="163"/>
      <c r="J2025" s="166">
        <v>0</v>
      </c>
      <c r="K2025" s="167" t="s">
        <v>1464</v>
      </c>
      <c r="L2025" s="167">
        <v>752</v>
      </c>
      <c r="M2025" s="168">
        <v>46111</v>
      </c>
      <c r="N2025" s="169" t="s">
        <v>2754</v>
      </c>
      <c r="O2025" s="162">
        <v>208</v>
      </c>
    </row>
    <row r="2026" spans="1:15" x14ac:dyDescent="0.25">
      <c r="A2026" s="154">
        <v>2026</v>
      </c>
      <c r="B2026" s="162" t="s">
        <v>2791</v>
      </c>
      <c r="C2026" s="163">
        <v>10420871</v>
      </c>
      <c r="D2026" s="164" t="s">
        <v>968</v>
      </c>
      <c r="E2026" s="165">
        <v>383524</v>
      </c>
      <c r="F2026" s="165">
        <v>252956</v>
      </c>
      <c r="G2026" s="165">
        <v>130568</v>
      </c>
      <c r="H2026" s="165">
        <v>0</v>
      </c>
      <c r="I2026" s="163"/>
      <c r="J2026" s="166">
        <v>0</v>
      </c>
      <c r="K2026" s="167" t="s">
        <v>1464</v>
      </c>
      <c r="L2026" s="167">
        <v>752</v>
      </c>
      <c r="M2026" s="168">
        <v>46111</v>
      </c>
      <c r="N2026" s="169" t="s">
        <v>2792</v>
      </c>
      <c r="O2026" s="162">
        <v>206</v>
      </c>
    </row>
    <row r="2027" spans="1:15" x14ac:dyDescent="0.25">
      <c r="A2027" s="154">
        <v>2027</v>
      </c>
      <c r="B2027" s="162" t="s">
        <v>2793</v>
      </c>
      <c r="C2027" s="163">
        <v>12106116</v>
      </c>
      <c r="D2027" s="164" t="s">
        <v>968</v>
      </c>
      <c r="E2027" s="165">
        <v>727969</v>
      </c>
      <c r="F2027" s="165">
        <v>607094</v>
      </c>
      <c r="G2027" s="165">
        <v>120875</v>
      </c>
      <c r="H2027" s="165">
        <v>0</v>
      </c>
      <c r="I2027" s="163"/>
      <c r="J2027" s="166">
        <v>0</v>
      </c>
      <c r="K2027" s="167" t="s">
        <v>1464</v>
      </c>
      <c r="L2027" s="167">
        <v>752</v>
      </c>
      <c r="M2027" s="168">
        <v>46111</v>
      </c>
      <c r="N2027" s="169" t="s">
        <v>2794</v>
      </c>
      <c r="O2027" s="162">
        <v>206</v>
      </c>
    </row>
    <row r="2028" spans="1:15" x14ac:dyDescent="0.25">
      <c r="A2028" s="154">
        <v>2028</v>
      </c>
      <c r="B2028" s="162" t="s">
        <v>2795</v>
      </c>
      <c r="C2028" s="163">
        <v>1050200</v>
      </c>
      <c r="D2028" s="164" t="s">
        <v>968</v>
      </c>
      <c r="E2028" s="165">
        <v>321900</v>
      </c>
      <c r="F2028" s="165">
        <v>181500</v>
      </c>
      <c r="G2028" s="165">
        <v>140400</v>
      </c>
      <c r="H2028" s="165">
        <v>0</v>
      </c>
      <c r="I2028" s="163"/>
      <c r="J2028" s="166">
        <v>0</v>
      </c>
      <c r="K2028" s="167" t="s">
        <v>1464</v>
      </c>
      <c r="L2028" s="167">
        <v>752</v>
      </c>
      <c r="M2028" s="168">
        <v>46111</v>
      </c>
      <c r="N2028" s="169" t="s">
        <v>2796</v>
      </c>
      <c r="O2028" s="162">
        <v>601</v>
      </c>
    </row>
    <row r="2029" spans="1:15" x14ac:dyDescent="0.25">
      <c r="A2029" s="154">
        <v>2029</v>
      </c>
      <c r="B2029" s="162" t="s">
        <v>2797</v>
      </c>
      <c r="C2029" s="163">
        <v>23301295</v>
      </c>
      <c r="D2029" s="164" t="s">
        <v>968</v>
      </c>
      <c r="E2029" s="165">
        <v>854308</v>
      </c>
      <c r="F2029" s="165">
        <v>600218</v>
      </c>
      <c r="G2029" s="165">
        <v>254090</v>
      </c>
      <c r="H2029" s="165">
        <v>0</v>
      </c>
      <c r="I2029" s="163"/>
      <c r="J2029" s="166">
        <v>0</v>
      </c>
      <c r="K2029" s="167" t="s">
        <v>1464</v>
      </c>
      <c r="L2029" s="167">
        <v>752</v>
      </c>
      <c r="M2029" s="168">
        <v>46111</v>
      </c>
      <c r="N2029" s="169" t="s">
        <v>2798</v>
      </c>
      <c r="O2029" s="162">
        <v>206</v>
      </c>
    </row>
    <row r="2030" spans="1:15" x14ac:dyDescent="0.25">
      <c r="A2030" s="154">
        <v>2030</v>
      </c>
      <c r="B2030" s="162" t="s">
        <v>2799</v>
      </c>
      <c r="C2030" s="163">
        <v>5615155</v>
      </c>
      <c r="D2030" s="164" t="s">
        <v>968</v>
      </c>
      <c r="E2030" s="165">
        <v>413422</v>
      </c>
      <c r="F2030" s="165">
        <v>275422</v>
      </c>
      <c r="G2030" s="165">
        <v>138000</v>
      </c>
      <c r="H2030" s="165">
        <v>0</v>
      </c>
      <c r="I2030" s="163"/>
      <c r="J2030" s="166">
        <v>0</v>
      </c>
      <c r="K2030" s="167" t="s">
        <v>1464</v>
      </c>
      <c r="L2030" s="167">
        <v>752</v>
      </c>
      <c r="M2030" s="168">
        <v>46111</v>
      </c>
      <c r="N2030" s="169" t="s">
        <v>2800</v>
      </c>
      <c r="O2030" s="162">
        <v>208</v>
      </c>
    </row>
    <row r="2031" spans="1:15" x14ac:dyDescent="0.25">
      <c r="A2031" s="154">
        <v>2031</v>
      </c>
      <c r="B2031" s="162" t="s">
        <v>2801</v>
      </c>
      <c r="C2031" s="163">
        <v>2003785</v>
      </c>
      <c r="D2031" s="164" t="s">
        <v>968</v>
      </c>
      <c r="E2031" s="165">
        <v>2003785</v>
      </c>
      <c r="F2031" s="165">
        <v>0</v>
      </c>
      <c r="G2031" s="165">
        <v>0</v>
      </c>
      <c r="H2031" s="165">
        <v>2003785</v>
      </c>
      <c r="I2031" s="163"/>
      <c r="J2031" s="166">
        <v>0</v>
      </c>
      <c r="K2031" s="167" t="s">
        <v>1464</v>
      </c>
      <c r="L2031" s="167">
        <v>752</v>
      </c>
      <c r="M2031" s="168">
        <v>46111</v>
      </c>
      <c r="N2031" s="169" t="s">
        <v>1908</v>
      </c>
      <c r="O2031" s="162">
        <v>116</v>
      </c>
    </row>
    <row r="2032" spans="1:15" x14ac:dyDescent="0.25">
      <c r="A2032" s="154">
        <v>2032</v>
      </c>
      <c r="B2032" s="162" t="s">
        <v>2802</v>
      </c>
      <c r="C2032" s="163">
        <v>11316987</v>
      </c>
      <c r="D2032" s="164" t="s">
        <v>968</v>
      </c>
      <c r="E2032" s="165">
        <v>11316987</v>
      </c>
      <c r="F2032" s="165">
        <v>0</v>
      </c>
      <c r="G2032" s="165">
        <v>0</v>
      </c>
      <c r="H2032" s="165">
        <v>11316987</v>
      </c>
      <c r="I2032" s="163"/>
      <c r="J2032" s="166">
        <v>0</v>
      </c>
      <c r="K2032" s="167" t="s">
        <v>1464</v>
      </c>
      <c r="L2032" s="167">
        <v>752</v>
      </c>
      <c r="M2032" s="168">
        <v>46111</v>
      </c>
      <c r="N2032" s="169" t="s">
        <v>2771</v>
      </c>
      <c r="O2032" s="162">
        <v>116</v>
      </c>
    </row>
    <row r="2033" spans="1:15" x14ac:dyDescent="0.25">
      <c r="A2033" s="154">
        <v>2033</v>
      </c>
      <c r="B2033" s="162" t="s">
        <v>2803</v>
      </c>
      <c r="C2033" s="163">
        <v>26780975</v>
      </c>
      <c r="D2033" s="164" t="s">
        <v>968</v>
      </c>
      <c r="E2033" s="165">
        <v>2915260</v>
      </c>
      <c r="F2033" s="165">
        <v>1250904</v>
      </c>
      <c r="G2033" s="165">
        <v>1664356</v>
      </c>
      <c r="H2033" s="165">
        <v>0</v>
      </c>
      <c r="I2033" s="163"/>
      <c r="J2033" s="166">
        <v>0</v>
      </c>
      <c r="K2033" s="167" t="s">
        <v>1464</v>
      </c>
      <c r="L2033" s="167">
        <v>752</v>
      </c>
      <c r="M2033" s="168">
        <v>46111</v>
      </c>
      <c r="N2033" s="169" t="s">
        <v>2804</v>
      </c>
      <c r="O2033" s="162">
        <v>207</v>
      </c>
    </row>
    <row r="2034" spans="1:15" x14ac:dyDescent="0.25">
      <c r="A2034" s="154">
        <v>2034</v>
      </c>
      <c r="B2034" s="162" t="s">
        <v>2805</v>
      </c>
      <c r="C2034" s="163">
        <v>13021875</v>
      </c>
      <c r="D2034" s="164" t="s">
        <v>968</v>
      </c>
      <c r="E2034" s="165">
        <v>71489</v>
      </c>
      <c r="F2034" s="165">
        <v>71489</v>
      </c>
      <c r="G2034" s="165">
        <v>0</v>
      </c>
      <c r="H2034" s="165">
        <v>0</v>
      </c>
      <c r="I2034" s="163"/>
      <c r="J2034" s="166">
        <v>0</v>
      </c>
      <c r="K2034" s="167" t="s">
        <v>1464</v>
      </c>
      <c r="L2034" s="167">
        <v>752</v>
      </c>
      <c r="M2034" s="168">
        <v>46111</v>
      </c>
      <c r="N2034" s="169" t="s">
        <v>2806</v>
      </c>
      <c r="O2034" s="162">
        <v>206</v>
      </c>
    </row>
    <row r="2035" spans="1:15" x14ac:dyDescent="0.25">
      <c r="A2035" s="154">
        <v>2035</v>
      </c>
      <c r="B2035" s="162" t="s">
        <v>2807</v>
      </c>
      <c r="C2035" s="163">
        <v>21733217</v>
      </c>
      <c r="D2035" s="164" t="s">
        <v>968</v>
      </c>
      <c r="E2035" s="165">
        <v>972492</v>
      </c>
      <c r="F2035" s="165">
        <v>243400</v>
      </c>
      <c r="G2035" s="165">
        <v>729092</v>
      </c>
      <c r="H2035" s="165">
        <v>0</v>
      </c>
      <c r="I2035" s="163"/>
      <c r="J2035" s="166">
        <v>0</v>
      </c>
      <c r="K2035" s="167" t="s">
        <v>1464</v>
      </c>
      <c r="L2035" s="167">
        <v>752</v>
      </c>
      <c r="M2035" s="168">
        <v>46111</v>
      </c>
      <c r="N2035" s="169" t="s">
        <v>2808</v>
      </c>
      <c r="O2035" s="162">
        <v>207</v>
      </c>
    </row>
    <row r="2036" spans="1:15" x14ac:dyDescent="0.25">
      <c r="A2036" s="154">
        <v>2036</v>
      </c>
      <c r="B2036" s="162" t="s">
        <v>2809</v>
      </c>
      <c r="C2036" s="163">
        <v>5003660</v>
      </c>
      <c r="D2036" s="164" t="s">
        <v>968</v>
      </c>
      <c r="E2036" s="165">
        <v>514100</v>
      </c>
      <c r="F2036" s="165">
        <v>0</v>
      </c>
      <c r="G2036" s="165">
        <v>0</v>
      </c>
      <c r="H2036" s="165">
        <v>514100</v>
      </c>
      <c r="I2036" s="163"/>
      <c r="J2036" s="166">
        <v>0</v>
      </c>
      <c r="K2036" s="167" t="s">
        <v>1464</v>
      </c>
      <c r="L2036" s="167">
        <v>752</v>
      </c>
      <c r="M2036" s="168">
        <v>46111</v>
      </c>
      <c r="N2036" s="169" t="s">
        <v>2810</v>
      </c>
      <c r="O2036" s="162">
        <v>223</v>
      </c>
    </row>
    <row r="2037" spans="1:15" x14ac:dyDescent="0.25">
      <c r="A2037" s="154">
        <v>2037</v>
      </c>
      <c r="B2037" s="162" t="s">
        <v>2811</v>
      </c>
      <c r="C2037" s="163">
        <v>80800</v>
      </c>
      <c r="D2037" s="164" t="s">
        <v>968</v>
      </c>
      <c r="E2037" s="165">
        <v>80800</v>
      </c>
      <c r="F2037" s="165">
        <v>0</v>
      </c>
      <c r="G2037" s="165">
        <v>80800</v>
      </c>
      <c r="H2037" s="165">
        <v>0</v>
      </c>
      <c r="I2037" s="163"/>
      <c r="J2037" s="166">
        <v>0</v>
      </c>
      <c r="K2037" s="167" t="s">
        <v>1464</v>
      </c>
      <c r="L2037" s="167">
        <v>753</v>
      </c>
      <c r="M2037" s="168">
        <v>46111</v>
      </c>
      <c r="N2037" s="169" t="s">
        <v>1029</v>
      </c>
      <c r="O2037" s="162">
        <v>302</v>
      </c>
    </row>
    <row r="2038" spans="1:15" x14ac:dyDescent="0.25">
      <c r="A2038" s="154">
        <v>2038</v>
      </c>
      <c r="B2038" s="162" t="s">
        <v>2812</v>
      </c>
      <c r="C2038" s="163">
        <v>80800</v>
      </c>
      <c r="D2038" s="164" t="s">
        <v>968</v>
      </c>
      <c r="E2038" s="165">
        <v>80800</v>
      </c>
      <c r="F2038" s="165">
        <v>0</v>
      </c>
      <c r="G2038" s="165">
        <v>80800</v>
      </c>
      <c r="H2038" s="165">
        <v>0</v>
      </c>
      <c r="I2038" s="163"/>
      <c r="J2038" s="166">
        <v>0</v>
      </c>
      <c r="K2038" s="167" t="s">
        <v>1464</v>
      </c>
      <c r="L2038" s="167">
        <v>753</v>
      </c>
      <c r="M2038" s="168">
        <v>46111</v>
      </c>
      <c r="N2038" s="169" t="s">
        <v>1029</v>
      </c>
      <c r="O2038" s="162">
        <v>302</v>
      </c>
    </row>
    <row r="2039" spans="1:15" x14ac:dyDescent="0.25">
      <c r="A2039" s="154">
        <v>2039</v>
      </c>
      <c r="B2039" s="162" t="s">
        <v>2813</v>
      </c>
      <c r="C2039" s="163">
        <v>653600</v>
      </c>
      <c r="D2039" s="164" t="s">
        <v>968</v>
      </c>
      <c r="E2039" s="165">
        <v>653600</v>
      </c>
      <c r="F2039" s="165">
        <v>0</v>
      </c>
      <c r="G2039" s="165">
        <v>653600</v>
      </c>
      <c r="H2039" s="165">
        <v>0</v>
      </c>
      <c r="I2039" s="163"/>
      <c r="J2039" s="166">
        <v>0</v>
      </c>
      <c r="K2039" s="167" t="s">
        <v>1464</v>
      </c>
      <c r="L2039" s="167">
        <v>754</v>
      </c>
      <c r="M2039" s="168">
        <v>46111</v>
      </c>
      <c r="N2039" s="169" t="s">
        <v>1029</v>
      </c>
      <c r="O2039" s="200">
        <v>502</v>
      </c>
    </row>
    <row r="2040" spans="1:15" x14ac:dyDescent="0.25">
      <c r="A2040" s="154">
        <v>2040</v>
      </c>
      <c r="B2040" s="162" t="s">
        <v>2814</v>
      </c>
      <c r="C2040" s="163">
        <v>79088152</v>
      </c>
      <c r="D2040" s="164" t="s">
        <v>968</v>
      </c>
      <c r="E2040" s="165">
        <v>1201675</v>
      </c>
      <c r="F2040" s="165">
        <v>999880</v>
      </c>
      <c r="G2040" s="165">
        <v>201795</v>
      </c>
      <c r="H2040" s="165">
        <v>0</v>
      </c>
      <c r="I2040" s="163"/>
      <c r="J2040" s="166">
        <v>0</v>
      </c>
      <c r="K2040" s="167" t="s">
        <v>1464</v>
      </c>
      <c r="L2040" s="167">
        <v>755</v>
      </c>
      <c r="M2040" s="168">
        <v>46111</v>
      </c>
      <c r="N2040" s="169" t="s">
        <v>2815</v>
      </c>
      <c r="O2040" s="162">
        <v>206</v>
      </c>
    </row>
    <row r="2041" spans="1:15" x14ac:dyDescent="0.25">
      <c r="A2041" s="154">
        <v>2041</v>
      </c>
      <c r="B2041" s="162" t="s">
        <v>2816</v>
      </c>
      <c r="C2041" s="163">
        <v>30774283</v>
      </c>
      <c r="D2041" s="164" t="s">
        <v>968</v>
      </c>
      <c r="E2041" s="165">
        <v>492316</v>
      </c>
      <c r="F2041" s="165">
        <v>337806</v>
      </c>
      <c r="G2041" s="165">
        <v>154510</v>
      </c>
      <c r="H2041" s="165">
        <v>0</v>
      </c>
      <c r="I2041" s="163"/>
      <c r="J2041" s="166">
        <v>0</v>
      </c>
      <c r="K2041" s="167" t="s">
        <v>1464</v>
      </c>
      <c r="L2041" s="167">
        <v>756</v>
      </c>
      <c r="M2041" s="168">
        <v>46112</v>
      </c>
      <c r="N2041" s="169" t="s">
        <v>2817</v>
      </c>
      <c r="O2041" s="162">
        <v>207</v>
      </c>
    </row>
    <row r="2042" spans="1:15" x14ac:dyDescent="0.25">
      <c r="A2042" s="154">
        <v>2042</v>
      </c>
      <c r="B2042" s="162" t="s">
        <v>2818</v>
      </c>
      <c r="C2042" s="163">
        <v>4877064</v>
      </c>
      <c r="D2042" s="164" t="s">
        <v>968</v>
      </c>
      <c r="E2042" s="165">
        <v>55288</v>
      </c>
      <c r="F2042" s="165">
        <v>55288</v>
      </c>
      <c r="G2042" s="165">
        <v>0</v>
      </c>
      <c r="H2042" s="165">
        <v>0</v>
      </c>
      <c r="I2042" s="163"/>
      <c r="J2042" s="166">
        <v>0</v>
      </c>
      <c r="K2042" s="167" t="s">
        <v>1464</v>
      </c>
      <c r="L2042" s="167">
        <v>756</v>
      </c>
      <c r="M2042" s="168">
        <v>46112</v>
      </c>
      <c r="N2042" s="169" t="s">
        <v>2819</v>
      </c>
      <c r="O2042" s="162">
        <v>208</v>
      </c>
    </row>
    <row r="2043" spans="1:15" x14ac:dyDescent="0.25">
      <c r="A2043" s="154">
        <v>2043</v>
      </c>
      <c r="B2043" s="162" t="s">
        <v>2820</v>
      </c>
      <c r="C2043" s="163">
        <v>147800</v>
      </c>
      <c r="D2043" s="164" t="s">
        <v>968</v>
      </c>
      <c r="E2043" s="165">
        <v>100640</v>
      </c>
      <c r="F2043" s="165">
        <v>0</v>
      </c>
      <c r="G2043" s="165">
        <v>100640</v>
      </c>
      <c r="H2043" s="165">
        <v>0</v>
      </c>
      <c r="I2043" s="163"/>
      <c r="J2043" s="166">
        <v>0</v>
      </c>
      <c r="K2043" s="167" t="s">
        <v>1464</v>
      </c>
      <c r="L2043" s="167">
        <v>757</v>
      </c>
      <c r="M2043" s="168">
        <v>46112</v>
      </c>
      <c r="N2043" s="169" t="s">
        <v>1029</v>
      </c>
      <c r="O2043" s="162">
        <v>202</v>
      </c>
    </row>
    <row r="2044" spans="1:15" x14ac:dyDescent="0.25">
      <c r="A2044" s="154">
        <v>2044</v>
      </c>
      <c r="B2044" s="162" t="s">
        <v>2821</v>
      </c>
      <c r="C2044" s="163">
        <v>80800</v>
      </c>
      <c r="D2044" s="164" t="s">
        <v>968</v>
      </c>
      <c r="E2044" s="165">
        <v>80800</v>
      </c>
      <c r="F2044" s="165">
        <v>0</v>
      </c>
      <c r="G2044" s="165">
        <v>80800</v>
      </c>
      <c r="H2044" s="165">
        <v>0</v>
      </c>
      <c r="I2044" s="163"/>
      <c r="J2044" s="166">
        <v>0</v>
      </c>
      <c r="K2044" s="167" t="s">
        <v>1464</v>
      </c>
      <c r="L2044" s="167">
        <v>758</v>
      </c>
      <c r="M2044" s="168">
        <v>46111</v>
      </c>
      <c r="N2044" s="169" t="s">
        <v>1029</v>
      </c>
      <c r="O2044" s="162">
        <v>302</v>
      </c>
    </row>
    <row r="2045" spans="1:15" x14ac:dyDescent="0.25">
      <c r="A2045" s="154">
        <v>2045</v>
      </c>
      <c r="B2045" s="162" t="s">
        <v>2822</v>
      </c>
      <c r="C2045" s="163">
        <v>80800</v>
      </c>
      <c r="D2045" s="164" t="s">
        <v>968</v>
      </c>
      <c r="E2045" s="165">
        <v>80800</v>
      </c>
      <c r="F2045" s="165">
        <v>0</v>
      </c>
      <c r="G2045" s="165">
        <v>80800</v>
      </c>
      <c r="H2045" s="165"/>
      <c r="I2045" s="163"/>
      <c r="J2045" s="166">
        <v>0</v>
      </c>
      <c r="K2045" s="167" t="s">
        <v>1464</v>
      </c>
      <c r="L2045" s="167">
        <v>758</v>
      </c>
      <c r="M2045" s="168">
        <v>46111</v>
      </c>
      <c r="N2045" s="169" t="s">
        <v>1029</v>
      </c>
      <c r="O2045" s="162">
        <v>308</v>
      </c>
    </row>
    <row r="2046" spans="1:15" x14ac:dyDescent="0.25">
      <c r="A2046" s="154">
        <v>2046</v>
      </c>
      <c r="B2046" s="162" t="s">
        <v>2823</v>
      </c>
      <c r="C2046" s="163">
        <v>80800</v>
      </c>
      <c r="D2046" s="164" t="s">
        <v>968</v>
      </c>
      <c r="E2046" s="165">
        <v>80800</v>
      </c>
      <c r="F2046" s="165">
        <v>0</v>
      </c>
      <c r="G2046" s="165">
        <v>80800</v>
      </c>
      <c r="H2046" s="165"/>
      <c r="I2046" s="163"/>
      <c r="J2046" s="166">
        <v>0</v>
      </c>
      <c r="K2046" s="167" t="s">
        <v>1464</v>
      </c>
      <c r="L2046" s="167">
        <v>758</v>
      </c>
      <c r="M2046" s="168">
        <v>46111</v>
      </c>
      <c r="N2046" s="169" t="s">
        <v>1029</v>
      </c>
      <c r="O2046" s="162">
        <v>308</v>
      </c>
    </row>
    <row r="2047" spans="1:15" x14ac:dyDescent="0.25">
      <c r="A2047" s="154">
        <v>2047</v>
      </c>
      <c r="B2047" s="162" t="s">
        <v>2824</v>
      </c>
      <c r="C2047" s="163">
        <v>80800</v>
      </c>
      <c r="D2047" s="164" t="s">
        <v>968</v>
      </c>
      <c r="E2047" s="165">
        <v>80800</v>
      </c>
      <c r="F2047" s="165">
        <v>0</v>
      </c>
      <c r="G2047" s="165">
        <v>80800</v>
      </c>
      <c r="H2047" s="165"/>
      <c r="I2047" s="163"/>
      <c r="J2047" s="166">
        <v>0</v>
      </c>
      <c r="K2047" s="167" t="s">
        <v>1464</v>
      </c>
      <c r="L2047" s="167">
        <v>758</v>
      </c>
      <c r="M2047" s="168">
        <v>46111</v>
      </c>
      <c r="N2047" s="169" t="s">
        <v>1029</v>
      </c>
      <c r="O2047" s="162">
        <v>308</v>
      </c>
    </row>
    <row r="2048" spans="1:15" x14ac:dyDescent="0.25">
      <c r="A2048" s="154">
        <v>2048</v>
      </c>
      <c r="B2048" s="162" t="s">
        <v>2825</v>
      </c>
      <c r="C2048" s="163">
        <v>80800</v>
      </c>
      <c r="D2048" s="164" t="s">
        <v>968</v>
      </c>
      <c r="E2048" s="165">
        <v>80800</v>
      </c>
      <c r="F2048" s="165">
        <v>0</v>
      </c>
      <c r="G2048" s="165">
        <v>80800</v>
      </c>
      <c r="H2048" s="165"/>
      <c r="I2048" s="163"/>
      <c r="J2048" s="166">
        <v>0</v>
      </c>
      <c r="K2048" s="167" t="s">
        <v>1464</v>
      </c>
      <c r="L2048" s="167">
        <v>758</v>
      </c>
      <c r="M2048" s="168">
        <v>46111</v>
      </c>
      <c r="N2048" s="169" t="s">
        <v>1029</v>
      </c>
      <c r="O2048" s="162">
        <v>308</v>
      </c>
    </row>
    <row r="2049" spans="1:15" x14ac:dyDescent="0.25">
      <c r="A2049" s="154">
        <v>2049</v>
      </c>
      <c r="B2049" s="162" t="s">
        <v>2826</v>
      </c>
      <c r="C2049" s="163">
        <v>3093740</v>
      </c>
      <c r="D2049" s="164" t="s">
        <v>968</v>
      </c>
      <c r="E2049" s="165">
        <v>2001000</v>
      </c>
      <c r="F2049" s="165">
        <v>1600800</v>
      </c>
      <c r="G2049" s="165">
        <v>400200</v>
      </c>
      <c r="H2049" s="165">
        <v>0</v>
      </c>
      <c r="I2049" s="163"/>
      <c r="J2049" s="166">
        <v>0</v>
      </c>
      <c r="K2049" s="167" t="s">
        <v>1464</v>
      </c>
      <c r="L2049" s="167">
        <v>759</v>
      </c>
      <c r="M2049" s="168">
        <v>46111</v>
      </c>
      <c r="N2049" s="169" t="s">
        <v>2827</v>
      </c>
      <c r="O2049" s="162">
        <v>601</v>
      </c>
    </row>
    <row r="2050" spans="1:15" x14ac:dyDescent="0.25">
      <c r="A2050" s="154">
        <v>2050</v>
      </c>
      <c r="B2050" s="162" t="s">
        <v>2828</v>
      </c>
      <c r="C2050" s="163">
        <v>14953900</v>
      </c>
      <c r="D2050" s="164" t="s">
        <v>968</v>
      </c>
      <c r="E2050" s="165">
        <v>1071300</v>
      </c>
      <c r="F2050" s="165">
        <v>386790</v>
      </c>
      <c r="G2050" s="165">
        <v>684510</v>
      </c>
      <c r="H2050" s="165">
        <v>0</v>
      </c>
      <c r="I2050" s="163"/>
      <c r="J2050" s="166">
        <v>0</v>
      </c>
      <c r="K2050" s="167" t="s">
        <v>1464</v>
      </c>
      <c r="L2050" s="167">
        <v>759</v>
      </c>
      <c r="M2050" s="168">
        <v>46111</v>
      </c>
      <c r="N2050" s="169" t="s">
        <v>2829</v>
      </c>
      <c r="O2050" s="162">
        <v>207</v>
      </c>
    </row>
    <row r="2051" spans="1:15" x14ac:dyDescent="0.25">
      <c r="A2051" s="154">
        <v>2051</v>
      </c>
      <c r="B2051" s="162" t="s">
        <v>2830</v>
      </c>
      <c r="C2051" s="163">
        <v>31279786</v>
      </c>
      <c r="D2051" s="164" t="s">
        <v>968</v>
      </c>
      <c r="E2051" s="165">
        <v>3525200</v>
      </c>
      <c r="F2051" s="165">
        <v>1362050</v>
      </c>
      <c r="G2051" s="165">
        <v>2163150</v>
      </c>
      <c r="H2051" s="165">
        <v>0</v>
      </c>
      <c r="I2051" s="163"/>
      <c r="J2051" s="166">
        <v>0</v>
      </c>
      <c r="K2051" s="167" t="s">
        <v>1464</v>
      </c>
      <c r="L2051" s="167">
        <v>759</v>
      </c>
      <c r="M2051" s="168">
        <v>46111</v>
      </c>
      <c r="N2051" s="169" t="s">
        <v>2831</v>
      </c>
      <c r="O2051" s="162">
        <v>111</v>
      </c>
    </row>
    <row r="2052" spans="1:15" x14ac:dyDescent="0.25">
      <c r="A2052" s="154">
        <v>2052</v>
      </c>
      <c r="B2052" s="162" t="s">
        <v>2832</v>
      </c>
      <c r="C2052" s="163">
        <v>5307000</v>
      </c>
      <c r="D2052" s="164" t="s">
        <v>968</v>
      </c>
      <c r="E2052" s="165">
        <v>1071400</v>
      </c>
      <c r="F2052" s="165">
        <v>0</v>
      </c>
      <c r="G2052" s="165">
        <v>1071400</v>
      </c>
      <c r="H2052" s="165">
        <v>0</v>
      </c>
      <c r="I2052" s="163"/>
      <c r="J2052" s="166">
        <v>0</v>
      </c>
      <c r="K2052" s="167" t="s">
        <v>1464</v>
      </c>
      <c r="L2052" s="167">
        <v>759</v>
      </c>
      <c r="M2052" s="168">
        <v>46111</v>
      </c>
      <c r="N2052" s="169" t="s">
        <v>1029</v>
      </c>
      <c r="O2052" s="162">
        <v>202</v>
      </c>
    </row>
    <row r="2053" spans="1:15" x14ac:dyDescent="0.25">
      <c r="A2053" s="154">
        <v>2053</v>
      </c>
      <c r="B2053" s="162" t="s">
        <v>2833</v>
      </c>
      <c r="C2053" s="163">
        <v>4404348</v>
      </c>
      <c r="D2053" s="164" t="s">
        <v>968</v>
      </c>
      <c r="E2053" s="165">
        <v>159400</v>
      </c>
      <c r="F2053" s="165">
        <v>0</v>
      </c>
      <c r="G2053" s="165">
        <v>159400</v>
      </c>
      <c r="H2053" s="165">
        <v>0</v>
      </c>
      <c r="I2053" s="163"/>
      <c r="J2053" s="166">
        <v>0</v>
      </c>
      <c r="K2053" s="167" t="s">
        <v>1464</v>
      </c>
      <c r="L2053" s="167">
        <v>759</v>
      </c>
      <c r="M2053" s="168">
        <v>46111</v>
      </c>
      <c r="N2053" s="169" t="s">
        <v>1029</v>
      </c>
      <c r="O2053" s="162">
        <v>308</v>
      </c>
    </row>
    <row r="2054" spans="1:15" x14ac:dyDescent="0.25">
      <c r="A2054" s="154">
        <v>2054</v>
      </c>
      <c r="B2054" s="162" t="s">
        <v>2834</v>
      </c>
      <c r="C2054" s="163">
        <v>6107723</v>
      </c>
      <c r="D2054" s="164" t="s">
        <v>968</v>
      </c>
      <c r="E2054" s="165">
        <v>752932</v>
      </c>
      <c r="F2054" s="165">
        <v>752932</v>
      </c>
      <c r="G2054" s="165">
        <v>0</v>
      </c>
      <c r="H2054" s="165">
        <v>0</v>
      </c>
      <c r="I2054" s="163"/>
      <c r="J2054" s="166">
        <v>0</v>
      </c>
      <c r="K2054" s="167" t="s">
        <v>1464</v>
      </c>
      <c r="L2054" s="167">
        <v>759</v>
      </c>
      <c r="M2054" s="168">
        <v>46111</v>
      </c>
      <c r="N2054" s="169" t="s">
        <v>2835</v>
      </c>
      <c r="O2054" s="162">
        <v>206</v>
      </c>
    </row>
    <row r="2055" spans="1:15" x14ac:dyDescent="0.25">
      <c r="A2055" s="154">
        <v>2055</v>
      </c>
      <c r="B2055" s="162" t="s">
        <v>2836</v>
      </c>
      <c r="C2055" s="163">
        <v>5663505</v>
      </c>
      <c r="D2055" s="164" t="s">
        <v>968</v>
      </c>
      <c r="E2055" s="165">
        <v>315300</v>
      </c>
      <c r="F2055" s="165">
        <v>243400</v>
      </c>
      <c r="G2055" s="165">
        <v>71900</v>
      </c>
      <c r="H2055" s="165">
        <v>0</v>
      </c>
      <c r="I2055" s="163"/>
      <c r="J2055" s="166">
        <v>0</v>
      </c>
      <c r="K2055" s="167" t="s">
        <v>1464</v>
      </c>
      <c r="L2055" s="167">
        <v>759</v>
      </c>
      <c r="M2055" s="168">
        <v>46111</v>
      </c>
      <c r="N2055" s="169" t="s">
        <v>2837</v>
      </c>
      <c r="O2055" s="162">
        <v>208</v>
      </c>
    </row>
    <row r="2056" spans="1:15" x14ac:dyDescent="0.25">
      <c r="A2056" s="154">
        <v>2056</v>
      </c>
      <c r="B2056" s="162" t="s">
        <v>2838</v>
      </c>
      <c r="C2056" s="163">
        <v>9536014</v>
      </c>
      <c r="D2056" s="164" t="s">
        <v>968</v>
      </c>
      <c r="E2056" s="165">
        <v>301900</v>
      </c>
      <c r="F2056" s="165">
        <v>243400</v>
      </c>
      <c r="G2056" s="165">
        <v>58500</v>
      </c>
      <c r="H2056" s="165">
        <v>0</v>
      </c>
      <c r="I2056" s="163"/>
      <c r="J2056" s="166">
        <v>0</v>
      </c>
      <c r="K2056" s="167" t="s">
        <v>1464</v>
      </c>
      <c r="L2056" s="167">
        <v>759</v>
      </c>
      <c r="M2056" s="168">
        <v>46111</v>
      </c>
      <c r="N2056" s="169" t="s">
        <v>2837</v>
      </c>
      <c r="O2056" s="162">
        <v>202</v>
      </c>
    </row>
    <row r="2057" spans="1:15" x14ac:dyDescent="0.25">
      <c r="A2057" s="154">
        <v>2057</v>
      </c>
      <c r="B2057" s="162" t="s">
        <v>2839</v>
      </c>
      <c r="C2057" s="163">
        <v>84093318</v>
      </c>
      <c r="D2057" s="164" t="s">
        <v>968</v>
      </c>
      <c r="E2057" s="165">
        <v>6032650</v>
      </c>
      <c r="F2057" s="165">
        <v>3672950</v>
      </c>
      <c r="G2057" s="165">
        <v>1355200</v>
      </c>
      <c r="H2057" s="165">
        <v>1004500</v>
      </c>
      <c r="I2057" s="163"/>
      <c r="J2057" s="166">
        <v>0</v>
      </c>
      <c r="K2057" s="167" t="s">
        <v>1464</v>
      </c>
      <c r="L2057" s="167">
        <v>759</v>
      </c>
      <c r="M2057" s="168">
        <v>46111</v>
      </c>
      <c r="N2057" s="169" t="s">
        <v>2840</v>
      </c>
      <c r="O2057" s="162">
        <v>105</v>
      </c>
    </row>
    <row r="2058" spans="1:15" x14ac:dyDescent="0.25">
      <c r="A2058" s="154">
        <v>2058</v>
      </c>
      <c r="B2058" s="162" t="s">
        <v>2841</v>
      </c>
      <c r="C2058" s="163">
        <v>7404060</v>
      </c>
      <c r="D2058" s="164" t="s">
        <v>968</v>
      </c>
      <c r="E2058" s="165">
        <v>675000</v>
      </c>
      <c r="F2058" s="165">
        <v>270000</v>
      </c>
      <c r="G2058" s="165">
        <v>405000</v>
      </c>
      <c r="H2058" s="165">
        <v>0</v>
      </c>
      <c r="I2058" s="163"/>
      <c r="J2058" s="166">
        <v>0</v>
      </c>
      <c r="K2058" s="167" t="s">
        <v>1464</v>
      </c>
      <c r="L2058" s="167">
        <v>759</v>
      </c>
      <c r="M2058" s="168">
        <v>46111</v>
      </c>
      <c r="N2058" s="169" t="s">
        <v>2842</v>
      </c>
      <c r="O2058" s="162">
        <v>207</v>
      </c>
    </row>
    <row r="2059" spans="1:15" x14ac:dyDescent="0.25">
      <c r="A2059" s="154">
        <v>2059</v>
      </c>
      <c r="B2059" s="162" t="s">
        <v>2843</v>
      </c>
      <c r="C2059" s="163">
        <v>112709841</v>
      </c>
      <c r="D2059" s="164" t="s">
        <v>968</v>
      </c>
      <c r="E2059" s="165">
        <v>14809691</v>
      </c>
      <c r="F2059" s="165">
        <v>756212</v>
      </c>
      <c r="G2059" s="165">
        <v>14053479</v>
      </c>
      <c r="H2059" s="165">
        <v>0</v>
      </c>
      <c r="I2059" s="163"/>
      <c r="J2059" s="166">
        <v>0</v>
      </c>
      <c r="K2059" s="167" t="s">
        <v>1464</v>
      </c>
      <c r="L2059" s="167">
        <v>759</v>
      </c>
      <c r="M2059" s="168">
        <v>46111</v>
      </c>
      <c r="N2059" s="169" t="s">
        <v>2844</v>
      </c>
      <c r="O2059" s="162">
        <v>206</v>
      </c>
    </row>
    <row r="2060" spans="1:15" x14ac:dyDescent="0.25">
      <c r="A2060" s="154">
        <v>2060</v>
      </c>
      <c r="B2060" s="162" t="s">
        <v>2845</v>
      </c>
      <c r="C2060" s="163">
        <v>18996926</v>
      </c>
      <c r="D2060" s="164" t="s">
        <v>968</v>
      </c>
      <c r="E2060" s="165">
        <v>262756</v>
      </c>
      <c r="F2060" s="165">
        <v>251836</v>
      </c>
      <c r="G2060" s="165">
        <v>10920</v>
      </c>
      <c r="H2060" s="165">
        <v>0</v>
      </c>
      <c r="I2060" s="163"/>
      <c r="J2060" s="166">
        <v>0</v>
      </c>
      <c r="K2060" s="167" t="s">
        <v>1464</v>
      </c>
      <c r="L2060" s="167">
        <v>759</v>
      </c>
      <c r="M2060" s="168">
        <v>46111</v>
      </c>
      <c r="N2060" s="169" t="s">
        <v>2846</v>
      </c>
      <c r="O2060" s="162">
        <v>106</v>
      </c>
    </row>
    <row r="2061" spans="1:15" x14ac:dyDescent="0.25">
      <c r="A2061" s="154">
        <v>2061</v>
      </c>
      <c r="B2061" s="162" t="s">
        <v>2847</v>
      </c>
      <c r="C2061" s="163">
        <v>1478895</v>
      </c>
      <c r="D2061" s="164" t="s">
        <v>968</v>
      </c>
      <c r="E2061" s="165">
        <v>51600</v>
      </c>
      <c r="F2061" s="165">
        <v>51600</v>
      </c>
      <c r="G2061" s="165">
        <v>0</v>
      </c>
      <c r="H2061" s="165">
        <v>0</v>
      </c>
      <c r="I2061" s="163"/>
      <c r="J2061" s="166">
        <v>0</v>
      </c>
      <c r="K2061" s="167" t="s">
        <v>1464</v>
      </c>
      <c r="L2061" s="167">
        <v>759</v>
      </c>
      <c r="M2061" s="168">
        <v>46111</v>
      </c>
      <c r="N2061" s="169" t="s">
        <v>2848</v>
      </c>
      <c r="O2061" s="162">
        <v>106</v>
      </c>
    </row>
    <row r="2062" spans="1:15" x14ac:dyDescent="0.25">
      <c r="A2062" s="154">
        <v>2062</v>
      </c>
      <c r="B2062" s="162" t="s">
        <v>2849</v>
      </c>
      <c r="C2062" s="163">
        <v>98734852</v>
      </c>
      <c r="D2062" s="164" t="s">
        <v>968</v>
      </c>
      <c r="E2062" s="165">
        <v>11569990</v>
      </c>
      <c r="F2062" s="165">
        <v>4364947</v>
      </c>
      <c r="G2062" s="165">
        <v>5781643</v>
      </c>
      <c r="H2062" s="165">
        <v>1423400</v>
      </c>
      <c r="I2062" s="163"/>
      <c r="J2062" s="166">
        <v>0</v>
      </c>
      <c r="K2062" s="167" t="s">
        <v>1464</v>
      </c>
      <c r="L2062" s="167">
        <v>759</v>
      </c>
      <c r="M2062" s="168">
        <v>46111</v>
      </c>
      <c r="N2062" s="169" t="s">
        <v>2850</v>
      </c>
      <c r="O2062" s="162">
        <v>202</v>
      </c>
    </row>
    <row r="2063" spans="1:15" x14ac:dyDescent="0.25">
      <c r="A2063" s="154">
        <v>2063</v>
      </c>
      <c r="B2063" s="162" t="s">
        <v>2851</v>
      </c>
      <c r="C2063" s="163">
        <v>22245090</v>
      </c>
      <c r="D2063" s="164" t="s">
        <v>968</v>
      </c>
      <c r="E2063" s="165">
        <v>6082319</v>
      </c>
      <c r="F2063" s="165">
        <v>4794719</v>
      </c>
      <c r="G2063" s="165">
        <v>1287600</v>
      </c>
      <c r="H2063" s="165">
        <v>0</v>
      </c>
      <c r="I2063" s="163"/>
      <c r="J2063" s="166">
        <v>0</v>
      </c>
      <c r="K2063" s="167" t="s">
        <v>1464</v>
      </c>
      <c r="L2063" s="167">
        <v>759</v>
      </c>
      <c r="M2063" s="168">
        <v>46111</v>
      </c>
      <c r="N2063" s="169" t="s">
        <v>2852</v>
      </c>
      <c r="O2063" s="162" t="s">
        <v>2853</v>
      </c>
    </row>
    <row r="2064" spans="1:15" x14ac:dyDescent="0.25">
      <c r="A2064" s="154">
        <v>2064</v>
      </c>
      <c r="B2064" s="162" t="s">
        <v>2854</v>
      </c>
      <c r="C2064" s="163">
        <v>17034869</v>
      </c>
      <c r="D2064" s="164" t="s">
        <v>968</v>
      </c>
      <c r="E2064" s="165">
        <v>3269600</v>
      </c>
      <c r="F2064" s="165">
        <v>290000</v>
      </c>
      <c r="G2064" s="165">
        <v>198640</v>
      </c>
      <c r="H2064" s="165">
        <v>2780960</v>
      </c>
      <c r="I2064" s="163"/>
      <c r="J2064" s="166">
        <v>0</v>
      </c>
      <c r="K2064" s="167" t="s">
        <v>1464</v>
      </c>
      <c r="L2064" s="167">
        <v>760</v>
      </c>
      <c r="M2064" s="168">
        <v>46111</v>
      </c>
      <c r="N2064" s="169" t="s">
        <v>2855</v>
      </c>
      <c r="O2064" s="162">
        <v>206</v>
      </c>
    </row>
    <row r="2065" spans="1:15" x14ac:dyDescent="0.25">
      <c r="A2065" s="154">
        <v>2065</v>
      </c>
      <c r="B2065" s="162" t="s">
        <v>2856</v>
      </c>
      <c r="C2065" s="163">
        <v>7587950</v>
      </c>
      <c r="D2065" s="164" t="s">
        <v>968</v>
      </c>
      <c r="E2065" s="165">
        <v>55288</v>
      </c>
      <c r="F2065" s="165">
        <v>55288</v>
      </c>
      <c r="G2065" s="165">
        <v>0</v>
      </c>
      <c r="H2065" s="165">
        <v>0</v>
      </c>
      <c r="I2065" s="163"/>
      <c r="J2065" s="166">
        <v>0</v>
      </c>
      <c r="K2065" s="167" t="s">
        <v>1464</v>
      </c>
      <c r="L2065" s="167">
        <v>760</v>
      </c>
      <c r="M2065" s="168">
        <v>46111</v>
      </c>
      <c r="N2065" s="169" t="s">
        <v>2857</v>
      </c>
      <c r="O2065" s="162">
        <v>208</v>
      </c>
    </row>
    <row r="2066" spans="1:15" x14ac:dyDescent="0.25">
      <c r="A2066" s="154">
        <v>2066</v>
      </c>
      <c r="B2066" s="162" t="s">
        <v>2858</v>
      </c>
      <c r="C2066" s="163">
        <v>22473009</v>
      </c>
      <c r="D2066" s="164" t="s">
        <v>968</v>
      </c>
      <c r="E2066" s="165">
        <v>5019300</v>
      </c>
      <c r="F2066" s="165">
        <v>0</v>
      </c>
      <c r="G2066" s="165">
        <v>2413300</v>
      </c>
      <c r="H2066" s="165">
        <v>2606000</v>
      </c>
      <c r="I2066" s="163"/>
      <c r="J2066" s="166">
        <v>0</v>
      </c>
      <c r="K2066" s="167" t="s">
        <v>1464</v>
      </c>
      <c r="L2066" s="167">
        <v>761</v>
      </c>
      <c r="M2066" s="168">
        <v>46118</v>
      </c>
      <c r="N2066" s="169" t="s">
        <v>2859</v>
      </c>
      <c r="O2066" s="162">
        <v>103</v>
      </c>
    </row>
    <row r="2067" spans="1:15" x14ac:dyDescent="0.25">
      <c r="A2067" s="154">
        <v>2067</v>
      </c>
      <c r="B2067" s="162" t="s">
        <v>2860</v>
      </c>
      <c r="C2067" s="163">
        <v>8962304</v>
      </c>
      <c r="D2067" s="164" t="s">
        <v>968</v>
      </c>
      <c r="E2067" s="165">
        <v>2327979</v>
      </c>
      <c r="F2067" s="165">
        <v>1684029</v>
      </c>
      <c r="G2067" s="165">
        <v>643950</v>
      </c>
      <c r="H2067" s="165">
        <v>0</v>
      </c>
      <c r="I2067" s="163"/>
      <c r="J2067" s="166">
        <v>0</v>
      </c>
      <c r="K2067" s="167" t="s">
        <v>1464</v>
      </c>
      <c r="L2067" s="167">
        <v>761</v>
      </c>
      <c r="M2067" s="168">
        <v>46118</v>
      </c>
      <c r="N2067" s="169" t="s">
        <v>2861</v>
      </c>
      <c r="O2067" s="162">
        <v>106</v>
      </c>
    </row>
    <row r="2068" spans="1:15" x14ac:dyDescent="0.25">
      <c r="A2068" s="154">
        <v>2068</v>
      </c>
      <c r="B2068" s="162" t="s">
        <v>2862</v>
      </c>
      <c r="C2068" s="163">
        <v>10624200</v>
      </c>
      <c r="D2068" s="164" t="s">
        <v>968</v>
      </c>
      <c r="E2068" s="165">
        <v>72800</v>
      </c>
      <c r="F2068" s="165">
        <v>72800</v>
      </c>
      <c r="G2068" s="165">
        <v>0</v>
      </c>
      <c r="H2068" s="165">
        <v>0</v>
      </c>
      <c r="I2068" s="163"/>
      <c r="J2068" s="166">
        <v>0</v>
      </c>
      <c r="K2068" s="167" t="s">
        <v>1464</v>
      </c>
      <c r="L2068" s="167">
        <v>761</v>
      </c>
      <c r="M2068" s="168">
        <v>46118</v>
      </c>
      <c r="N2068" s="169" t="s">
        <v>2863</v>
      </c>
      <c r="O2068" s="162">
        <v>127</v>
      </c>
    </row>
    <row r="2069" spans="1:15" x14ac:dyDescent="0.25">
      <c r="A2069" s="154">
        <v>2069</v>
      </c>
      <c r="B2069" s="162" t="s">
        <v>2864</v>
      </c>
      <c r="C2069" s="163">
        <v>24114059</v>
      </c>
      <c r="D2069" s="164" t="s">
        <v>968</v>
      </c>
      <c r="E2069" s="165">
        <v>2704701</v>
      </c>
      <c r="F2069" s="165">
        <v>2060901</v>
      </c>
      <c r="G2069" s="165">
        <v>643800</v>
      </c>
      <c r="H2069" s="165">
        <v>0</v>
      </c>
      <c r="I2069" s="163"/>
      <c r="J2069" s="166">
        <v>0</v>
      </c>
      <c r="K2069" s="167" t="s">
        <v>1464</v>
      </c>
      <c r="L2069" s="167">
        <v>761</v>
      </c>
      <c r="M2069" s="168">
        <v>46118</v>
      </c>
      <c r="N2069" s="169" t="s">
        <v>2865</v>
      </c>
      <c r="O2069" s="162">
        <v>206</v>
      </c>
    </row>
    <row r="2070" spans="1:15" x14ac:dyDescent="0.25">
      <c r="A2070" s="154">
        <v>2070</v>
      </c>
      <c r="B2070" s="162" t="s">
        <v>2866</v>
      </c>
      <c r="C2070" s="163">
        <v>10076605</v>
      </c>
      <c r="D2070" s="164" t="s">
        <v>968</v>
      </c>
      <c r="E2070" s="165">
        <v>23000</v>
      </c>
      <c r="F2070" s="165">
        <v>23000</v>
      </c>
      <c r="G2070" s="165">
        <v>0</v>
      </c>
      <c r="H2070" s="165">
        <v>0</v>
      </c>
      <c r="I2070" s="163"/>
      <c r="J2070" s="166">
        <v>0</v>
      </c>
      <c r="K2070" s="167" t="s">
        <v>1464</v>
      </c>
      <c r="L2070" s="167">
        <v>761</v>
      </c>
      <c r="M2070" s="168">
        <v>46118</v>
      </c>
      <c r="N2070" s="169" t="s">
        <v>2867</v>
      </c>
      <c r="O2070" s="162">
        <v>106</v>
      </c>
    </row>
    <row r="2071" spans="1:15" x14ac:dyDescent="0.25">
      <c r="A2071" s="154">
        <v>2071</v>
      </c>
      <c r="B2071" s="162" t="s">
        <v>2868</v>
      </c>
      <c r="C2071" s="163">
        <v>39778354</v>
      </c>
      <c r="D2071" s="164" t="s">
        <v>968</v>
      </c>
      <c r="E2071" s="165">
        <v>780018</v>
      </c>
      <c r="F2071" s="165">
        <v>234005</v>
      </c>
      <c r="G2071" s="165">
        <v>546013</v>
      </c>
      <c r="H2071" s="165">
        <v>0</v>
      </c>
      <c r="I2071" s="163"/>
      <c r="J2071" s="166">
        <v>0</v>
      </c>
      <c r="K2071" s="167" t="s">
        <v>1464</v>
      </c>
      <c r="L2071" s="167">
        <v>761</v>
      </c>
      <c r="M2071" s="168">
        <v>46118</v>
      </c>
      <c r="N2071" s="169" t="s">
        <v>2869</v>
      </c>
      <c r="O2071" s="162">
        <v>102</v>
      </c>
    </row>
    <row r="2072" spans="1:15" x14ac:dyDescent="0.25">
      <c r="A2072" s="154">
        <v>2072</v>
      </c>
      <c r="B2072" s="162" t="s">
        <v>2870</v>
      </c>
      <c r="C2072" s="163">
        <v>90423344</v>
      </c>
      <c r="D2072" s="164" t="s">
        <v>968</v>
      </c>
      <c r="E2072" s="165">
        <v>146300</v>
      </c>
      <c r="F2072" s="165">
        <v>82000</v>
      </c>
      <c r="G2072" s="165">
        <v>0</v>
      </c>
      <c r="H2072" s="165">
        <v>64300</v>
      </c>
      <c r="I2072" s="163"/>
      <c r="J2072" s="166">
        <v>0</v>
      </c>
      <c r="K2072" s="167" t="s">
        <v>1464</v>
      </c>
      <c r="L2072" s="167">
        <v>761</v>
      </c>
      <c r="M2072" s="168">
        <v>46118</v>
      </c>
      <c r="N2072" s="169" t="s">
        <v>2871</v>
      </c>
      <c r="O2072" s="162">
        <v>202</v>
      </c>
    </row>
    <row r="2073" spans="1:15" x14ac:dyDescent="0.25">
      <c r="A2073" s="154">
        <v>2073</v>
      </c>
      <c r="B2073" s="162" t="s">
        <v>2872</v>
      </c>
      <c r="C2073" s="163">
        <v>146210695</v>
      </c>
      <c r="D2073" s="164" t="s">
        <v>968</v>
      </c>
      <c r="E2073" s="165">
        <v>133000</v>
      </c>
      <c r="F2073" s="165">
        <v>0</v>
      </c>
      <c r="G2073" s="165">
        <v>133000</v>
      </c>
      <c r="H2073" s="165">
        <v>0</v>
      </c>
      <c r="I2073" s="163"/>
      <c r="J2073" s="166">
        <v>0</v>
      </c>
      <c r="K2073" s="167" t="s">
        <v>1464</v>
      </c>
      <c r="L2073" s="167">
        <v>761</v>
      </c>
      <c r="M2073" s="168">
        <v>46118</v>
      </c>
      <c r="N2073" s="169" t="s">
        <v>1029</v>
      </c>
      <c r="O2073" s="162">
        <v>202</v>
      </c>
    </row>
    <row r="2074" spans="1:15" x14ac:dyDescent="0.25">
      <c r="A2074" s="154">
        <v>2074</v>
      </c>
      <c r="B2074" s="162" t="s">
        <v>2873</v>
      </c>
      <c r="C2074" s="163">
        <v>12583961</v>
      </c>
      <c r="D2074" s="164" t="s">
        <v>968</v>
      </c>
      <c r="E2074" s="165">
        <v>4479826</v>
      </c>
      <c r="F2074" s="165">
        <v>2621326</v>
      </c>
      <c r="G2074" s="165">
        <v>1858500</v>
      </c>
      <c r="H2074" s="165">
        <v>0</v>
      </c>
      <c r="I2074" s="163"/>
      <c r="J2074" s="166">
        <v>0</v>
      </c>
      <c r="K2074" s="167" t="s">
        <v>1464</v>
      </c>
      <c r="L2074" s="167">
        <v>761</v>
      </c>
      <c r="M2074" s="168">
        <v>46118</v>
      </c>
      <c r="N2074" s="169" t="s">
        <v>2874</v>
      </c>
      <c r="O2074" s="162" t="s">
        <v>2853</v>
      </c>
    </row>
    <row r="2075" spans="1:15" x14ac:dyDescent="0.25">
      <c r="A2075" s="154">
        <v>2075</v>
      </c>
      <c r="B2075" s="162" t="s">
        <v>2875</v>
      </c>
      <c r="C2075" s="163">
        <v>13401369</v>
      </c>
      <c r="D2075" s="164" t="s">
        <v>968</v>
      </c>
      <c r="E2075" s="165">
        <v>4422493</v>
      </c>
      <c r="F2075" s="165">
        <v>2742837</v>
      </c>
      <c r="G2075" s="165">
        <v>1468256</v>
      </c>
      <c r="H2075" s="165">
        <v>211400</v>
      </c>
      <c r="I2075" s="163"/>
      <c r="J2075" s="166">
        <v>0</v>
      </c>
      <c r="K2075" s="167" t="s">
        <v>1464</v>
      </c>
      <c r="L2075" s="167">
        <v>761</v>
      </c>
      <c r="M2075" s="168">
        <v>46118</v>
      </c>
      <c r="N2075" s="169" t="s">
        <v>2876</v>
      </c>
      <c r="O2075" s="162" t="s">
        <v>2853</v>
      </c>
    </row>
    <row r="2076" spans="1:15" x14ac:dyDescent="0.25">
      <c r="A2076" s="154">
        <v>2076</v>
      </c>
      <c r="B2076" s="162" t="s">
        <v>2877</v>
      </c>
      <c r="C2076" s="163">
        <v>125500</v>
      </c>
      <c r="D2076" s="164" t="s">
        <v>968</v>
      </c>
      <c r="E2076" s="165">
        <v>125500</v>
      </c>
      <c r="F2076" s="165">
        <v>0</v>
      </c>
      <c r="G2076" s="165">
        <v>125500</v>
      </c>
      <c r="H2076" s="165">
        <v>0</v>
      </c>
      <c r="I2076" s="163"/>
      <c r="J2076" s="166">
        <v>0</v>
      </c>
      <c r="K2076" s="167" t="s">
        <v>1464</v>
      </c>
      <c r="L2076" s="167">
        <v>762</v>
      </c>
      <c r="M2076" s="168">
        <v>46111</v>
      </c>
      <c r="N2076" s="169" t="s">
        <v>1029</v>
      </c>
      <c r="O2076" s="162">
        <v>302</v>
      </c>
    </row>
    <row r="2077" spans="1:15" x14ac:dyDescent="0.25">
      <c r="A2077" s="154">
        <v>2077</v>
      </c>
      <c r="B2077" s="162" t="s">
        <v>2878</v>
      </c>
      <c r="C2077" s="163">
        <v>68200</v>
      </c>
      <c r="D2077" s="164" t="s">
        <v>968</v>
      </c>
      <c r="E2077" s="165">
        <v>68200</v>
      </c>
      <c r="F2077" s="165">
        <v>0</v>
      </c>
      <c r="G2077" s="165">
        <v>68200</v>
      </c>
      <c r="H2077" s="165">
        <v>0</v>
      </c>
      <c r="I2077" s="163"/>
      <c r="J2077" s="166">
        <v>0</v>
      </c>
      <c r="K2077" s="167" t="s">
        <v>1464</v>
      </c>
      <c r="L2077" s="167">
        <v>762</v>
      </c>
      <c r="M2077" s="168">
        <v>46111</v>
      </c>
      <c r="N2077" s="169" t="s">
        <v>1029</v>
      </c>
      <c r="O2077" s="162">
        <v>302</v>
      </c>
    </row>
    <row r="2078" spans="1:15" x14ac:dyDescent="0.25">
      <c r="A2078" s="154">
        <v>2078</v>
      </c>
      <c r="B2078" s="162" t="s">
        <v>2879</v>
      </c>
      <c r="C2078" s="163">
        <v>216900</v>
      </c>
      <c r="D2078" s="164" t="s">
        <v>968</v>
      </c>
      <c r="E2078" s="163">
        <v>216900</v>
      </c>
      <c r="F2078" s="165">
        <v>0</v>
      </c>
      <c r="G2078" s="163">
        <v>216900</v>
      </c>
      <c r="H2078" s="165">
        <v>0</v>
      </c>
      <c r="I2078" s="163"/>
      <c r="J2078" s="166">
        <v>0</v>
      </c>
      <c r="K2078" s="167" t="s">
        <v>1464</v>
      </c>
      <c r="L2078" s="167">
        <v>763</v>
      </c>
      <c r="M2078" s="168">
        <v>46111</v>
      </c>
      <c r="N2078" s="169" t="s">
        <v>1029</v>
      </c>
      <c r="O2078" s="162">
        <v>308</v>
      </c>
    </row>
    <row r="2079" spans="1:15" x14ac:dyDescent="0.25">
      <c r="A2079" s="154">
        <v>2079</v>
      </c>
      <c r="B2079" s="162" t="s">
        <v>2880</v>
      </c>
      <c r="C2079" s="163">
        <v>4691800</v>
      </c>
      <c r="D2079" s="164" t="s">
        <v>968</v>
      </c>
      <c r="E2079" s="165">
        <v>695400</v>
      </c>
      <c r="F2079" s="165">
        <v>0</v>
      </c>
      <c r="G2079" s="165">
        <v>695400</v>
      </c>
      <c r="H2079" s="165">
        <v>0</v>
      </c>
      <c r="I2079" s="163"/>
      <c r="J2079" s="166">
        <v>0</v>
      </c>
      <c r="K2079" s="167" t="s">
        <v>1464</v>
      </c>
      <c r="L2079" s="167">
        <v>764</v>
      </c>
      <c r="M2079" s="168">
        <v>46111</v>
      </c>
      <c r="N2079" s="169" t="s">
        <v>1029</v>
      </c>
      <c r="O2079" s="162" t="s">
        <v>260</v>
      </c>
    </row>
    <row r="2080" spans="1:15" x14ac:dyDescent="0.25">
      <c r="A2080" s="154">
        <v>2080</v>
      </c>
      <c r="B2080" s="162" t="s">
        <v>2881</v>
      </c>
      <c r="C2080" s="163">
        <v>80800</v>
      </c>
      <c r="D2080" s="164" t="s">
        <v>968</v>
      </c>
      <c r="E2080" s="165">
        <v>80800</v>
      </c>
      <c r="F2080" s="165">
        <v>0</v>
      </c>
      <c r="G2080" s="165">
        <v>80800</v>
      </c>
      <c r="H2080" s="165">
        <v>0</v>
      </c>
      <c r="I2080" s="163"/>
      <c r="J2080" s="166">
        <v>0</v>
      </c>
      <c r="K2080" s="167" t="s">
        <v>1464</v>
      </c>
      <c r="L2080" s="167">
        <v>765</v>
      </c>
      <c r="M2080" s="168">
        <v>46111</v>
      </c>
      <c r="N2080" s="169" t="s">
        <v>1029</v>
      </c>
      <c r="O2080" s="162">
        <v>508</v>
      </c>
    </row>
    <row r="2081" spans="1:15" x14ac:dyDescent="0.25">
      <c r="A2081" s="154">
        <v>2081</v>
      </c>
      <c r="B2081" s="162" t="s">
        <v>2882</v>
      </c>
      <c r="C2081" s="163">
        <v>80800</v>
      </c>
      <c r="D2081" s="164" t="s">
        <v>968</v>
      </c>
      <c r="E2081" s="165">
        <v>80800</v>
      </c>
      <c r="F2081" s="165">
        <v>0</v>
      </c>
      <c r="G2081" s="165">
        <v>80800</v>
      </c>
      <c r="H2081" s="165">
        <v>0</v>
      </c>
      <c r="I2081" s="163"/>
      <c r="J2081" s="166">
        <v>0</v>
      </c>
      <c r="K2081" s="167" t="s">
        <v>1464</v>
      </c>
      <c r="L2081" s="167">
        <v>765</v>
      </c>
      <c r="M2081" s="168">
        <v>46111</v>
      </c>
      <c r="N2081" s="169" t="s">
        <v>1029</v>
      </c>
      <c r="O2081" s="162">
        <v>508</v>
      </c>
    </row>
    <row r="2082" spans="1:15" x14ac:dyDescent="0.25">
      <c r="A2082" s="154">
        <v>2082</v>
      </c>
      <c r="B2082" s="162" t="s">
        <v>2883</v>
      </c>
      <c r="C2082" s="163">
        <v>80800</v>
      </c>
      <c r="D2082" s="164" t="s">
        <v>968</v>
      </c>
      <c r="E2082" s="165">
        <v>80800</v>
      </c>
      <c r="F2082" s="165">
        <v>0</v>
      </c>
      <c r="G2082" s="165">
        <v>80800</v>
      </c>
      <c r="H2082" s="165">
        <v>0</v>
      </c>
      <c r="I2082" s="163"/>
      <c r="J2082" s="166">
        <v>0</v>
      </c>
      <c r="K2082" s="167" t="s">
        <v>1464</v>
      </c>
      <c r="L2082" s="167">
        <v>765</v>
      </c>
      <c r="M2082" s="168">
        <v>46111</v>
      </c>
      <c r="N2082" s="169" t="s">
        <v>1029</v>
      </c>
      <c r="O2082" s="162">
        <v>508</v>
      </c>
    </row>
    <row r="2083" spans="1:15" x14ac:dyDescent="0.25">
      <c r="A2083" s="154">
        <v>2083</v>
      </c>
      <c r="B2083" s="162" t="s">
        <v>2884</v>
      </c>
      <c r="C2083" s="163">
        <v>80800</v>
      </c>
      <c r="D2083" s="164" t="s">
        <v>968</v>
      </c>
      <c r="E2083" s="165">
        <v>80800</v>
      </c>
      <c r="F2083" s="165">
        <v>0</v>
      </c>
      <c r="G2083" s="165">
        <v>80800</v>
      </c>
      <c r="H2083" s="165">
        <v>0</v>
      </c>
      <c r="I2083" s="163"/>
      <c r="J2083" s="166">
        <v>0</v>
      </c>
      <c r="K2083" s="167" t="s">
        <v>1464</v>
      </c>
      <c r="L2083" s="167">
        <v>765</v>
      </c>
      <c r="M2083" s="168">
        <v>46111</v>
      </c>
      <c r="N2083" s="169" t="s">
        <v>1029</v>
      </c>
      <c r="O2083" s="162">
        <v>508</v>
      </c>
    </row>
    <row r="2084" spans="1:15" x14ac:dyDescent="0.25">
      <c r="A2084" s="154">
        <v>2084</v>
      </c>
      <c r="B2084" s="162" t="s">
        <v>2885</v>
      </c>
      <c r="C2084" s="163">
        <v>80800</v>
      </c>
      <c r="D2084" s="164" t="s">
        <v>968</v>
      </c>
      <c r="E2084" s="165">
        <v>80800</v>
      </c>
      <c r="F2084" s="165">
        <v>0</v>
      </c>
      <c r="G2084" s="165">
        <v>80800</v>
      </c>
      <c r="H2084" s="165">
        <v>0</v>
      </c>
      <c r="I2084" s="163"/>
      <c r="J2084" s="166">
        <v>0</v>
      </c>
      <c r="K2084" s="167" t="s">
        <v>1464</v>
      </c>
      <c r="L2084" s="167">
        <v>765</v>
      </c>
      <c r="M2084" s="168">
        <v>46111</v>
      </c>
      <c r="N2084" s="169" t="s">
        <v>1029</v>
      </c>
      <c r="O2084" s="162">
        <v>508</v>
      </c>
    </row>
    <row r="2085" spans="1:15" x14ac:dyDescent="0.25">
      <c r="A2085" s="154">
        <v>2085</v>
      </c>
      <c r="B2085" s="162" t="s">
        <v>2886</v>
      </c>
      <c r="C2085" s="163">
        <v>80800</v>
      </c>
      <c r="D2085" s="164" t="s">
        <v>968</v>
      </c>
      <c r="E2085" s="165">
        <v>80800</v>
      </c>
      <c r="F2085" s="165">
        <v>0</v>
      </c>
      <c r="G2085" s="165">
        <v>80800</v>
      </c>
      <c r="H2085" s="165">
        <v>0</v>
      </c>
      <c r="I2085" s="163"/>
      <c r="J2085" s="166">
        <v>0</v>
      </c>
      <c r="K2085" s="167" t="s">
        <v>1464</v>
      </c>
      <c r="L2085" s="167">
        <v>765</v>
      </c>
      <c r="M2085" s="168">
        <v>46111</v>
      </c>
      <c r="N2085" s="169" t="s">
        <v>1029</v>
      </c>
      <c r="O2085" s="162">
        <v>508</v>
      </c>
    </row>
    <row r="2086" spans="1:15" x14ac:dyDescent="0.25">
      <c r="A2086" s="154">
        <v>2086</v>
      </c>
      <c r="B2086" s="162" t="s">
        <v>2887</v>
      </c>
      <c r="C2086" s="163">
        <v>80800</v>
      </c>
      <c r="D2086" s="164" t="s">
        <v>968</v>
      </c>
      <c r="E2086" s="165">
        <v>80800</v>
      </c>
      <c r="F2086" s="165">
        <v>0</v>
      </c>
      <c r="G2086" s="165">
        <v>80800</v>
      </c>
      <c r="H2086" s="165">
        <v>0</v>
      </c>
      <c r="I2086" s="163"/>
      <c r="J2086" s="166">
        <v>0</v>
      </c>
      <c r="K2086" s="167" t="s">
        <v>1464</v>
      </c>
      <c r="L2086" s="167">
        <v>765</v>
      </c>
      <c r="M2086" s="168">
        <v>46111</v>
      </c>
      <c r="N2086" s="169" t="s">
        <v>1029</v>
      </c>
      <c r="O2086" s="162">
        <v>508</v>
      </c>
    </row>
    <row r="2087" spans="1:15" x14ac:dyDescent="0.25">
      <c r="A2087" s="154">
        <v>2087</v>
      </c>
      <c r="B2087" s="162" t="s">
        <v>2888</v>
      </c>
      <c r="C2087" s="163">
        <v>80800</v>
      </c>
      <c r="D2087" s="164" t="s">
        <v>968</v>
      </c>
      <c r="E2087" s="165">
        <v>80800</v>
      </c>
      <c r="F2087" s="165">
        <v>0</v>
      </c>
      <c r="G2087" s="165">
        <v>80800</v>
      </c>
      <c r="H2087" s="165">
        <v>0</v>
      </c>
      <c r="I2087" s="163"/>
      <c r="J2087" s="166">
        <v>0</v>
      </c>
      <c r="K2087" s="167" t="s">
        <v>1464</v>
      </c>
      <c r="L2087" s="167">
        <v>765</v>
      </c>
      <c r="M2087" s="168">
        <v>46111</v>
      </c>
      <c r="N2087" s="169" t="s">
        <v>1029</v>
      </c>
      <c r="O2087" s="162">
        <v>508</v>
      </c>
    </row>
    <row r="2088" spans="1:15" x14ac:dyDescent="0.25">
      <c r="A2088" s="154">
        <v>2088</v>
      </c>
      <c r="B2088" s="162" t="s">
        <v>2889</v>
      </c>
      <c r="C2088" s="163">
        <v>80800</v>
      </c>
      <c r="D2088" s="164" t="s">
        <v>968</v>
      </c>
      <c r="E2088" s="165">
        <v>80800</v>
      </c>
      <c r="F2088" s="165">
        <v>0</v>
      </c>
      <c r="G2088" s="165">
        <v>80800</v>
      </c>
      <c r="H2088" s="165">
        <v>0</v>
      </c>
      <c r="I2088" s="163"/>
      <c r="J2088" s="166">
        <v>0</v>
      </c>
      <c r="K2088" s="167" t="s">
        <v>1464</v>
      </c>
      <c r="L2088" s="167">
        <v>765</v>
      </c>
      <c r="M2088" s="168">
        <v>46111</v>
      </c>
      <c r="N2088" s="169" t="s">
        <v>1029</v>
      </c>
      <c r="O2088" s="162">
        <v>508</v>
      </c>
    </row>
    <row r="2089" spans="1:15" x14ac:dyDescent="0.25">
      <c r="A2089" s="154">
        <v>2089</v>
      </c>
      <c r="B2089" s="162" t="s">
        <v>2890</v>
      </c>
      <c r="C2089" s="163">
        <v>80800</v>
      </c>
      <c r="D2089" s="164" t="s">
        <v>968</v>
      </c>
      <c r="E2089" s="165">
        <v>80800</v>
      </c>
      <c r="F2089" s="165">
        <v>0</v>
      </c>
      <c r="G2089" s="165">
        <v>80800</v>
      </c>
      <c r="H2089" s="165">
        <v>0</v>
      </c>
      <c r="I2089" s="163"/>
      <c r="J2089" s="166">
        <v>0</v>
      </c>
      <c r="K2089" s="167" t="s">
        <v>1464</v>
      </c>
      <c r="L2089" s="167">
        <v>765</v>
      </c>
      <c r="M2089" s="168">
        <v>46111</v>
      </c>
      <c r="N2089" s="169" t="s">
        <v>1029</v>
      </c>
      <c r="O2089" s="162">
        <v>508</v>
      </c>
    </row>
    <row r="2090" spans="1:15" x14ac:dyDescent="0.25">
      <c r="A2090" s="154">
        <v>2090</v>
      </c>
      <c r="B2090" s="162" t="s">
        <v>2891</v>
      </c>
      <c r="C2090" s="163">
        <v>80800</v>
      </c>
      <c r="D2090" s="164" t="s">
        <v>968</v>
      </c>
      <c r="E2090" s="165">
        <v>80800</v>
      </c>
      <c r="F2090" s="165">
        <v>0</v>
      </c>
      <c r="G2090" s="165">
        <v>80800</v>
      </c>
      <c r="H2090" s="165">
        <v>0</v>
      </c>
      <c r="I2090" s="163"/>
      <c r="J2090" s="166">
        <v>0</v>
      </c>
      <c r="K2090" s="167" t="s">
        <v>1464</v>
      </c>
      <c r="L2090" s="167">
        <v>765</v>
      </c>
      <c r="M2090" s="168">
        <v>46111</v>
      </c>
      <c r="N2090" s="169" t="s">
        <v>1029</v>
      </c>
      <c r="O2090" s="162">
        <v>508</v>
      </c>
    </row>
    <row r="2091" spans="1:15" x14ac:dyDescent="0.25">
      <c r="A2091" s="154">
        <v>2091</v>
      </c>
      <c r="B2091" s="162" t="s">
        <v>2892</v>
      </c>
      <c r="C2091" s="163">
        <v>80800</v>
      </c>
      <c r="D2091" s="164" t="s">
        <v>968</v>
      </c>
      <c r="E2091" s="165">
        <v>80800</v>
      </c>
      <c r="F2091" s="165">
        <v>0</v>
      </c>
      <c r="G2091" s="165">
        <v>80800</v>
      </c>
      <c r="H2091" s="165">
        <v>0</v>
      </c>
      <c r="I2091" s="163"/>
      <c r="J2091" s="166">
        <v>0</v>
      </c>
      <c r="K2091" s="167" t="s">
        <v>1464</v>
      </c>
      <c r="L2091" s="167">
        <v>765</v>
      </c>
      <c r="M2091" s="168">
        <v>46111</v>
      </c>
      <c r="N2091" s="169" t="s">
        <v>1029</v>
      </c>
      <c r="O2091" s="162">
        <v>508</v>
      </c>
    </row>
    <row r="2092" spans="1:15" x14ac:dyDescent="0.25">
      <c r="A2092" s="154">
        <v>2092</v>
      </c>
      <c r="B2092" s="162" t="s">
        <v>2893</v>
      </c>
      <c r="C2092" s="163">
        <v>80800</v>
      </c>
      <c r="D2092" s="164" t="s">
        <v>968</v>
      </c>
      <c r="E2092" s="165">
        <v>80800</v>
      </c>
      <c r="F2092" s="165">
        <v>0</v>
      </c>
      <c r="G2092" s="165">
        <v>80800</v>
      </c>
      <c r="H2092" s="165">
        <v>0</v>
      </c>
      <c r="I2092" s="163"/>
      <c r="J2092" s="166">
        <v>0</v>
      </c>
      <c r="K2092" s="167" t="s">
        <v>1464</v>
      </c>
      <c r="L2092" s="167">
        <v>765</v>
      </c>
      <c r="M2092" s="168">
        <v>46111</v>
      </c>
      <c r="N2092" s="169" t="s">
        <v>1029</v>
      </c>
      <c r="O2092" s="162">
        <v>508</v>
      </c>
    </row>
    <row r="2093" spans="1:15" x14ac:dyDescent="0.25">
      <c r="A2093" s="154">
        <v>2093</v>
      </c>
      <c r="B2093" s="162" t="s">
        <v>2894</v>
      </c>
      <c r="C2093" s="163">
        <v>80800</v>
      </c>
      <c r="D2093" s="164" t="s">
        <v>968</v>
      </c>
      <c r="E2093" s="165">
        <v>80800</v>
      </c>
      <c r="F2093" s="165">
        <v>0</v>
      </c>
      <c r="G2093" s="165">
        <v>80800</v>
      </c>
      <c r="H2093" s="165">
        <v>0</v>
      </c>
      <c r="I2093" s="163"/>
      <c r="J2093" s="166">
        <v>0</v>
      </c>
      <c r="K2093" s="167" t="s">
        <v>1464</v>
      </c>
      <c r="L2093" s="167">
        <v>765</v>
      </c>
      <c r="M2093" s="168">
        <v>46111</v>
      </c>
      <c r="N2093" s="169" t="s">
        <v>1029</v>
      </c>
      <c r="O2093" s="162">
        <v>508</v>
      </c>
    </row>
    <row r="2094" spans="1:15" x14ac:dyDescent="0.25">
      <c r="A2094" s="154">
        <v>2094</v>
      </c>
      <c r="B2094" s="162" t="s">
        <v>2895</v>
      </c>
      <c r="C2094" s="163">
        <v>80800</v>
      </c>
      <c r="D2094" s="164" t="s">
        <v>968</v>
      </c>
      <c r="E2094" s="165">
        <v>80800</v>
      </c>
      <c r="F2094" s="165">
        <v>0</v>
      </c>
      <c r="G2094" s="165">
        <v>80800</v>
      </c>
      <c r="H2094" s="165">
        <v>0</v>
      </c>
      <c r="I2094" s="163"/>
      <c r="J2094" s="166">
        <v>0</v>
      </c>
      <c r="K2094" s="167" t="s">
        <v>1464</v>
      </c>
      <c r="L2094" s="167">
        <v>765</v>
      </c>
      <c r="M2094" s="168">
        <v>46111</v>
      </c>
      <c r="N2094" s="169" t="s">
        <v>1029</v>
      </c>
      <c r="O2094" s="162">
        <v>508</v>
      </c>
    </row>
    <row r="2095" spans="1:15" x14ac:dyDescent="0.25">
      <c r="A2095" s="154">
        <v>2095</v>
      </c>
      <c r="B2095" s="162" t="s">
        <v>2896</v>
      </c>
      <c r="C2095" s="163">
        <v>80800</v>
      </c>
      <c r="D2095" s="164" t="s">
        <v>968</v>
      </c>
      <c r="E2095" s="165">
        <v>80800</v>
      </c>
      <c r="F2095" s="165">
        <v>0</v>
      </c>
      <c r="G2095" s="165">
        <v>80800</v>
      </c>
      <c r="H2095" s="165">
        <v>0</v>
      </c>
      <c r="I2095" s="163"/>
      <c r="J2095" s="166">
        <v>0</v>
      </c>
      <c r="K2095" s="167" t="s">
        <v>1464</v>
      </c>
      <c r="L2095" s="167">
        <v>765</v>
      </c>
      <c r="M2095" s="168">
        <v>46111</v>
      </c>
      <c r="N2095" s="169" t="s">
        <v>1029</v>
      </c>
      <c r="O2095" s="162">
        <v>508</v>
      </c>
    </row>
    <row r="2096" spans="1:15" x14ac:dyDescent="0.25">
      <c r="A2096" s="154">
        <v>2096</v>
      </c>
      <c r="B2096" s="162" t="s">
        <v>2897</v>
      </c>
      <c r="C2096" s="163">
        <v>80800</v>
      </c>
      <c r="D2096" s="164" t="s">
        <v>968</v>
      </c>
      <c r="E2096" s="165">
        <v>80800</v>
      </c>
      <c r="F2096" s="165">
        <v>0</v>
      </c>
      <c r="G2096" s="165">
        <v>80800</v>
      </c>
      <c r="H2096" s="165">
        <v>0</v>
      </c>
      <c r="I2096" s="163"/>
      <c r="J2096" s="166">
        <v>0</v>
      </c>
      <c r="K2096" s="167" t="s">
        <v>1464</v>
      </c>
      <c r="L2096" s="167">
        <v>765</v>
      </c>
      <c r="M2096" s="168">
        <v>46111</v>
      </c>
      <c r="N2096" s="169" t="s">
        <v>1029</v>
      </c>
      <c r="O2096" s="162">
        <v>508</v>
      </c>
    </row>
    <row r="2097" spans="1:15" x14ac:dyDescent="0.25">
      <c r="A2097" s="154">
        <v>2097</v>
      </c>
      <c r="B2097" s="162" t="s">
        <v>2898</v>
      </c>
      <c r="C2097" s="163">
        <v>80800</v>
      </c>
      <c r="D2097" s="164" t="s">
        <v>968</v>
      </c>
      <c r="E2097" s="165">
        <v>80800</v>
      </c>
      <c r="F2097" s="165">
        <v>0</v>
      </c>
      <c r="G2097" s="165">
        <v>80800</v>
      </c>
      <c r="H2097" s="165">
        <v>0</v>
      </c>
      <c r="I2097" s="163"/>
      <c r="J2097" s="166">
        <v>0</v>
      </c>
      <c r="K2097" s="167" t="s">
        <v>1464</v>
      </c>
      <c r="L2097" s="167">
        <v>765</v>
      </c>
      <c r="M2097" s="168">
        <v>46111</v>
      </c>
      <c r="N2097" s="169" t="s">
        <v>1029</v>
      </c>
      <c r="O2097" s="162">
        <v>508</v>
      </c>
    </row>
    <row r="2098" spans="1:15" x14ac:dyDescent="0.25">
      <c r="A2098" s="154">
        <v>2098</v>
      </c>
      <c r="B2098" s="162" t="s">
        <v>2899</v>
      </c>
      <c r="C2098" s="163">
        <v>80800</v>
      </c>
      <c r="D2098" s="164" t="s">
        <v>968</v>
      </c>
      <c r="E2098" s="165">
        <v>80800</v>
      </c>
      <c r="F2098" s="165">
        <v>0</v>
      </c>
      <c r="G2098" s="165">
        <v>80800</v>
      </c>
      <c r="H2098" s="165">
        <v>0</v>
      </c>
      <c r="I2098" s="163"/>
      <c r="J2098" s="166">
        <v>0</v>
      </c>
      <c r="K2098" s="167" t="s">
        <v>1464</v>
      </c>
      <c r="L2098" s="167">
        <v>765</v>
      </c>
      <c r="M2098" s="168">
        <v>46111</v>
      </c>
      <c r="N2098" s="169" t="s">
        <v>1029</v>
      </c>
      <c r="O2098" s="162">
        <v>508</v>
      </c>
    </row>
    <row r="2099" spans="1:15" x14ac:dyDescent="0.25">
      <c r="A2099" s="154">
        <v>2099</v>
      </c>
      <c r="B2099" s="162" t="s">
        <v>2900</v>
      </c>
      <c r="C2099" s="163">
        <v>80800</v>
      </c>
      <c r="D2099" s="164" t="s">
        <v>968</v>
      </c>
      <c r="E2099" s="165">
        <v>80800</v>
      </c>
      <c r="F2099" s="165">
        <v>0</v>
      </c>
      <c r="G2099" s="165">
        <v>80800</v>
      </c>
      <c r="H2099" s="165">
        <v>0</v>
      </c>
      <c r="I2099" s="163"/>
      <c r="J2099" s="166">
        <v>0</v>
      </c>
      <c r="K2099" s="167" t="s">
        <v>1464</v>
      </c>
      <c r="L2099" s="167">
        <v>765</v>
      </c>
      <c r="M2099" s="168">
        <v>46111</v>
      </c>
      <c r="N2099" s="169" t="s">
        <v>1029</v>
      </c>
      <c r="O2099" s="162">
        <v>508</v>
      </c>
    </row>
    <row r="2100" spans="1:15" x14ac:dyDescent="0.25">
      <c r="A2100" s="154">
        <v>2100</v>
      </c>
      <c r="B2100" s="162" t="s">
        <v>2901</v>
      </c>
      <c r="C2100" s="163">
        <v>80800</v>
      </c>
      <c r="D2100" s="164" t="s">
        <v>968</v>
      </c>
      <c r="E2100" s="165">
        <v>80800</v>
      </c>
      <c r="F2100" s="165">
        <v>0</v>
      </c>
      <c r="G2100" s="165">
        <v>80800</v>
      </c>
      <c r="H2100" s="165">
        <v>0</v>
      </c>
      <c r="I2100" s="163"/>
      <c r="J2100" s="166">
        <v>0</v>
      </c>
      <c r="K2100" s="167" t="s">
        <v>1464</v>
      </c>
      <c r="L2100" s="167">
        <v>765</v>
      </c>
      <c r="M2100" s="168">
        <v>46111</v>
      </c>
      <c r="N2100" s="169" t="s">
        <v>1029</v>
      </c>
      <c r="O2100" s="162">
        <v>508</v>
      </c>
    </row>
    <row r="2101" spans="1:15" x14ac:dyDescent="0.25">
      <c r="A2101" s="154">
        <v>2101</v>
      </c>
      <c r="B2101" s="162" t="s">
        <v>2902</v>
      </c>
      <c r="C2101" s="163">
        <v>80800</v>
      </c>
      <c r="D2101" s="164" t="s">
        <v>968</v>
      </c>
      <c r="E2101" s="165">
        <v>80800</v>
      </c>
      <c r="F2101" s="165">
        <v>0</v>
      </c>
      <c r="G2101" s="165">
        <v>80800</v>
      </c>
      <c r="H2101" s="165">
        <v>0</v>
      </c>
      <c r="I2101" s="163"/>
      <c r="J2101" s="166">
        <v>0</v>
      </c>
      <c r="K2101" s="167" t="s">
        <v>1464</v>
      </c>
      <c r="L2101" s="167">
        <v>765</v>
      </c>
      <c r="M2101" s="168">
        <v>46111</v>
      </c>
      <c r="N2101" s="169" t="s">
        <v>1029</v>
      </c>
      <c r="O2101" s="162">
        <v>508</v>
      </c>
    </row>
    <row r="2102" spans="1:15" x14ac:dyDescent="0.25">
      <c r="A2102" s="154">
        <v>2102</v>
      </c>
      <c r="B2102" s="162" t="s">
        <v>2903</v>
      </c>
      <c r="C2102" s="163">
        <v>80800</v>
      </c>
      <c r="D2102" s="164" t="s">
        <v>968</v>
      </c>
      <c r="E2102" s="165">
        <v>80800</v>
      </c>
      <c r="F2102" s="165">
        <v>0</v>
      </c>
      <c r="G2102" s="165">
        <v>80800</v>
      </c>
      <c r="H2102" s="165">
        <v>0</v>
      </c>
      <c r="I2102" s="163"/>
      <c r="J2102" s="166">
        <v>0</v>
      </c>
      <c r="K2102" s="167" t="s">
        <v>1464</v>
      </c>
      <c r="L2102" s="167">
        <v>765</v>
      </c>
      <c r="M2102" s="168">
        <v>46111</v>
      </c>
      <c r="N2102" s="169" t="s">
        <v>1029</v>
      </c>
      <c r="O2102" s="162">
        <v>508</v>
      </c>
    </row>
    <row r="2103" spans="1:15" x14ac:dyDescent="0.25">
      <c r="A2103" s="154">
        <v>2103</v>
      </c>
      <c r="B2103" s="162" t="s">
        <v>2904</v>
      </c>
      <c r="C2103" s="163">
        <v>80800</v>
      </c>
      <c r="D2103" s="164" t="s">
        <v>968</v>
      </c>
      <c r="E2103" s="165">
        <v>80800</v>
      </c>
      <c r="F2103" s="165">
        <v>0</v>
      </c>
      <c r="G2103" s="165">
        <v>80800</v>
      </c>
      <c r="H2103" s="165">
        <v>0</v>
      </c>
      <c r="I2103" s="163"/>
      <c r="J2103" s="166">
        <v>0</v>
      </c>
      <c r="K2103" s="167" t="s">
        <v>1464</v>
      </c>
      <c r="L2103" s="167">
        <v>765</v>
      </c>
      <c r="M2103" s="168">
        <v>46111</v>
      </c>
      <c r="N2103" s="169" t="s">
        <v>1029</v>
      </c>
      <c r="O2103" s="162">
        <v>508</v>
      </c>
    </row>
    <row r="2104" spans="1:15" x14ac:dyDescent="0.25">
      <c r="A2104" s="154">
        <v>2104</v>
      </c>
      <c r="B2104" s="162" t="s">
        <v>2905</v>
      </c>
      <c r="C2104" s="163">
        <v>80800</v>
      </c>
      <c r="D2104" s="164" t="s">
        <v>968</v>
      </c>
      <c r="E2104" s="165">
        <v>80800</v>
      </c>
      <c r="F2104" s="165">
        <v>0</v>
      </c>
      <c r="G2104" s="165">
        <v>80800</v>
      </c>
      <c r="H2104" s="165">
        <v>0</v>
      </c>
      <c r="I2104" s="163"/>
      <c r="J2104" s="166">
        <v>0</v>
      </c>
      <c r="K2104" s="167" t="s">
        <v>1464</v>
      </c>
      <c r="L2104" s="167">
        <v>765</v>
      </c>
      <c r="M2104" s="168">
        <v>46111</v>
      </c>
      <c r="N2104" s="169" t="s">
        <v>1029</v>
      </c>
      <c r="O2104" s="162">
        <v>508</v>
      </c>
    </row>
    <row r="2105" spans="1:15" x14ac:dyDescent="0.25">
      <c r="A2105" s="154">
        <v>2105</v>
      </c>
      <c r="B2105" s="162" t="s">
        <v>2906</v>
      </c>
      <c r="C2105" s="163">
        <v>80800</v>
      </c>
      <c r="D2105" s="164" t="s">
        <v>968</v>
      </c>
      <c r="E2105" s="165">
        <v>80800</v>
      </c>
      <c r="F2105" s="165">
        <v>0</v>
      </c>
      <c r="G2105" s="165">
        <v>80800</v>
      </c>
      <c r="H2105" s="165">
        <v>0</v>
      </c>
      <c r="I2105" s="163"/>
      <c r="J2105" s="166">
        <v>0</v>
      </c>
      <c r="K2105" s="167" t="s">
        <v>1464</v>
      </c>
      <c r="L2105" s="167">
        <v>765</v>
      </c>
      <c r="M2105" s="168">
        <v>46111</v>
      </c>
      <c r="N2105" s="169" t="s">
        <v>1029</v>
      </c>
      <c r="O2105" s="162">
        <v>508</v>
      </c>
    </row>
    <row r="2106" spans="1:15" x14ac:dyDescent="0.25">
      <c r="A2106" s="154">
        <v>2106</v>
      </c>
      <c r="B2106" s="162" t="s">
        <v>2907</v>
      </c>
      <c r="C2106" s="163">
        <v>80800</v>
      </c>
      <c r="D2106" s="164" t="s">
        <v>968</v>
      </c>
      <c r="E2106" s="165">
        <v>80800</v>
      </c>
      <c r="F2106" s="165">
        <v>0</v>
      </c>
      <c r="G2106" s="165">
        <v>80800</v>
      </c>
      <c r="H2106" s="165">
        <v>0</v>
      </c>
      <c r="I2106" s="163"/>
      <c r="J2106" s="166">
        <v>0</v>
      </c>
      <c r="K2106" s="167" t="s">
        <v>1464</v>
      </c>
      <c r="L2106" s="167">
        <v>765</v>
      </c>
      <c r="M2106" s="168">
        <v>46111</v>
      </c>
      <c r="N2106" s="169" t="s">
        <v>1029</v>
      </c>
      <c r="O2106" s="162">
        <v>508</v>
      </c>
    </row>
    <row r="2107" spans="1:15" x14ac:dyDescent="0.25">
      <c r="A2107" s="154">
        <v>2107</v>
      </c>
      <c r="B2107" s="162" t="s">
        <v>2908</v>
      </c>
      <c r="C2107" s="163">
        <v>80800</v>
      </c>
      <c r="D2107" s="164" t="s">
        <v>968</v>
      </c>
      <c r="E2107" s="165">
        <v>80800</v>
      </c>
      <c r="F2107" s="165">
        <v>0</v>
      </c>
      <c r="G2107" s="165">
        <v>80800</v>
      </c>
      <c r="H2107" s="165">
        <v>0</v>
      </c>
      <c r="I2107" s="163"/>
      <c r="J2107" s="166">
        <v>0</v>
      </c>
      <c r="K2107" s="167" t="s">
        <v>1464</v>
      </c>
      <c r="L2107" s="167">
        <v>765</v>
      </c>
      <c r="M2107" s="168">
        <v>46111</v>
      </c>
      <c r="N2107" s="169" t="s">
        <v>1029</v>
      </c>
      <c r="O2107" s="162">
        <v>508</v>
      </c>
    </row>
    <row r="2108" spans="1:15" x14ac:dyDescent="0.25">
      <c r="A2108" s="154">
        <v>2108</v>
      </c>
      <c r="B2108" s="162" t="s">
        <v>2909</v>
      </c>
      <c r="C2108" s="163">
        <v>5731520</v>
      </c>
      <c r="D2108" s="164" t="s">
        <v>1453</v>
      </c>
      <c r="E2108" s="165">
        <v>13600</v>
      </c>
      <c r="F2108" s="165">
        <v>13600</v>
      </c>
      <c r="G2108" s="165">
        <v>0</v>
      </c>
      <c r="H2108" s="165">
        <v>0</v>
      </c>
      <c r="I2108" s="163"/>
      <c r="J2108" s="166">
        <v>0</v>
      </c>
      <c r="K2108" s="167" t="s">
        <v>1464</v>
      </c>
      <c r="L2108" s="167">
        <v>767</v>
      </c>
      <c r="M2108" s="168">
        <v>46128</v>
      </c>
      <c r="N2108" s="169" t="s">
        <v>2910</v>
      </c>
      <c r="O2108" s="162"/>
    </row>
    <row r="2109" spans="1:15" x14ac:dyDescent="0.25">
      <c r="A2109" s="154">
        <v>2109</v>
      </c>
      <c r="B2109" s="162" t="s">
        <v>2909</v>
      </c>
      <c r="C2109" s="163">
        <v>5731520</v>
      </c>
      <c r="D2109" s="164" t="s">
        <v>1453</v>
      </c>
      <c r="E2109" s="165">
        <v>114900</v>
      </c>
      <c r="F2109" s="165">
        <v>0</v>
      </c>
      <c r="G2109" s="165">
        <v>114900</v>
      </c>
      <c r="H2109" s="165">
        <v>0</v>
      </c>
      <c r="I2109" s="163"/>
      <c r="J2109" s="166">
        <v>0</v>
      </c>
      <c r="K2109" s="167" t="s">
        <v>1464</v>
      </c>
      <c r="L2109" s="167">
        <v>767</v>
      </c>
      <c r="M2109" s="168">
        <v>46128</v>
      </c>
      <c r="N2109" s="169" t="s">
        <v>2911</v>
      </c>
      <c r="O2109" s="162"/>
    </row>
    <row r="2110" spans="1:15" x14ac:dyDescent="0.25">
      <c r="A2110" s="154">
        <v>2110</v>
      </c>
      <c r="B2110" s="162" t="s">
        <v>2909</v>
      </c>
      <c r="C2110" s="163">
        <v>5731520</v>
      </c>
      <c r="D2110" s="164" t="s">
        <v>1453</v>
      </c>
      <c r="E2110" s="165">
        <v>153500</v>
      </c>
      <c r="F2110" s="165">
        <v>0</v>
      </c>
      <c r="G2110" s="165">
        <v>153500</v>
      </c>
      <c r="H2110" s="165">
        <v>0</v>
      </c>
      <c r="I2110" s="163"/>
      <c r="J2110" s="166">
        <v>0</v>
      </c>
      <c r="K2110" s="167" t="s">
        <v>1464</v>
      </c>
      <c r="L2110" s="167">
        <v>767</v>
      </c>
      <c r="M2110" s="168">
        <v>46128</v>
      </c>
      <c r="N2110" s="169" t="s">
        <v>2912</v>
      </c>
      <c r="O2110" s="162"/>
    </row>
    <row r="2111" spans="1:15" x14ac:dyDescent="0.25">
      <c r="A2111" s="154">
        <v>2111</v>
      </c>
      <c r="B2111" s="162" t="s">
        <v>2909</v>
      </c>
      <c r="C2111" s="163">
        <v>5731520</v>
      </c>
      <c r="D2111" s="164" t="s">
        <v>1453</v>
      </c>
      <c r="E2111" s="165">
        <v>84200</v>
      </c>
      <c r="F2111" s="165">
        <v>84200</v>
      </c>
      <c r="G2111" s="165">
        <v>0</v>
      </c>
      <c r="H2111" s="165">
        <v>0</v>
      </c>
      <c r="I2111" s="163"/>
      <c r="J2111" s="166">
        <v>0</v>
      </c>
      <c r="K2111" s="167" t="s">
        <v>1464</v>
      </c>
      <c r="L2111" s="167">
        <v>767</v>
      </c>
      <c r="M2111" s="168">
        <v>46128</v>
      </c>
      <c r="N2111" s="169" t="s">
        <v>2913</v>
      </c>
      <c r="O2111" s="162"/>
    </row>
    <row r="2112" spans="1:15" x14ac:dyDescent="0.25">
      <c r="A2112" s="154">
        <v>2112</v>
      </c>
      <c r="B2112" s="162" t="s">
        <v>2909</v>
      </c>
      <c r="C2112" s="163">
        <v>5731520</v>
      </c>
      <c r="D2112" s="164" t="s">
        <v>1453</v>
      </c>
      <c r="E2112" s="165">
        <v>25520</v>
      </c>
      <c r="F2112" s="165">
        <v>0</v>
      </c>
      <c r="G2112" s="165">
        <v>25520</v>
      </c>
      <c r="H2112" s="165">
        <v>0</v>
      </c>
      <c r="I2112" s="163"/>
      <c r="J2112" s="166">
        <v>0</v>
      </c>
      <c r="K2112" s="167" t="s">
        <v>1464</v>
      </c>
      <c r="L2112" s="167">
        <v>767</v>
      </c>
      <c r="M2112" s="168">
        <v>46128</v>
      </c>
      <c r="N2112" s="169" t="s">
        <v>1029</v>
      </c>
      <c r="O2112" s="162"/>
    </row>
    <row r="2113" spans="1:15" x14ac:dyDescent="0.25">
      <c r="A2113" s="154">
        <v>2113</v>
      </c>
      <c r="B2113" s="162" t="s">
        <v>2909</v>
      </c>
      <c r="C2113" s="163">
        <v>5731520</v>
      </c>
      <c r="D2113" s="164" t="s">
        <v>1453</v>
      </c>
      <c r="E2113" s="165">
        <v>653300</v>
      </c>
      <c r="F2113" s="165">
        <v>163325</v>
      </c>
      <c r="G2113" s="165">
        <v>489975</v>
      </c>
      <c r="H2113" s="165">
        <v>0</v>
      </c>
      <c r="I2113" s="163"/>
      <c r="J2113" s="166">
        <v>0</v>
      </c>
      <c r="K2113" s="167" t="s">
        <v>1464</v>
      </c>
      <c r="L2113" s="167">
        <v>767</v>
      </c>
      <c r="M2113" s="168">
        <v>46128</v>
      </c>
      <c r="N2113" s="169" t="s">
        <v>2914</v>
      </c>
      <c r="O2113" s="162"/>
    </row>
    <row r="2114" spans="1:15" x14ac:dyDescent="0.25">
      <c r="A2114" s="154">
        <v>2114</v>
      </c>
      <c r="B2114" s="162" t="s">
        <v>2915</v>
      </c>
      <c r="C2114" s="163">
        <v>11356187</v>
      </c>
      <c r="D2114" s="164" t="s">
        <v>2422</v>
      </c>
      <c r="E2114" s="165">
        <v>316500</v>
      </c>
      <c r="F2114" s="165">
        <v>158250</v>
      </c>
      <c r="G2114" s="165">
        <v>158250</v>
      </c>
      <c r="H2114" s="165">
        <v>0</v>
      </c>
      <c r="I2114" s="163"/>
      <c r="J2114" s="166">
        <v>0</v>
      </c>
      <c r="K2114" s="167" t="s">
        <v>1464</v>
      </c>
      <c r="L2114" s="167">
        <v>766</v>
      </c>
      <c r="M2114" s="168">
        <v>46126</v>
      </c>
      <c r="N2114" s="169" t="s">
        <v>2916</v>
      </c>
      <c r="O2114" s="162">
        <v>206</v>
      </c>
    </row>
    <row r="2115" spans="1:15" x14ac:dyDescent="0.25">
      <c r="A2115" s="154">
        <v>2115</v>
      </c>
      <c r="B2115" s="162" t="s">
        <v>2915</v>
      </c>
      <c r="C2115" s="163">
        <v>11356187</v>
      </c>
      <c r="D2115" s="164" t="s">
        <v>2422</v>
      </c>
      <c r="E2115" s="165">
        <v>141200</v>
      </c>
      <c r="F2115" s="165">
        <v>70600</v>
      </c>
      <c r="G2115" s="165">
        <v>70600</v>
      </c>
      <c r="H2115" s="165">
        <v>0</v>
      </c>
      <c r="I2115" s="163"/>
      <c r="J2115" s="166">
        <v>0</v>
      </c>
      <c r="K2115" s="167" t="s">
        <v>1464</v>
      </c>
      <c r="L2115" s="167">
        <v>766</v>
      </c>
      <c r="M2115" s="168">
        <v>46126</v>
      </c>
      <c r="N2115" s="169" t="s">
        <v>2917</v>
      </c>
      <c r="O2115" s="162">
        <v>207</v>
      </c>
    </row>
    <row r="2116" spans="1:15" x14ac:dyDescent="0.25">
      <c r="A2116" s="154">
        <v>2116</v>
      </c>
      <c r="B2116" s="162" t="s">
        <v>2915</v>
      </c>
      <c r="C2116" s="163">
        <v>11356187</v>
      </c>
      <c r="D2116" s="164" t="s">
        <v>2422</v>
      </c>
      <c r="E2116" s="165">
        <v>6639</v>
      </c>
      <c r="F2116" s="165">
        <v>3319</v>
      </c>
      <c r="G2116" s="165">
        <v>3320</v>
      </c>
      <c r="H2116" s="165">
        <v>0</v>
      </c>
      <c r="I2116" s="163"/>
      <c r="J2116" s="166">
        <v>0</v>
      </c>
      <c r="K2116" s="167" t="s">
        <v>1464</v>
      </c>
      <c r="L2116" s="167">
        <v>766</v>
      </c>
      <c r="M2116" s="168">
        <v>46126</v>
      </c>
      <c r="N2116" s="169" t="s">
        <v>2918</v>
      </c>
      <c r="O2116" s="162">
        <v>208</v>
      </c>
    </row>
    <row r="2117" spans="1:15" x14ac:dyDescent="0.25">
      <c r="A2117" s="154">
        <v>2117</v>
      </c>
      <c r="B2117" s="162" t="s">
        <v>2915</v>
      </c>
      <c r="C2117" s="163">
        <v>11356187</v>
      </c>
      <c r="D2117" s="164" t="s">
        <v>2422</v>
      </c>
      <c r="E2117" s="165">
        <v>33840</v>
      </c>
      <c r="F2117" s="165">
        <v>40</v>
      </c>
      <c r="G2117" s="165">
        <v>33800</v>
      </c>
      <c r="H2117" s="165">
        <v>0</v>
      </c>
      <c r="I2117" s="163"/>
      <c r="J2117" s="166">
        <v>0</v>
      </c>
      <c r="K2117" s="167" t="s">
        <v>1464</v>
      </c>
      <c r="L2117" s="167">
        <v>766</v>
      </c>
      <c r="M2117" s="168">
        <v>46126</v>
      </c>
      <c r="N2117" s="169" t="s">
        <v>2919</v>
      </c>
      <c r="O2117" s="162">
        <v>602</v>
      </c>
    </row>
    <row r="2118" spans="1:15" x14ac:dyDescent="0.25">
      <c r="A2118" s="154">
        <v>2118</v>
      </c>
      <c r="B2118" s="162" t="s">
        <v>2915</v>
      </c>
      <c r="C2118" s="163">
        <v>11356187</v>
      </c>
      <c r="D2118" s="164" t="s">
        <v>2422</v>
      </c>
      <c r="E2118" s="165">
        <v>129840</v>
      </c>
      <c r="F2118" s="165">
        <v>21240</v>
      </c>
      <c r="G2118" s="165">
        <v>108600</v>
      </c>
      <c r="H2118" s="165">
        <v>0</v>
      </c>
      <c r="I2118" s="163"/>
      <c r="J2118" s="166">
        <v>0</v>
      </c>
      <c r="K2118" s="167" t="s">
        <v>1464</v>
      </c>
      <c r="L2118" s="167">
        <v>766</v>
      </c>
      <c r="M2118" s="168">
        <v>46126</v>
      </c>
      <c r="N2118" s="169" t="s">
        <v>2920</v>
      </c>
      <c r="O2118" s="162">
        <v>104</v>
      </c>
    </row>
    <row r="2119" spans="1:15" x14ac:dyDescent="0.25">
      <c r="A2119" s="154">
        <v>2119</v>
      </c>
      <c r="B2119" s="162" t="s">
        <v>2921</v>
      </c>
      <c r="C2119" s="163">
        <v>152500</v>
      </c>
      <c r="D2119" s="164" t="s">
        <v>2422</v>
      </c>
      <c r="E2119" s="165">
        <v>200</v>
      </c>
      <c r="F2119" s="165">
        <v>100</v>
      </c>
      <c r="G2119" s="165">
        <v>100</v>
      </c>
      <c r="H2119" s="165">
        <v>0</v>
      </c>
      <c r="I2119" s="163"/>
      <c r="J2119" s="166">
        <v>0</v>
      </c>
      <c r="K2119" s="167" t="s">
        <v>1464</v>
      </c>
      <c r="L2119" s="167">
        <v>766</v>
      </c>
      <c r="M2119" s="168">
        <v>46126</v>
      </c>
      <c r="N2119" s="169" t="s">
        <v>2922</v>
      </c>
      <c r="O2119" s="162">
        <v>207</v>
      </c>
    </row>
    <row r="2120" spans="1:15" x14ac:dyDescent="0.25">
      <c r="A2120" s="154">
        <v>2120</v>
      </c>
      <c r="B2120" s="162" t="s">
        <v>2923</v>
      </c>
      <c r="C2120" s="163">
        <v>263515</v>
      </c>
      <c r="D2120" s="164" t="s">
        <v>2422</v>
      </c>
      <c r="E2120" s="165">
        <v>215</v>
      </c>
      <c r="F2120" s="165">
        <v>107</v>
      </c>
      <c r="G2120" s="165">
        <v>108</v>
      </c>
      <c r="H2120" s="165">
        <v>0</v>
      </c>
      <c r="I2120" s="163"/>
      <c r="J2120" s="166">
        <v>0</v>
      </c>
      <c r="K2120" s="167" t="s">
        <v>1464</v>
      </c>
      <c r="L2120" s="167">
        <v>766</v>
      </c>
      <c r="M2120" s="168">
        <v>46126</v>
      </c>
      <c r="N2120" s="169" t="s">
        <v>2924</v>
      </c>
      <c r="O2120" s="162">
        <v>207</v>
      </c>
    </row>
    <row r="2121" spans="1:15" x14ac:dyDescent="0.25">
      <c r="A2121" s="154">
        <v>2121</v>
      </c>
      <c r="B2121" s="162" t="s">
        <v>2925</v>
      </c>
      <c r="C2121" s="163">
        <v>304095</v>
      </c>
      <c r="D2121" s="164" t="s">
        <v>2422</v>
      </c>
      <c r="E2121" s="165">
        <v>95</v>
      </c>
      <c r="F2121" s="165">
        <v>47</v>
      </c>
      <c r="G2121" s="165">
        <v>48</v>
      </c>
      <c r="H2121" s="165">
        <v>0</v>
      </c>
      <c r="I2121" s="163"/>
      <c r="J2121" s="166">
        <v>0</v>
      </c>
      <c r="K2121" s="167" t="s">
        <v>1464</v>
      </c>
      <c r="L2121" s="167">
        <v>766</v>
      </c>
      <c r="M2121" s="168">
        <v>46126</v>
      </c>
      <c r="N2121" s="169" t="s">
        <v>2926</v>
      </c>
      <c r="O2121" s="162">
        <v>207</v>
      </c>
    </row>
    <row r="2122" spans="1:15" x14ac:dyDescent="0.25">
      <c r="A2122" s="154">
        <v>2122</v>
      </c>
      <c r="B2122" s="162" t="s">
        <v>2927</v>
      </c>
      <c r="C2122" s="163">
        <v>11036442</v>
      </c>
      <c r="D2122" s="164" t="s">
        <v>2422</v>
      </c>
      <c r="E2122" s="165">
        <v>49882</v>
      </c>
      <c r="F2122" s="165">
        <v>17882</v>
      </c>
      <c r="G2122" s="165">
        <v>32000</v>
      </c>
      <c r="H2122" s="165">
        <v>0</v>
      </c>
      <c r="I2122" s="163"/>
      <c r="J2122" s="166">
        <v>0</v>
      </c>
      <c r="K2122" s="167" t="s">
        <v>1464</v>
      </c>
      <c r="L2122" s="167">
        <v>766</v>
      </c>
      <c r="M2122" s="168">
        <v>46126</v>
      </c>
      <c r="N2122" s="169" t="s">
        <v>2928</v>
      </c>
      <c r="O2122" s="162">
        <v>102</v>
      </c>
    </row>
    <row r="2123" spans="1:15" x14ac:dyDescent="0.25">
      <c r="A2123" s="154">
        <v>2123</v>
      </c>
      <c r="B2123" s="162" t="s">
        <v>2927</v>
      </c>
      <c r="C2123" s="163">
        <v>11036442</v>
      </c>
      <c r="D2123" s="164" t="s">
        <v>2422</v>
      </c>
      <c r="E2123" s="165">
        <v>139312</v>
      </c>
      <c r="F2123" s="165">
        <v>0</v>
      </c>
      <c r="G2123" s="165">
        <v>0</v>
      </c>
      <c r="H2123" s="165">
        <v>139312</v>
      </c>
      <c r="I2123" s="163"/>
      <c r="J2123" s="166">
        <v>0</v>
      </c>
      <c r="K2123" s="167" t="s">
        <v>1464</v>
      </c>
      <c r="L2123" s="167">
        <v>766</v>
      </c>
      <c r="M2123" s="168">
        <v>46126</v>
      </c>
      <c r="N2123" s="169" t="s">
        <v>2929</v>
      </c>
      <c r="O2123" s="162">
        <v>108</v>
      </c>
    </row>
    <row r="2124" spans="1:15" x14ac:dyDescent="0.25">
      <c r="A2124" s="154">
        <v>2124</v>
      </c>
      <c r="B2124" s="162" t="s">
        <v>2927</v>
      </c>
      <c r="C2124" s="163">
        <v>11036442</v>
      </c>
      <c r="D2124" s="164" t="s">
        <v>2422</v>
      </c>
      <c r="E2124" s="165">
        <v>99000</v>
      </c>
      <c r="F2124" s="165">
        <v>33000</v>
      </c>
      <c r="G2124" s="165">
        <v>66000</v>
      </c>
      <c r="H2124" s="165">
        <v>0</v>
      </c>
      <c r="I2124" s="163"/>
      <c r="J2124" s="166">
        <v>0</v>
      </c>
      <c r="K2124" s="167" t="s">
        <v>1464</v>
      </c>
      <c r="L2124" s="167">
        <v>766</v>
      </c>
      <c r="M2124" s="168">
        <v>46126</v>
      </c>
      <c r="N2124" s="169" t="s">
        <v>2930</v>
      </c>
      <c r="O2124" s="162">
        <v>606</v>
      </c>
    </row>
    <row r="2125" spans="1:15" x14ac:dyDescent="0.25">
      <c r="A2125" s="154">
        <v>2125</v>
      </c>
      <c r="B2125" s="162" t="s">
        <v>2927</v>
      </c>
      <c r="C2125" s="163">
        <v>11036442</v>
      </c>
      <c r="D2125" s="164" t="s">
        <v>2422</v>
      </c>
      <c r="E2125" s="165">
        <v>59066</v>
      </c>
      <c r="F2125" s="165">
        <v>0</v>
      </c>
      <c r="G2125" s="165">
        <v>59066</v>
      </c>
      <c r="H2125" s="165">
        <v>0</v>
      </c>
      <c r="I2125" s="163"/>
      <c r="J2125" s="166">
        <v>0</v>
      </c>
      <c r="K2125" s="167" t="s">
        <v>1464</v>
      </c>
      <c r="L2125" s="167">
        <v>766</v>
      </c>
      <c r="M2125" s="168">
        <v>46126</v>
      </c>
      <c r="N2125" s="169" t="s">
        <v>2931</v>
      </c>
      <c r="O2125" s="162">
        <v>608</v>
      </c>
    </row>
    <row r="2126" spans="1:15" x14ac:dyDescent="0.25">
      <c r="A2126" s="154">
        <v>2126</v>
      </c>
      <c r="B2126" s="162" t="s">
        <v>2932</v>
      </c>
      <c r="C2126" s="163">
        <v>346400</v>
      </c>
      <c r="D2126" s="164" t="s">
        <v>2422</v>
      </c>
      <c r="E2126" s="165">
        <v>173200</v>
      </c>
      <c r="F2126" s="165">
        <v>0</v>
      </c>
      <c r="G2126" s="165">
        <v>173200</v>
      </c>
      <c r="H2126" s="165">
        <v>0</v>
      </c>
      <c r="I2126" s="163"/>
      <c r="J2126" s="166">
        <v>0</v>
      </c>
      <c r="K2126" s="167" t="s">
        <v>1464</v>
      </c>
      <c r="L2126" s="167">
        <v>766</v>
      </c>
      <c r="M2126" s="168">
        <v>46126</v>
      </c>
      <c r="N2126" s="169" t="s">
        <v>2931</v>
      </c>
      <c r="O2126" s="162">
        <v>608</v>
      </c>
    </row>
    <row r="2127" spans="1:15" x14ac:dyDescent="0.25">
      <c r="A2127" s="154">
        <v>2127</v>
      </c>
      <c r="B2127" s="162" t="s">
        <v>2933</v>
      </c>
      <c r="C2127" s="163">
        <v>4889028</v>
      </c>
      <c r="D2127" s="164" t="s">
        <v>2422</v>
      </c>
      <c r="E2127" s="165">
        <v>22000</v>
      </c>
      <c r="F2127" s="165">
        <v>11000</v>
      </c>
      <c r="G2127" s="165">
        <v>11000</v>
      </c>
      <c r="H2127" s="165">
        <v>0</v>
      </c>
      <c r="I2127" s="163"/>
      <c r="J2127" s="166">
        <v>0</v>
      </c>
      <c r="K2127" s="167" t="s">
        <v>1464</v>
      </c>
      <c r="L2127" s="167">
        <v>766</v>
      </c>
      <c r="M2127" s="168">
        <v>46126</v>
      </c>
      <c r="N2127" s="169" t="s">
        <v>2934</v>
      </c>
      <c r="O2127" s="162">
        <v>206</v>
      </c>
    </row>
    <row r="2128" spans="1:15" x14ac:dyDescent="0.25">
      <c r="A2128" s="154">
        <v>2128</v>
      </c>
      <c r="B2128" s="162" t="s">
        <v>2933</v>
      </c>
      <c r="C2128" s="163">
        <v>4889028</v>
      </c>
      <c r="D2128" s="164" t="s">
        <v>2422</v>
      </c>
      <c r="E2128" s="165">
        <v>1700</v>
      </c>
      <c r="F2128" s="165">
        <v>850</v>
      </c>
      <c r="G2128" s="165">
        <v>850</v>
      </c>
      <c r="H2128" s="165">
        <v>0</v>
      </c>
      <c r="I2128" s="163"/>
      <c r="J2128" s="166">
        <v>0</v>
      </c>
      <c r="K2128" s="167" t="s">
        <v>1464</v>
      </c>
      <c r="L2128" s="167">
        <v>766</v>
      </c>
      <c r="M2128" s="168">
        <v>46126</v>
      </c>
      <c r="N2128" s="169" t="s">
        <v>2935</v>
      </c>
      <c r="O2128" s="162">
        <v>207</v>
      </c>
    </row>
    <row r="2129" spans="1:15" x14ac:dyDescent="0.25">
      <c r="A2129" s="154">
        <v>2129</v>
      </c>
      <c r="B2129" s="162" t="s">
        <v>2933</v>
      </c>
      <c r="C2129" s="163">
        <v>4889028</v>
      </c>
      <c r="D2129" s="164" t="s">
        <v>2422</v>
      </c>
      <c r="E2129" s="165">
        <v>8850</v>
      </c>
      <c r="F2129" s="165">
        <v>0</v>
      </c>
      <c r="G2129" s="165">
        <v>8850</v>
      </c>
      <c r="H2129" s="165">
        <v>0</v>
      </c>
      <c r="I2129" s="163"/>
      <c r="J2129" s="166">
        <v>0</v>
      </c>
      <c r="K2129" s="167" t="s">
        <v>1464</v>
      </c>
      <c r="L2129" s="167">
        <v>766</v>
      </c>
      <c r="M2129" s="168">
        <v>46126</v>
      </c>
      <c r="N2129" s="169" t="s">
        <v>2931</v>
      </c>
      <c r="O2129" s="162">
        <v>607</v>
      </c>
    </row>
    <row r="2130" spans="1:15" x14ac:dyDescent="0.25">
      <c r="A2130" s="154">
        <v>2130</v>
      </c>
      <c r="B2130" s="162" t="s">
        <v>2933</v>
      </c>
      <c r="C2130" s="163">
        <v>4889028</v>
      </c>
      <c r="D2130" s="164" t="s">
        <v>2422</v>
      </c>
      <c r="E2130" s="165">
        <v>472500</v>
      </c>
      <c r="F2130" s="165">
        <v>472500</v>
      </c>
      <c r="G2130" s="165">
        <v>0</v>
      </c>
      <c r="H2130" s="165">
        <v>0</v>
      </c>
      <c r="I2130" s="163"/>
      <c r="J2130" s="166">
        <v>0</v>
      </c>
      <c r="K2130" s="167" t="s">
        <v>1464</v>
      </c>
      <c r="L2130" s="167">
        <v>766</v>
      </c>
      <c r="M2130" s="168">
        <v>46126</v>
      </c>
      <c r="N2130" s="169" t="s">
        <v>2936</v>
      </c>
      <c r="O2130" s="162">
        <v>608</v>
      </c>
    </row>
    <row r="2131" spans="1:15" x14ac:dyDescent="0.25">
      <c r="A2131" s="154">
        <v>2131</v>
      </c>
      <c r="B2131" s="162" t="s">
        <v>2937</v>
      </c>
      <c r="C2131" s="163">
        <v>932715</v>
      </c>
      <c r="D2131" s="164" t="s">
        <v>2422</v>
      </c>
      <c r="E2131" s="165">
        <v>41150</v>
      </c>
      <c r="F2131" s="165">
        <v>20575</v>
      </c>
      <c r="G2131" s="165">
        <v>20575</v>
      </c>
      <c r="H2131" s="165">
        <v>0</v>
      </c>
      <c r="I2131" s="163"/>
      <c r="J2131" s="166">
        <v>0</v>
      </c>
      <c r="K2131" s="167" t="s">
        <v>1464</v>
      </c>
      <c r="L2131" s="167">
        <v>766</v>
      </c>
      <c r="M2131" s="168">
        <v>46126</v>
      </c>
      <c r="N2131" s="169" t="s">
        <v>2938</v>
      </c>
      <c r="O2131" s="162">
        <v>206</v>
      </c>
    </row>
    <row r="2132" spans="1:15" x14ac:dyDescent="0.25">
      <c r="A2132" s="154">
        <v>2132</v>
      </c>
      <c r="B2132" s="162" t="s">
        <v>2937</v>
      </c>
      <c r="C2132" s="163">
        <v>932715</v>
      </c>
      <c r="D2132" s="164" t="s">
        <v>2422</v>
      </c>
      <c r="E2132" s="165">
        <v>73500</v>
      </c>
      <c r="F2132" s="165">
        <v>73500</v>
      </c>
      <c r="G2132" s="165">
        <v>0</v>
      </c>
      <c r="H2132" s="165">
        <v>0</v>
      </c>
      <c r="I2132" s="163"/>
      <c r="J2132" s="166">
        <v>0</v>
      </c>
      <c r="K2132" s="167" t="s">
        <v>1464</v>
      </c>
      <c r="L2132" s="167">
        <v>766</v>
      </c>
      <c r="M2132" s="168">
        <v>46126</v>
      </c>
      <c r="N2132" s="169" t="s">
        <v>2939</v>
      </c>
      <c r="O2132" s="162">
        <v>608</v>
      </c>
    </row>
    <row r="2133" spans="1:15" x14ac:dyDescent="0.25">
      <c r="A2133" s="154">
        <v>2133</v>
      </c>
      <c r="B2133" s="162" t="s">
        <v>2940</v>
      </c>
      <c r="C2133" s="163">
        <v>12384213</v>
      </c>
      <c r="D2133" s="164" t="s">
        <v>2422</v>
      </c>
      <c r="E2133" s="165">
        <v>73900</v>
      </c>
      <c r="F2133" s="165">
        <v>11500</v>
      </c>
      <c r="G2133" s="165">
        <v>62400</v>
      </c>
      <c r="H2133" s="165">
        <v>0</v>
      </c>
      <c r="I2133" s="163"/>
      <c r="J2133" s="166">
        <v>0</v>
      </c>
      <c r="K2133" s="167" t="s">
        <v>1464</v>
      </c>
      <c r="L2133" s="167">
        <v>766</v>
      </c>
      <c r="M2133" s="168">
        <v>46126</v>
      </c>
      <c r="N2133" s="169" t="s">
        <v>2941</v>
      </c>
      <c r="O2133" s="162" t="s">
        <v>241</v>
      </c>
    </row>
    <row r="2134" spans="1:15" x14ac:dyDescent="0.25">
      <c r="A2134" s="154">
        <v>2134</v>
      </c>
      <c r="B2134" s="162" t="s">
        <v>2940</v>
      </c>
      <c r="C2134" s="163">
        <v>12384213</v>
      </c>
      <c r="D2134" s="164" t="s">
        <v>2422</v>
      </c>
      <c r="E2134" s="165">
        <v>719000</v>
      </c>
      <c r="F2134" s="165">
        <v>0</v>
      </c>
      <c r="G2134" s="165">
        <v>719000</v>
      </c>
      <c r="H2134" s="165">
        <v>0</v>
      </c>
      <c r="I2134" s="163"/>
      <c r="J2134" s="166">
        <v>0</v>
      </c>
      <c r="K2134" s="167" t="s">
        <v>1464</v>
      </c>
      <c r="L2134" s="167">
        <v>766</v>
      </c>
      <c r="M2134" s="168">
        <v>46126</v>
      </c>
      <c r="N2134" s="169" t="s">
        <v>2931</v>
      </c>
      <c r="O2134" s="162" t="s">
        <v>194</v>
      </c>
    </row>
    <row r="2135" spans="1:15" x14ac:dyDescent="0.25">
      <c r="A2135" s="154">
        <v>2135</v>
      </c>
      <c r="B2135" s="162" t="s">
        <v>2940</v>
      </c>
      <c r="C2135" s="163">
        <v>12384213</v>
      </c>
      <c r="D2135" s="164" t="s">
        <v>2422</v>
      </c>
      <c r="E2135" s="165">
        <v>54100</v>
      </c>
      <c r="F2135" s="165">
        <v>27050</v>
      </c>
      <c r="G2135" s="165">
        <v>27050</v>
      </c>
      <c r="H2135" s="165">
        <v>0</v>
      </c>
      <c r="I2135" s="163"/>
      <c r="J2135" s="166">
        <v>0</v>
      </c>
      <c r="K2135" s="167" t="s">
        <v>1464</v>
      </c>
      <c r="L2135" s="167">
        <v>766</v>
      </c>
      <c r="M2135" s="168">
        <v>46126</v>
      </c>
      <c r="N2135" s="169" t="s">
        <v>2942</v>
      </c>
      <c r="O2135" s="162" t="s">
        <v>227</v>
      </c>
    </row>
    <row r="2136" spans="1:15" x14ac:dyDescent="0.25">
      <c r="A2136" s="154">
        <v>2136</v>
      </c>
      <c r="B2136" s="162" t="s">
        <v>2940</v>
      </c>
      <c r="C2136" s="163">
        <v>12384213</v>
      </c>
      <c r="D2136" s="164" t="s">
        <v>2422</v>
      </c>
      <c r="E2136" s="165">
        <v>443000</v>
      </c>
      <c r="F2136" s="165">
        <v>221500</v>
      </c>
      <c r="G2136" s="165">
        <v>221500</v>
      </c>
      <c r="H2136" s="165">
        <v>0</v>
      </c>
      <c r="I2136" s="163"/>
      <c r="J2136" s="166">
        <v>0</v>
      </c>
      <c r="K2136" s="167" t="s">
        <v>1464</v>
      </c>
      <c r="L2136" s="167">
        <v>766</v>
      </c>
      <c r="M2136" s="168">
        <v>46126</v>
      </c>
      <c r="N2136" s="169" t="s">
        <v>2943</v>
      </c>
      <c r="O2136" s="162" t="s">
        <v>388</v>
      </c>
    </row>
    <row r="2137" spans="1:15" x14ac:dyDescent="0.25">
      <c r="A2137" s="154">
        <v>2137</v>
      </c>
      <c r="B2137" s="162" t="s">
        <v>2944</v>
      </c>
      <c r="C2137" s="163">
        <v>12440719</v>
      </c>
      <c r="D2137" s="164" t="s">
        <v>2422</v>
      </c>
      <c r="E2137" s="165">
        <v>34800</v>
      </c>
      <c r="F2137" s="165">
        <v>17400</v>
      </c>
      <c r="G2137" s="165">
        <v>17400</v>
      </c>
      <c r="H2137" s="165">
        <v>0</v>
      </c>
      <c r="I2137" s="163"/>
      <c r="J2137" s="166">
        <v>0</v>
      </c>
      <c r="K2137" s="167" t="s">
        <v>1464</v>
      </c>
      <c r="L2137" s="167">
        <v>766</v>
      </c>
      <c r="M2137" s="168">
        <v>46126</v>
      </c>
      <c r="N2137" s="169" t="s">
        <v>2945</v>
      </c>
      <c r="O2137" s="162" t="s">
        <v>1016</v>
      </c>
    </row>
    <row r="2138" spans="1:15" x14ac:dyDescent="0.25">
      <c r="A2138" s="154">
        <v>2138</v>
      </c>
      <c r="B2138" s="162" t="s">
        <v>2944</v>
      </c>
      <c r="C2138" s="163">
        <v>12440719</v>
      </c>
      <c r="D2138" s="164" t="s">
        <v>2422</v>
      </c>
      <c r="E2138" s="165">
        <v>232800</v>
      </c>
      <c r="F2138" s="165">
        <v>0</v>
      </c>
      <c r="G2138" s="165">
        <v>232800</v>
      </c>
      <c r="H2138" s="165">
        <v>0</v>
      </c>
      <c r="I2138" s="163"/>
      <c r="J2138" s="166">
        <v>0</v>
      </c>
      <c r="K2138" s="167" t="s">
        <v>1464</v>
      </c>
      <c r="L2138" s="167">
        <v>766</v>
      </c>
      <c r="M2138" s="168">
        <v>46126</v>
      </c>
      <c r="N2138" s="169" t="s">
        <v>2931</v>
      </c>
      <c r="O2138" s="162" t="s">
        <v>2716</v>
      </c>
    </row>
    <row r="2139" spans="1:15" x14ac:dyDescent="0.25">
      <c r="A2139" s="154">
        <v>2139</v>
      </c>
      <c r="B2139" s="162" t="s">
        <v>2944</v>
      </c>
      <c r="C2139" s="163">
        <v>12440719</v>
      </c>
      <c r="D2139" s="164" t="s">
        <v>2422</v>
      </c>
      <c r="E2139" s="165">
        <v>257000</v>
      </c>
      <c r="F2139" s="165">
        <v>0</v>
      </c>
      <c r="G2139" s="165">
        <v>257000</v>
      </c>
      <c r="H2139" s="165">
        <v>0</v>
      </c>
      <c r="I2139" s="163"/>
      <c r="J2139" s="166">
        <v>0</v>
      </c>
      <c r="K2139" s="167" t="s">
        <v>1464</v>
      </c>
      <c r="L2139" s="167">
        <v>766</v>
      </c>
      <c r="M2139" s="168">
        <v>46126</v>
      </c>
      <c r="N2139" s="169" t="s">
        <v>2931</v>
      </c>
      <c r="O2139" s="162" t="s">
        <v>275</v>
      </c>
    </row>
    <row r="2140" spans="1:15" x14ac:dyDescent="0.25">
      <c r="A2140" s="154">
        <v>2140</v>
      </c>
      <c r="B2140" s="162" t="s">
        <v>2944</v>
      </c>
      <c r="C2140" s="163">
        <v>12440719</v>
      </c>
      <c r="D2140" s="164" t="s">
        <v>2422</v>
      </c>
      <c r="E2140" s="165">
        <v>77000</v>
      </c>
      <c r="F2140" s="165">
        <v>38500</v>
      </c>
      <c r="G2140" s="165">
        <v>38500</v>
      </c>
      <c r="H2140" s="165">
        <v>0</v>
      </c>
      <c r="I2140" s="163"/>
      <c r="J2140" s="166">
        <v>0</v>
      </c>
      <c r="K2140" s="167" t="s">
        <v>1464</v>
      </c>
      <c r="L2140" s="167">
        <v>766</v>
      </c>
      <c r="M2140" s="168">
        <v>46126</v>
      </c>
      <c r="N2140" s="169" t="s">
        <v>2946</v>
      </c>
      <c r="O2140" s="162" t="s">
        <v>227</v>
      </c>
    </row>
    <row r="2141" spans="1:15" x14ac:dyDescent="0.25">
      <c r="A2141" s="154">
        <v>2141</v>
      </c>
      <c r="B2141" s="162" t="s">
        <v>2944</v>
      </c>
      <c r="C2141" s="163">
        <v>12440719</v>
      </c>
      <c r="D2141" s="164" t="s">
        <v>2422</v>
      </c>
      <c r="E2141" s="165">
        <v>191800</v>
      </c>
      <c r="F2141" s="165">
        <v>191800</v>
      </c>
      <c r="G2141" s="165">
        <v>0</v>
      </c>
      <c r="H2141" s="165">
        <v>0</v>
      </c>
      <c r="I2141" s="163"/>
      <c r="J2141" s="166">
        <v>0</v>
      </c>
      <c r="K2141" s="167" t="s">
        <v>1464</v>
      </c>
      <c r="L2141" s="167">
        <v>766</v>
      </c>
      <c r="M2141" s="168">
        <v>46126</v>
      </c>
      <c r="N2141" s="169" t="s">
        <v>2947</v>
      </c>
      <c r="O2141" s="162" t="s">
        <v>388</v>
      </c>
    </row>
    <row r="2142" spans="1:15" x14ac:dyDescent="0.25">
      <c r="A2142" s="154">
        <v>2142</v>
      </c>
      <c r="B2142" s="162" t="s">
        <v>2948</v>
      </c>
      <c r="C2142" s="163">
        <v>10012654</v>
      </c>
      <c r="D2142" s="164" t="s">
        <v>2422</v>
      </c>
      <c r="E2142" s="165">
        <v>51200</v>
      </c>
      <c r="F2142" s="165">
        <v>51200</v>
      </c>
      <c r="G2142" s="165">
        <v>0</v>
      </c>
      <c r="H2142" s="165">
        <v>0</v>
      </c>
      <c r="I2142" s="163"/>
      <c r="J2142" s="166">
        <v>51200</v>
      </c>
      <c r="K2142" s="167" t="s">
        <v>1466</v>
      </c>
      <c r="L2142" s="167">
        <v>766</v>
      </c>
      <c r="M2142" s="168">
        <v>46126</v>
      </c>
      <c r="N2142" s="169" t="s">
        <v>2949</v>
      </c>
      <c r="O2142" s="162" t="s">
        <v>2950</v>
      </c>
    </row>
    <row r="2143" spans="1:15" x14ac:dyDescent="0.25">
      <c r="A2143" s="154">
        <v>2143</v>
      </c>
      <c r="B2143" s="162" t="s">
        <v>2948</v>
      </c>
      <c r="C2143" s="163">
        <v>10012654</v>
      </c>
      <c r="D2143" s="164" t="s">
        <v>2422</v>
      </c>
      <c r="E2143" s="165">
        <v>48000</v>
      </c>
      <c r="F2143" s="165">
        <v>48000</v>
      </c>
      <c r="G2143" s="165">
        <v>0</v>
      </c>
      <c r="H2143" s="165">
        <v>0</v>
      </c>
      <c r="I2143" s="163"/>
      <c r="J2143" s="166">
        <v>48000</v>
      </c>
      <c r="K2143" s="167" t="s">
        <v>1466</v>
      </c>
      <c r="L2143" s="167">
        <v>766</v>
      </c>
      <c r="M2143" s="168">
        <v>46126</v>
      </c>
      <c r="N2143" s="169" t="s">
        <v>2951</v>
      </c>
      <c r="O2143" s="162" t="s">
        <v>2952</v>
      </c>
    </row>
    <row r="2144" spans="1:15" x14ac:dyDescent="0.25">
      <c r="A2144" s="154">
        <v>2144</v>
      </c>
      <c r="B2144" s="162" t="s">
        <v>2953</v>
      </c>
      <c r="C2144" s="163">
        <v>1198100</v>
      </c>
      <c r="D2144" s="164" t="s">
        <v>2422</v>
      </c>
      <c r="E2144" s="165">
        <v>22600</v>
      </c>
      <c r="F2144" s="165">
        <v>11300</v>
      </c>
      <c r="G2144" s="165">
        <v>11300</v>
      </c>
      <c r="H2144" s="165">
        <v>0</v>
      </c>
      <c r="I2144" s="163"/>
      <c r="J2144" s="166">
        <v>0</v>
      </c>
      <c r="K2144" s="167" t="s">
        <v>1464</v>
      </c>
      <c r="L2144" s="167">
        <v>766</v>
      </c>
      <c r="M2144" s="168">
        <v>46126</v>
      </c>
      <c r="N2144" s="169" t="s">
        <v>2954</v>
      </c>
      <c r="O2144" s="162" t="s">
        <v>227</v>
      </c>
    </row>
    <row r="2145" spans="1:15" x14ac:dyDescent="0.25">
      <c r="A2145" s="154">
        <v>2145</v>
      </c>
      <c r="B2145" s="162" t="s">
        <v>2955</v>
      </c>
      <c r="C2145" s="163">
        <v>4571320</v>
      </c>
      <c r="D2145" s="164" t="s">
        <v>2422</v>
      </c>
      <c r="E2145" s="165">
        <v>2000</v>
      </c>
      <c r="F2145" s="165">
        <v>1000</v>
      </c>
      <c r="G2145" s="165">
        <v>1000</v>
      </c>
      <c r="H2145" s="165">
        <v>0</v>
      </c>
      <c r="I2145" s="163"/>
      <c r="J2145" s="166">
        <v>0</v>
      </c>
      <c r="K2145" s="167" t="s">
        <v>1464</v>
      </c>
      <c r="L2145" s="167">
        <v>766</v>
      </c>
      <c r="M2145" s="168">
        <v>46126</v>
      </c>
      <c r="N2145" s="169" t="s">
        <v>2956</v>
      </c>
      <c r="O2145" s="162" t="s">
        <v>2957</v>
      </c>
    </row>
    <row r="2146" spans="1:15" x14ac:dyDescent="0.25">
      <c r="A2146" s="154">
        <v>2146</v>
      </c>
      <c r="B2146" s="162" t="s">
        <v>2955</v>
      </c>
      <c r="C2146" s="163">
        <v>4571320</v>
      </c>
      <c r="D2146" s="164" t="s">
        <v>2422</v>
      </c>
      <c r="E2146" s="165">
        <v>570300</v>
      </c>
      <c r="F2146" s="165">
        <v>435100</v>
      </c>
      <c r="G2146" s="165">
        <v>135200</v>
      </c>
      <c r="H2146" s="165">
        <v>0</v>
      </c>
      <c r="I2146" s="163"/>
      <c r="J2146" s="166">
        <v>0</v>
      </c>
      <c r="K2146" s="167" t="s">
        <v>1464</v>
      </c>
      <c r="L2146" s="167">
        <v>766</v>
      </c>
      <c r="M2146" s="168">
        <v>46126</v>
      </c>
      <c r="N2146" s="169" t="s">
        <v>2958</v>
      </c>
      <c r="O2146" s="162" t="s">
        <v>241</v>
      </c>
    </row>
    <row r="2147" spans="1:15" x14ac:dyDescent="0.25">
      <c r="A2147" s="154">
        <v>2147</v>
      </c>
      <c r="B2147" s="162" t="s">
        <v>2955</v>
      </c>
      <c r="C2147" s="163">
        <v>4571320</v>
      </c>
      <c r="D2147" s="164" t="s">
        <v>2422</v>
      </c>
      <c r="E2147" s="165">
        <v>36000</v>
      </c>
      <c r="F2147" s="165">
        <v>5500</v>
      </c>
      <c r="G2147" s="165">
        <v>30500</v>
      </c>
      <c r="H2147" s="165">
        <v>0</v>
      </c>
      <c r="I2147" s="163"/>
      <c r="J2147" s="166">
        <v>0</v>
      </c>
      <c r="K2147" s="167" t="s">
        <v>1464</v>
      </c>
      <c r="L2147" s="167">
        <v>766</v>
      </c>
      <c r="M2147" s="168">
        <v>46126</v>
      </c>
      <c r="N2147" s="169" t="s">
        <v>2959</v>
      </c>
      <c r="O2147" s="162" t="s">
        <v>224</v>
      </c>
    </row>
    <row r="2148" spans="1:15" x14ac:dyDescent="0.25">
      <c r="A2148" s="154">
        <v>2148</v>
      </c>
      <c r="B2148" s="162" t="s">
        <v>2955</v>
      </c>
      <c r="C2148" s="163">
        <v>4571320</v>
      </c>
      <c r="D2148" s="164" t="s">
        <v>2422</v>
      </c>
      <c r="E2148" s="165">
        <v>11300</v>
      </c>
      <c r="F2148" s="165">
        <v>5650</v>
      </c>
      <c r="G2148" s="165">
        <v>5650</v>
      </c>
      <c r="H2148" s="165">
        <v>0</v>
      </c>
      <c r="I2148" s="163"/>
      <c r="J2148" s="166">
        <v>0</v>
      </c>
      <c r="K2148" s="167" t="s">
        <v>1464</v>
      </c>
      <c r="L2148" s="167">
        <v>766</v>
      </c>
      <c r="M2148" s="168">
        <v>46126</v>
      </c>
      <c r="N2148" s="169" t="s">
        <v>2960</v>
      </c>
      <c r="O2148" s="162" t="s">
        <v>2952</v>
      </c>
    </row>
    <row r="2149" spans="1:15" x14ac:dyDescent="0.25">
      <c r="A2149" s="154">
        <v>2149</v>
      </c>
      <c r="B2149" s="162" t="s">
        <v>2955</v>
      </c>
      <c r="C2149" s="163">
        <v>4571320</v>
      </c>
      <c r="D2149" s="164" t="s">
        <v>2422</v>
      </c>
      <c r="E2149" s="165">
        <v>11000</v>
      </c>
      <c r="F2149" s="165">
        <v>5500</v>
      </c>
      <c r="G2149" s="165">
        <v>5500</v>
      </c>
      <c r="H2149" s="165">
        <v>0</v>
      </c>
      <c r="I2149" s="163"/>
      <c r="J2149" s="166">
        <v>0</v>
      </c>
      <c r="K2149" s="167" t="s">
        <v>1464</v>
      </c>
      <c r="L2149" s="167">
        <v>766</v>
      </c>
      <c r="M2149" s="168">
        <v>46126</v>
      </c>
      <c r="N2149" s="169" t="s">
        <v>2961</v>
      </c>
      <c r="O2149" s="162" t="s">
        <v>271</v>
      </c>
    </row>
    <row r="2150" spans="1:15" x14ac:dyDescent="0.25">
      <c r="A2150" s="154">
        <v>2150</v>
      </c>
      <c r="B2150" s="162" t="s">
        <v>2955</v>
      </c>
      <c r="C2150" s="163">
        <v>4571320</v>
      </c>
      <c r="D2150" s="164" t="s">
        <v>2422</v>
      </c>
      <c r="E2150" s="165">
        <v>32000</v>
      </c>
      <c r="F2150" s="165">
        <v>0</v>
      </c>
      <c r="G2150" s="165">
        <v>32000</v>
      </c>
      <c r="H2150" s="165">
        <v>0</v>
      </c>
      <c r="I2150" s="163"/>
      <c r="J2150" s="166">
        <v>0</v>
      </c>
      <c r="K2150" s="167" t="s">
        <v>1464</v>
      </c>
      <c r="L2150" s="167">
        <v>766</v>
      </c>
      <c r="M2150" s="168">
        <v>46126</v>
      </c>
      <c r="N2150" s="169" t="s">
        <v>2931</v>
      </c>
      <c r="O2150" s="162" t="s">
        <v>2962</v>
      </c>
    </row>
    <row r="2151" spans="1:15" x14ac:dyDescent="0.25">
      <c r="A2151" s="154">
        <v>2151</v>
      </c>
      <c r="B2151" s="162" t="s">
        <v>2963</v>
      </c>
      <c r="C2151" s="163">
        <v>4168486</v>
      </c>
      <c r="D2151" s="164" t="s">
        <v>2422</v>
      </c>
      <c r="E2151" s="165">
        <v>77000</v>
      </c>
      <c r="F2151" s="165">
        <v>77000</v>
      </c>
      <c r="G2151" s="165">
        <v>0</v>
      </c>
      <c r="H2151" s="165">
        <v>0</v>
      </c>
      <c r="I2151" s="163"/>
      <c r="J2151" s="166">
        <v>0</v>
      </c>
      <c r="K2151" s="167" t="s">
        <v>1464</v>
      </c>
      <c r="L2151" s="167">
        <v>766</v>
      </c>
      <c r="M2151" s="168">
        <v>46126</v>
      </c>
      <c r="N2151" s="169" t="s">
        <v>2964</v>
      </c>
      <c r="O2151" s="162" t="s">
        <v>309</v>
      </c>
    </row>
    <row r="2152" spans="1:15" x14ac:dyDescent="0.25">
      <c r="A2152" s="154">
        <v>2152</v>
      </c>
      <c r="B2152" s="162" t="s">
        <v>2963</v>
      </c>
      <c r="C2152" s="163">
        <v>4168486</v>
      </c>
      <c r="D2152" s="164" t="s">
        <v>2422</v>
      </c>
      <c r="E2152" s="165">
        <v>32000</v>
      </c>
      <c r="F2152" s="165">
        <v>0</v>
      </c>
      <c r="G2152" s="165">
        <v>32000</v>
      </c>
      <c r="H2152" s="165">
        <v>0</v>
      </c>
      <c r="I2152" s="163"/>
      <c r="J2152" s="166">
        <v>0</v>
      </c>
      <c r="K2152" s="167" t="s">
        <v>1464</v>
      </c>
      <c r="L2152" s="167">
        <v>766</v>
      </c>
      <c r="M2152" s="168">
        <v>46126</v>
      </c>
      <c r="N2152" s="169" t="s">
        <v>2931</v>
      </c>
      <c r="O2152" s="162" t="s">
        <v>406</v>
      </c>
    </row>
    <row r="2153" spans="1:15" x14ac:dyDescent="0.25">
      <c r="A2153" s="154">
        <v>2153</v>
      </c>
      <c r="B2153" s="162" t="s">
        <v>2963</v>
      </c>
      <c r="C2153" s="163">
        <v>4168486</v>
      </c>
      <c r="D2153" s="164" t="s">
        <v>2422</v>
      </c>
      <c r="E2153" s="165">
        <v>36000</v>
      </c>
      <c r="F2153" s="165">
        <v>36000</v>
      </c>
      <c r="G2153" s="165">
        <v>0</v>
      </c>
      <c r="H2153" s="165">
        <v>0</v>
      </c>
      <c r="I2153" s="163"/>
      <c r="J2153" s="166">
        <v>0</v>
      </c>
      <c r="K2153" s="167" t="s">
        <v>1464</v>
      </c>
      <c r="L2153" s="167">
        <v>766</v>
      </c>
      <c r="M2153" s="168">
        <v>46126</v>
      </c>
      <c r="N2153" s="169" t="s">
        <v>2965</v>
      </c>
      <c r="O2153" s="162" t="s">
        <v>224</v>
      </c>
    </row>
    <row r="2154" spans="1:15" x14ac:dyDescent="0.25">
      <c r="A2154" s="154">
        <v>2154</v>
      </c>
      <c r="B2154" s="162" t="s">
        <v>2963</v>
      </c>
      <c r="C2154" s="163">
        <v>4168486</v>
      </c>
      <c r="D2154" s="164" t="s">
        <v>2422</v>
      </c>
      <c r="E2154" s="165">
        <v>37260</v>
      </c>
      <c r="F2154" s="165">
        <v>18630</v>
      </c>
      <c r="G2154" s="165">
        <v>18630</v>
      </c>
      <c r="H2154" s="165">
        <v>0</v>
      </c>
      <c r="I2154" s="163"/>
      <c r="J2154" s="166">
        <v>0</v>
      </c>
      <c r="K2154" s="167" t="s">
        <v>1464</v>
      </c>
      <c r="L2154" s="167">
        <v>766</v>
      </c>
      <c r="M2154" s="168">
        <v>46126</v>
      </c>
      <c r="N2154" s="169" t="s">
        <v>2966</v>
      </c>
      <c r="O2154" s="162" t="s">
        <v>227</v>
      </c>
    </row>
    <row r="2155" spans="1:15" x14ac:dyDescent="0.25">
      <c r="A2155" s="154">
        <v>2155</v>
      </c>
      <c r="B2155" s="162" t="s">
        <v>2967</v>
      </c>
      <c r="C2155" s="163">
        <v>11612418</v>
      </c>
      <c r="D2155" s="164" t="s">
        <v>2422</v>
      </c>
      <c r="E2155" s="165">
        <v>19600</v>
      </c>
      <c r="F2155" s="165">
        <v>19600</v>
      </c>
      <c r="G2155" s="165">
        <v>0</v>
      </c>
      <c r="H2155" s="165">
        <v>0</v>
      </c>
      <c r="I2155" s="163"/>
      <c r="J2155" s="166">
        <v>19600</v>
      </c>
      <c r="K2155" s="167" t="s">
        <v>1466</v>
      </c>
      <c r="L2155" s="167">
        <v>766</v>
      </c>
      <c r="M2155" s="168">
        <v>46126</v>
      </c>
      <c r="N2155" s="169" t="s">
        <v>2968</v>
      </c>
      <c r="O2155" s="162" t="s">
        <v>1016</v>
      </c>
    </row>
    <row r="2156" spans="1:15" x14ac:dyDescent="0.25">
      <c r="A2156" s="154">
        <v>2156</v>
      </c>
      <c r="B2156" s="162" t="s">
        <v>2967</v>
      </c>
      <c r="C2156" s="163">
        <v>11612418</v>
      </c>
      <c r="D2156" s="164" t="s">
        <v>2422</v>
      </c>
      <c r="E2156" s="165">
        <v>55750</v>
      </c>
      <c r="F2156" s="165">
        <v>55750</v>
      </c>
      <c r="G2156" s="165">
        <v>0</v>
      </c>
      <c r="H2156" s="165">
        <v>0</v>
      </c>
      <c r="I2156" s="163"/>
      <c r="J2156" s="166">
        <v>55750</v>
      </c>
      <c r="K2156" s="167" t="s">
        <v>1466</v>
      </c>
      <c r="L2156" s="167">
        <v>766</v>
      </c>
      <c r="M2156" s="168">
        <v>46126</v>
      </c>
      <c r="N2156" s="169" t="s">
        <v>2969</v>
      </c>
      <c r="O2156" s="162" t="s">
        <v>227</v>
      </c>
    </row>
    <row r="2157" spans="1:15" x14ac:dyDescent="0.25">
      <c r="A2157" s="154">
        <v>2157</v>
      </c>
      <c r="B2157" s="162" t="s">
        <v>2967</v>
      </c>
      <c r="C2157" s="163">
        <v>11612418</v>
      </c>
      <c r="D2157" s="164" t="s">
        <v>2422</v>
      </c>
      <c r="E2157" s="165">
        <v>22500</v>
      </c>
      <c r="F2157" s="165">
        <v>22500</v>
      </c>
      <c r="G2157" s="165">
        <v>0</v>
      </c>
      <c r="H2157" s="165">
        <v>0</v>
      </c>
      <c r="I2157" s="163"/>
      <c r="J2157" s="166">
        <v>22500</v>
      </c>
      <c r="K2157" s="167" t="s">
        <v>1466</v>
      </c>
      <c r="L2157" s="167">
        <v>766</v>
      </c>
      <c r="M2157" s="168">
        <v>46126</v>
      </c>
      <c r="N2157" s="169" t="s">
        <v>2970</v>
      </c>
      <c r="O2157" s="162" t="s">
        <v>388</v>
      </c>
    </row>
    <row r="2158" spans="1:15" x14ac:dyDescent="0.25">
      <c r="A2158" s="154">
        <v>2158</v>
      </c>
      <c r="B2158" s="162" t="s">
        <v>2971</v>
      </c>
      <c r="C2158" s="163">
        <v>34379263</v>
      </c>
      <c r="D2158" s="164" t="s">
        <v>2422</v>
      </c>
      <c r="E2158" s="165">
        <v>513400</v>
      </c>
      <c r="F2158" s="165">
        <v>513400</v>
      </c>
      <c r="G2158" s="165">
        <v>0</v>
      </c>
      <c r="H2158" s="165">
        <v>0</v>
      </c>
      <c r="I2158" s="163"/>
      <c r="J2158" s="166">
        <v>0</v>
      </c>
      <c r="K2158" s="167" t="s">
        <v>1464</v>
      </c>
      <c r="L2158" s="167">
        <v>766</v>
      </c>
      <c r="M2158" s="168">
        <v>46126</v>
      </c>
      <c r="N2158" s="169" t="s">
        <v>2972</v>
      </c>
      <c r="O2158" s="162" t="s">
        <v>309</v>
      </c>
    </row>
    <row r="2159" spans="1:15" x14ac:dyDescent="0.25">
      <c r="A2159" s="154">
        <v>2159</v>
      </c>
      <c r="B2159" s="162" t="s">
        <v>2971</v>
      </c>
      <c r="C2159" s="163">
        <v>34379263</v>
      </c>
      <c r="D2159" s="164" t="s">
        <v>2422</v>
      </c>
      <c r="E2159" s="165">
        <v>6500</v>
      </c>
      <c r="F2159" s="165">
        <v>3250</v>
      </c>
      <c r="G2159" s="165">
        <v>3250</v>
      </c>
      <c r="H2159" s="165">
        <v>0</v>
      </c>
      <c r="I2159" s="163"/>
      <c r="J2159" s="166">
        <v>0</v>
      </c>
      <c r="K2159" s="167" t="s">
        <v>1464</v>
      </c>
      <c r="L2159" s="167">
        <v>766</v>
      </c>
      <c r="M2159" s="168">
        <v>46126</v>
      </c>
      <c r="N2159" s="169" t="s">
        <v>2973</v>
      </c>
      <c r="O2159" s="162" t="s">
        <v>1016</v>
      </c>
    </row>
    <row r="2160" spans="1:15" x14ac:dyDescent="0.25">
      <c r="A2160" s="154">
        <v>2160</v>
      </c>
      <c r="B2160" s="162" t="s">
        <v>2971</v>
      </c>
      <c r="C2160" s="163">
        <v>34379263</v>
      </c>
      <c r="D2160" s="164" t="s">
        <v>2422</v>
      </c>
      <c r="E2160" s="165">
        <v>898100</v>
      </c>
      <c r="F2160" s="165">
        <v>898100</v>
      </c>
      <c r="G2160" s="165">
        <v>0</v>
      </c>
      <c r="H2160" s="165">
        <v>0</v>
      </c>
      <c r="I2160" s="163"/>
      <c r="J2160" s="166">
        <v>0</v>
      </c>
      <c r="K2160" s="167" t="s">
        <v>1464</v>
      </c>
      <c r="L2160" s="167">
        <v>766</v>
      </c>
      <c r="M2160" s="168">
        <v>46126</v>
      </c>
      <c r="N2160" s="169" t="s">
        <v>2974</v>
      </c>
      <c r="O2160" s="162" t="s">
        <v>1810</v>
      </c>
    </row>
    <row r="2161" spans="1:15" x14ac:dyDescent="0.25">
      <c r="A2161" s="154">
        <v>2161</v>
      </c>
      <c r="B2161" s="162" t="s">
        <v>2971</v>
      </c>
      <c r="C2161" s="163">
        <v>34379263</v>
      </c>
      <c r="D2161" s="164" t="s">
        <v>2422</v>
      </c>
      <c r="E2161" s="165">
        <v>58950</v>
      </c>
      <c r="F2161" s="165">
        <v>29475</v>
      </c>
      <c r="G2161" s="165">
        <v>29475</v>
      </c>
      <c r="H2161" s="165">
        <v>0</v>
      </c>
      <c r="I2161" s="163"/>
      <c r="J2161" s="166">
        <v>0</v>
      </c>
      <c r="K2161" s="167" t="s">
        <v>1464</v>
      </c>
      <c r="L2161" s="167">
        <v>766</v>
      </c>
      <c r="M2161" s="168">
        <v>46126</v>
      </c>
      <c r="N2161" s="169" t="s">
        <v>2975</v>
      </c>
      <c r="O2161" s="162" t="s">
        <v>227</v>
      </c>
    </row>
    <row r="2162" spans="1:15" x14ac:dyDescent="0.25">
      <c r="A2162" s="154">
        <v>2162</v>
      </c>
      <c r="B2162" s="162" t="s">
        <v>2971</v>
      </c>
      <c r="C2162" s="163">
        <v>34379263</v>
      </c>
      <c r="D2162" s="164" t="s">
        <v>2422</v>
      </c>
      <c r="E2162" s="165">
        <v>601545</v>
      </c>
      <c r="F2162" s="165">
        <v>0</v>
      </c>
      <c r="G2162" s="165">
        <v>0</v>
      </c>
      <c r="H2162" s="165">
        <v>601545</v>
      </c>
      <c r="I2162" s="163"/>
      <c r="J2162" s="166">
        <v>0</v>
      </c>
      <c r="K2162" s="167" t="s">
        <v>1464</v>
      </c>
      <c r="L2162" s="167">
        <v>766</v>
      </c>
      <c r="M2162" s="168">
        <v>46126</v>
      </c>
      <c r="N2162" s="169" t="s">
        <v>2976</v>
      </c>
      <c r="O2162" s="162" t="s">
        <v>336</v>
      </c>
    </row>
    <row r="2163" spans="1:15" x14ac:dyDescent="0.25">
      <c r="A2163" s="154">
        <v>2163</v>
      </c>
      <c r="B2163" s="162" t="s">
        <v>2971</v>
      </c>
      <c r="C2163" s="163">
        <v>34379263</v>
      </c>
      <c r="D2163" s="164" t="s">
        <v>2422</v>
      </c>
      <c r="E2163" s="165">
        <v>7500</v>
      </c>
      <c r="F2163" s="165">
        <v>3750</v>
      </c>
      <c r="G2163" s="165">
        <v>3750</v>
      </c>
      <c r="H2163" s="165">
        <v>0</v>
      </c>
      <c r="I2163" s="163"/>
      <c r="J2163" s="166">
        <v>0</v>
      </c>
      <c r="K2163" s="167" t="s">
        <v>1464</v>
      </c>
      <c r="L2163" s="167">
        <v>766</v>
      </c>
      <c r="M2163" s="168">
        <v>46126</v>
      </c>
      <c r="N2163" s="169" t="s">
        <v>2977</v>
      </c>
      <c r="O2163" s="162" t="s">
        <v>388</v>
      </c>
    </row>
    <row r="2164" spans="1:15" x14ac:dyDescent="0.25">
      <c r="A2164" s="154">
        <v>2164</v>
      </c>
      <c r="B2164" s="162" t="s">
        <v>2971</v>
      </c>
      <c r="C2164" s="163">
        <v>34379263</v>
      </c>
      <c r="D2164" s="164" t="s">
        <v>2422</v>
      </c>
      <c r="E2164" s="165">
        <v>685100</v>
      </c>
      <c r="F2164" s="165">
        <v>685100</v>
      </c>
      <c r="G2164" s="165">
        <v>0</v>
      </c>
      <c r="H2164" s="165">
        <v>0</v>
      </c>
      <c r="I2164" s="163"/>
      <c r="J2164" s="166">
        <v>0</v>
      </c>
      <c r="K2164" s="167" t="s">
        <v>1464</v>
      </c>
      <c r="L2164" s="167">
        <v>766</v>
      </c>
      <c r="M2164" s="168">
        <v>46126</v>
      </c>
      <c r="N2164" s="169" t="s">
        <v>2978</v>
      </c>
      <c r="O2164" s="162" t="s">
        <v>1020</v>
      </c>
    </row>
    <row r="2165" spans="1:15" x14ac:dyDescent="0.25">
      <c r="A2165" s="154">
        <v>2165</v>
      </c>
      <c r="B2165" s="162" t="s">
        <v>2979</v>
      </c>
      <c r="C2165" s="163">
        <v>13103611</v>
      </c>
      <c r="D2165" s="164" t="s">
        <v>2422</v>
      </c>
      <c r="E2165" s="165">
        <v>11514568</v>
      </c>
      <c r="F2165" s="165">
        <v>11514568</v>
      </c>
      <c r="G2165" s="165">
        <v>0</v>
      </c>
      <c r="H2165" s="165">
        <v>0</v>
      </c>
      <c r="I2165" s="163"/>
      <c r="J2165" s="166">
        <v>11514568</v>
      </c>
      <c r="K2165" s="167" t="s">
        <v>1466</v>
      </c>
      <c r="L2165" s="167">
        <v>766</v>
      </c>
      <c r="M2165" s="168">
        <v>46126</v>
      </c>
      <c r="N2165" s="169" t="s">
        <v>2980</v>
      </c>
      <c r="O2165" s="162" t="s">
        <v>1810</v>
      </c>
    </row>
    <row r="2166" spans="1:15" x14ac:dyDescent="0.25">
      <c r="A2166" s="154">
        <v>2166</v>
      </c>
      <c r="B2166" s="162" t="s">
        <v>2981</v>
      </c>
      <c r="C2166" s="163">
        <v>874543</v>
      </c>
      <c r="D2166" s="164" t="s">
        <v>2422</v>
      </c>
      <c r="E2166" s="165">
        <v>874543</v>
      </c>
      <c r="F2166" s="165">
        <v>0</v>
      </c>
      <c r="G2166" s="165">
        <v>0</v>
      </c>
      <c r="H2166" s="165">
        <v>874543</v>
      </c>
      <c r="I2166" s="163"/>
      <c r="J2166" s="166">
        <v>0</v>
      </c>
      <c r="K2166" s="167" t="s">
        <v>1464</v>
      </c>
      <c r="L2166" s="167">
        <v>766</v>
      </c>
      <c r="M2166" s="168">
        <v>46126</v>
      </c>
      <c r="N2166" s="169" t="s">
        <v>2982</v>
      </c>
      <c r="O2166" s="162">
        <v>849</v>
      </c>
    </row>
    <row r="2167" spans="1:15" x14ac:dyDescent="0.25">
      <c r="A2167" s="154">
        <v>2167</v>
      </c>
      <c r="B2167" s="162" t="s">
        <v>2983</v>
      </c>
      <c r="C2167" s="163">
        <v>71539</v>
      </c>
      <c r="D2167" s="164" t="s">
        <v>2422</v>
      </c>
      <c r="E2167" s="165">
        <v>39</v>
      </c>
      <c r="F2167" s="165">
        <v>39</v>
      </c>
      <c r="G2167" s="165">
        <v>0</v>
      </c>
      <c r="H2167" s="165">
        <v>0</v>
      </c>
      <c r="I2167" s="163"/>
      <c r="J2167" s="166">
        <v>0</v>
      </c>
      <c r="K2167" s="167" t="s">
        <v>1464</v>
      </c>
      <c r="L2167" s="167">
        <v>766</v>
      </c>
      <c r="M2167" s="168">
        <v>46126</v>
      </c>
      <c r="N2167" s="169" t="s">
        <v>2984</v>
      </c>
      <c r="O2167" s="162">
        <v>202</v>
      </c>
    </row>
    <row r="2168" spans="1:15" x14ac:dyDescent="0.25">
      <c r="A2168" s="154">
        <v>2168</v>
      </c>
      <c r="B2168" s="162" t="s">
        <v>2985</v>
      </c>
      <c r="C2168" s="163">
        <v>75694</v>
      </c>
      <c r="D2168" s="164" t="s">
        <v>2422</v>
      </c>
      <c r="E2168" s="165">
        <v>294</v>
      </c>
      <c r="F2168" s="165">
        <v>294</v>
      </c>
      <c r="G2168" s="165">
        <v>0</v>
      </c>
      <c r="H2168" s="165">
        <v>0</v>
      </c>
      <c r="I2168" s="163"/>
      <c r="J2168" s="166">
        <v>0</v>
      </c>
      <c r="K2168" s="167" t="s">
        <v>1464</v>
      </c>
      <c r="L2168" s="167">
        <v>766</v>
      </c>
      <c r="M2168" s="168">
        <v>46126</v>
      </c>
      <c r="N2168" s="169" t="s">
        <v>2986</v>
      </c>
      <c r="O2168" s="162">
        <v>202</v>
      </c>
    </row>
    <row r="2169" spans="1:15" x14ac:dyDescent="0.25">
      <c r="A2169" s="154">
        <v>2169</v>
      </c>
      <c r="B2169" s="162" t="s">
        <v>2987</v>
      </c>
      <c r="C2169" s="163">
        <v>75700</v>
      </c>
      <c r="D2169" s="164" t="s">
        <v>2422</v>
      </c>
      <c r="E2169" s="165">
        <v>300</v>
      </c>
      <c r="F2169" s="165">
        <v>300</v>
      </c>
      <c r="G2169" s="165">
        <v>0</v>
      </c>
      <c r="H2169" s="165">
        <v>0</v>
      </c>
      <c r="I2169" s="163"/>
      <c r="J2169" s="166">
        <v>0</v>
      </c>
      <c r="K2169" s="167" t="s">
        <v>1464</v>
      </c>
      <c r="L2169" s="167">
        <v>766</v>
      </c>
      <c r="M2169" s="168">
        <v>46126</v>
      </c>
      <c r="N2169" s="169" t="s">
        <v>2988</v>
      </c>
      <c r="O2169" s="162">
        <v>202</v>
      </c>
    </row>
    <row r="2170" spans="1:15" x14ac:dyDescent="0.25">
      <c r="A2170" s="154">
        <v>2170</v>
      </c>
      <c r="B2170" s="162" t="s">
        <v>2989</v>
      </c>
      <c r="C2170" s="163">
        <v>1420000</v>
      </c>
      <c r="D2170" s="164" t="s">
        <v>2422</v>
      </c>
      <c r="E2170" s="165">
        <v>1420000</v>
      </c>
      <c r="F2170" s="165">
        <v>1420000</v>
      </c>
      <c r="G2170" s="165">
        <v>0</v>
      </c>
      <c r="H2170" s="165">
        <v>0</v>
      </c>
      <c r="I2170" s="163"/>
      <c r="J2170" s="166">
        <v>1420000</v>
      </c>
      <c r="K2170" s="167" t="s">
        <v>1466</v>
      </c>
      <c r="L2170" s="167">
        <v>766</v>
      </c>
      <c r="M2170" s="168">
        <v>46126</v>
      </c>
      <c r="N2170" s="169" t="s">
        <v>2990</v>
      </c>
      <c r="O2170" s="162">
        <v>849</v>
      </c>
    </row>
    <row r="2171" spans="1:15" x14ac:dyDescent="0.25">
      <c r="A2171" s="154">
        <v>2171</v>
      </c>
      <c r="B2171" s="162" t="s">
        <v>2991</v>
      </c>
      <c r="C2171" s="163">
        <v>32367292</v>
      </c>
      <c r="D2171" s="164" t="s">
        <v>2422</v>
      </c>
      <c r="E2171" s="165">
        <v>2198992</v>
      </c>
      <c r="F2171" s="165">
        <v>31700</v>
      </c>
      <c r="G2171" s="165">
        <v>124492</v>
      </c>
      <c r="H2171" s="165">
        <v>2042800</v>
      </c>
      <c r="I2171" s="163"/>
      <c r="J2171" s="166">
        <v>0</v>
      </c>
      <c r="K2171" s="167" t="s">
        <v>1464</v>
      </c>
      <c r="L2171" s="167">
        <v>766</v>
      </c>
      <c r="M2171" s="168">
        <v>46126</v>
      </c>
      <c r="N2171" s="169" t="s">
        <v>2992</v>
      </c>
      <c r="O2171" s="162" t="s">
        <v>309</v>
      </c>
    </row>
    <row r="2172" spans="1:15" x14ac:dyDescent="0.25">
      <c r="A2172" s="154">
        <v>2172</v>
      </c>
      <c r="B2172" s="162" t="s">
        <v>2991</v>
      </c>
      <c r="C2172" s="163">
        <v>32367292</v>
      </c>
      <c r="D2172" s="164" t="s">
        <v>2422</v>
      </c>
      <c r="E2172" s="165">
        <v>41800</v>
      </c>
      <c r="F2172" s="165">
        <v>20900</v>
      </c>
      <c r="G2172" s="165">
        <v>20900</v>
      </c>
      <c r="H2172" s="165">
        <v>0</v>
      </c>
      <c r="I2172" s="163"/>
      <c r="J2172" s="166">
        <v>0</v>
      </c>
      <c r="K2172" s="167" t="s">
        <v>1464</v>
      </c>
      <c r="L2172" s="167">
        <v>766</v>
      </c>
      <c r="M2172" s="168">
        <v>46126</v>
      </c>
      <c r="N2172" s="169" t="s">
        <v>2993</v>
      </c>
      <c r="O2172" s="162" t="s">
        <v>224</v>
      </c>
    </row>
    <row r="2173" spans="1:15" x14ac:dyDescent="0.25">
      <c r="A2173" s="154">
        <v>2173</v>
      </c>
      <c r="B2173" s="162" t="s">
        <v>2991</v>
      </c>
      <c r="C2173" s="163">
        <v>32367292</v>
      </c>
      <c r="D2173" s="164" t="s">
        <v>2422</v>
      </c>
      <c r="E2173" s="165">
        <v>378780</v>
      </c>
      <c r="F2173" s="165">
        <v>189390</v>
      </c>
      <c r="G2173" s="165">
        <v>189390</v>
      </c>
      <c r="H2173" s="165">
        <v>0</v>
      </c>
      <c r="I2173" s="163"/>
      <c r="J2173" s="166">
        <v>0</v>
      </c>
      <c r="K2173" s="167" t="s">
        <v>1464</v>
      </c>
      <c r="L2173" s="167">
        <v>766</v>
      </c>
      <c r="M2173" s="168">
        <v>46126</v>
      </c>
      <c r="N2173" s="169" t="s">
        <v>2994</v>
      </c>
      <c r="O2173" s="162" t="s">
        <v>275</v>
      </c>
    </row>
    <row r="2174" spans="1:15" x14ac:dyDescent="0.25">
      <c r="A2174" s="154">
        <v>2174</v>
      </c>
      <c r="B2174" s="162" t="s">
        <v>2991</v>
      </c>
      <c r="C2174" s="163">
        <v>32367292</v>
      </c>
      <c r="D2174" s="164" t="s">
        <v>2422</v>
      </c>
      <c r="E2174" s="165">
        <v>31888</v>
      </c>
      <c r="F2174" s="165">
        <v>31888</v>
      </c>
      <c r="G2174" s="165">
        <v>0</v>
      </c>
      <c r="H2174" s="165">
        <v>0</v>
      </c>
      <c r="I2174" s="163"/>
      <c r="J2174" s="166">
        <v>0</v>
      </c>
      <c r="K2174" s="167" t="s">
        <v>1464</v>
      </c>
      <c r="L2174" s="167">
        <v>766</v>
      </c>
      <c r="M2174" s="168">
        <v>46126</v>
      </c>
      <c r="N2174" s="169" t="s">
        <v>2995</v>
      </c>
      <c r="O2174" s="162" t="s">
        <v>383</v>
      </c>
    </row>
    <row r="2175" spans="1:15" x14ac:dyDescent="0.25">
      <c r="A2175" s="154">
        <v>2175</v>
      </c>
      <c r="B2175" s="162" t="s">
        <v>2991</v>
      </c>
      <c r="C2175" s="163">
        <v>32367292</v>
      </c>
      <c r="D2175" s="164" t="s">
        <v>2422</v>
      </c>
      <c r="E2175" s="165">
        <v>114700</v>
      </c>
      <c r="F2175" s="165">
        <v>114700</v>
      </c>
      <c r="G2175" s="165">
        <v>0</v>
      </c>
      <c r="H2175" s="165">
        <v>0</v>
      </c>
      <c r="I2175" s="163"/>
      <c r="J2175" s="166">
        <v>0</v>
      </c>
      <c r="K2175" s="167" t="s">
        <v>1464</v>
      </c>
      <c r="L2175" s="167">
        <v>766</v>
      </c>
      <c r="M2175" s="168">
        <v>46126</v>
      </c>
      <c r="N2175" s="169" t="s">
        <v>2996</v>
      </c>
      <c r="O2175" s="162" t="s">
        <v>2716</v>
      </c>
    </row>
    <row r="2176" spans="1:15" x14ac:dyDescent="0.25">
      <c r="A2176" s="154">
        <v>2176</v>
      </c>
      <c r="B2176" s="162" t="s">
        <v>2997</v>
      </c>
      <c r="C2176" s="163">
        <v>145000</v>
      </c>
      <c r="D2176" s="164" t="s">
        <v>2422</v>
      </c>
      <c r="E2176" s="165">
        <v>86400</v>
      </c>
      <c r="F2176" s="165">
        <v>86400</v>
      </c>
      <c r="G2176" s="165">
        <v>0</v>
      </c>
      <c r="H2176" s="165">
        <v>0</v>
      </c>
      <c r="I2176" s="163"/>
      <c r="J2176" s="166">
        <v>0</v>
      </c>
      <c r="K2176" s="167" t="s">
        <v>1464</v>
      </c>
      <c r="L2176" s="167">
        <v>766</v>
      </c>
      <c r="M2176" s="168">
        <v>46126</v>
      </c>
      <c r="N2176" s="169" t="s">
        <v>2998</v>
      </c>
      <c r="O2176" s="162" t="s">
        <v>314</v>
      </c>
    </row>
    <row r="2177" spans="1:15" x14ac:dyDescent="0.25">
      <c r="A2177" s="154">
        <v>2177</v>
      </c>
      <c r="B2177" s="162" t="s">
        <v>2999</v>
      </c>
      <c r="C2177" s="163">
        <v>153000</v>
      </c>
      <c r="D2177" s="164" t="s">
        <v>2422</v>
      </c>
      <c r="E2177" s="165">
        <v>91000</v>
      </c>
      <c r="F2177" s="165">
        <v>91000</v>
      </c>
      <c r="G2177" s="165">
        <v>0</v>
      </c>
      <c r="H2177" s="165">
        <v>0</v>
      </c>
      <c r="I2177" s="163"/>
      <c r="J2177" s="166">
        <v>0</v>
      </c>
      <c r="K2177" s="167" t="s">
        <v>1464</v>
      </c>
      <c r="L2177" s="167">
        <v>766</v>
      </c>
      <c r="M2177" s="168">
        <v>46126</v>
      </c>
      <c r="N2177" s="169" t="s">
        <v>3000</v>
      </c>
      <c r="O2177" s="162" t="s">
        <v>314</v>
      </c>
    </row>
    <row r="2178" spans="1:15" x14ac:dyDescent="0.25">
      <c r="A2178" s="154">
        <v>2178</v>
      </c>
      <c r="B2178" s="162" t="s">
        <v>3001</v>
      </c>
      <c r="C2178" s="163">
        <v>71500</v>
      </c>
      <c r="D2178" s="164" t="s">
        <v>2422</v>
      </c>
      <c r="E2178" s="165">
        <v>71500</v>
      </c>
      <c r="F2178" s="165">
        <v>0</v>
      </c>
      <c r="G2178" s="165">
        <v>0</v>
      </c>
      <c r="H2178" s="165">
        <v>71500</v>
      </c>
      <c r="I2178" s="163"/>
      <c r="J2178" s="166">
        <v>0</v>
      </c>
      <c r="K2178" s="167" t="s">
        <v>1464</v>
      </c>
      <c r="L2178" s="167">
        <v>766</v>
      </c>
      <c r="M2178" s="168">
        <v>46126</v>
      </c>
      <c r="N2178" s="169" t="s">
        <v>3002</v>
      </c>
      <c r="O2178" s="162">
        <v>849</v>
      </c>
    </row>
    <row r="2179" spans="1:15" x14ac:dyDescent="0.25">
      <c r="A2179" s="154">
        <v>2179</v>
      </c>
      <c r="B2179" s="162" t="s">
        <v>3003</v>
      </c>
      <c r="C2179" s="163">
        <v>69700</v>
      </c>
      <c r="D2179" s="164" t="s">
        <v>2422</v>
      </c>
      <c r="E2179" s="165">
        <v>69700</v>
      </c>
      <c r="F2179" s="165">
        <v>0</v>
      </c>
      <c r="G2179" s="165">
        <v>0</v>
      </c>
      <c r="H2179" s="165">
        <v>69700</v>
      </c>
      <c r="I2179" s="163"/>
      <c r="J2179" s="166">
        <v>0</v>
      </c>
      <c r="K2179" s="167" t="s">
        <v>1464</v>
      </c>
      <c r="L2179" s="167">
        <v>766</v>
      </c>
      <c r="M2179" s="168">
        <v>46126</v>
      </c>
      <c r="N2179" s="169" t="s">
        <v>3002</v>
      </c>
      <c r="O2179" s="162">
        <v>849</v>
      </c>
    </row>
    <row r="2180" spans="1:15" x14ac:dyDescent="0.25">
      <c r="A2180" s="154">
        <v>2180</v>
      </c>
      <c r="B2180" s="162" t="s">
        <v>3004</v>
      </c>
      <c r="C2180" s="163">
        <v>999400</v>
      </c>
      <c r="D2180" s="164" t="s">
        <v>2422</v>
      </c>
      <c r="E2180" s="165">
        <v>999400</v>
      </c>
      <c r="F2180" s="165">
        <v>0</v>
      </c>
      <c r="G2180" s="165">
        <v>0</v>
      </c>
      <c r="H2180" s="165">
        <v>999400</v>
      </c>
      <c r="I2180" s="163"/>
      <c r="J2180" s="166">
        <v>0</v>
      </c>
      <c r="K2180" s="167" t="s">
        <v>1464</v>
      </c>
      <c r="L2180" s="167">
        <v>766</v>
      </c>
      <c r="M2180" s="168">
        <v>46126</v>
      </c>
      <c r="N2180" s="169" t="s">
        <v>3002</v>
      </c>
      <c r="O2180" s="162">
        <v>849</v>
      </c>
    </row>
    <row r="2181" spans="1:15" x14ac:dyDescent="0.25">
      <c r="A2181" s="154">
        <v>2181</v>
      </c>
      <c r="B2181" s="162" t="s">
        <v>3005</v>
      </c>
      <c r="C2181" s="163">
        <v>173400</v>
      </c>
      <c r="D2181" s="164" t="s">
        <v>2422</v>
      </c>
      <c r="E2181" s="165">
        <v>173400</v>
      </c>
      <c r="F2181" s="165">
        <v>0</v>
      </c>
      <c r="G2181" s="165">
        <v>0</v>
      </c>
      <c r="H2181" s="165">
        <v>173400</v>
      </c>
      <c r="I2181" s="163"/>
      <c r="J2181" s="166">
        <v>0</v>
      </c>
      <c r="K2181" s="167" t="s">
        <v>1464</v>
      </c>
      <c r="L2181" s="167">
        <v>766</v>
      </c>
      <c r="M2181" s="168">
        <v>46126</v>
      </c>
      <c r="N2181" s="169" t="s">
        <v>3002</v>
      </c>
      <c r="O2181" s="162">
        <v>849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7A24A-FF37-4656-B50A-E7C3BB3B6D8E}">
  <dimension ref="A1:U260"/>
  <sheetViews>
    <sheetView workbookViewId="0">
      <selection sqref="A1:Q1"/>
    </sheetView>
  </sheetViews>
  <sheetFormatPr baseColWidth="10" defaultRowHeight="15" x14ac:dyDescent="0.25"/>
  <cols>
    <col min="15" max="15" width="54.28515625" bestFit="1" customWidth="1"/>
  </cols>
  <sheetData>
    <row r="1" spans="1:21" ht="21.75" x14ac:dyDescent="0.25">
      <c r="A1" s="201">
        <v>1</v>
      </c>
      <c r="B1" s="202" t="s">
        <v>821</v>
      </c>
      <c r="C1" s="98" t="s">
        <v>44</v>
      </c>
      <c r="D1" s="203">
        <v>45901</v>
      </c>
      <c r="E1" s="98" t="s">
        <v>668</v>
      </c>
      <c r="F1" s="98" t="s">
        <v>664</v>
      </c>
      <c r="G1" s="98" t="s">
        <v>185</v>
      </c>
      <c r="H1" s="98" t="s">
        <v>671</v>
      </c>
      <c r="I1" s="204">
        <f>_xlfn.XLOOKUP(C1,[1]Hoja1!$A:$A,[1]Hoja1!$C:$C,0)</f>
        <v>82085</v>
      </c>
      <c r="J1" s="204">
        <v>6685</v>
      </c>
      <c r="K1" s="204">
        <v>6685</v>
      </c>
      <c r="L1" s="204">
        <v>0</v>
      </c>
      <c r="M1" s="204">
        <v>6685</v>
      </c>
      <c r="N1" s="204">
        <f>K1-L1-M1</f>
        <v>0</v>
      </c>
      <c r="O1" s="118" t="s">
        <v>3006</v>
      </c>
      <c r="P1" s="98" t="s">
        <v>837</v>
      </c>
      <c r="Q1" s="119" t="s">
        <v>840</v>
      </c>
      <c r="R1" s="28" t="s">
        <v>824</v>
      </c>
      <c r="S1" s="28" t="s">
        <v>824</v>
      </c>
      <c r="T1" s="28" t="s">
        <v>824</v>
      </c>
      <c r="U1" s="101">
        <v>0</v>
      </c>
    </row>
    <row r="2" spans="1:21" ht="21.75" x14ac:dyDescent="0.25">
      <c r="A2" s="201">
        <v>2</v>
      </c>
      <c r="B2" s="202" t="s">
        <v>821</v>
      </c>
      <c r="C2" s="98" t="s">
        <v>45</v>
      </c>
      <c r="D2" s="203">
        <v>45900</v>
      </c>
      <c r="E2" s="98" t="s">
        <v>669</v>
      </c>
      <c r="F2" s="98" t="s">
        <v>666</v>
      </c>
      <c r="G2" s="98" t="s">
        <v>241</v>
      </c>
      <c r="H2" s="98" t="s">
        <v>672</v>
      </c>
      <c r="I2" s="204">
        <f>_xlfn.XLOOKUP(C2,[1]Hoja1!$A:$A,[1]Hoja1!$C:$C,0)</f>
        <v>4994737</v>
      </c>
      <c r="J2" s="204">
        <v>129388</v>
      </c>
      <c r="K2" s="204">
        <v>129388</v>
      </c>
      <c r="L2" s="204">
        <v>129388</v>
      </c>
      <c r="M2" s="204">
        <v>0</v>
      </c>
      <c r="N2" s="204">
        <f t="shared" ref="N2:N65" si="0">K2-L2-M2</f>
        <v>0</v>
      </c>
      <c r="O2" s="118" t="s">
        <v>3006</v>
      </c>
      <c r="P2" s="98" t="s">
        <v>839</v>
      </c>
      <c r="Q2" s="119" t="s">
        <v>841</v>
      </c>
      <c r="R2" s="28" t="s">
        <v>824</v>
      </c>
      <c r="S2" s="28" t="s">
        <v>824</v>
      </c>
      <c r="T2" s="28" t="s">
        <v>824</v>
      </c>
      <c r="U2" s="101">
        <v>0</v>
      </c>
    </row>
    <row r="3" spans="1:21" ht="21.75" x14ac:dyDescent="0.25">
      <c r="A3" s="201">
        <v>3</v>
      </c>
      <c r="B3" s="202" t="s">
        <v>821</v>
      </c>
      <c r="C3" s="98" t="s">
        <v>45</v>
      </c>
      <c r="D3" s="203">
        <v>45900</v>
      </c>
      <c r="E3" s="98" t="s">
        <v>668</v>
      </c>
      <c r="F3" s="98" t="s">
        <v>667</v>
      </c>
      <c r="G3" s="98" t="s">
        <v>237</v>
      </c>
      <c r="H3" s="98" t="s">
        <v>673</v>
      </c>
      <c r="I3" s="204">
        <f>_xlfn.XLOOKUP(C3,[1]Hoja1!$A:$A,[1]Hoja1!$C:$C,0)</f>
        <v>4994737</v>
      </c>
      <c r="J3" s="204">
        <v>164858</v>
      </c>
      <c r="K3" s="204">
        <v>164858</v>
      </c>
      <c r="L3" s="204">
        <v>0</v>
      </c>
      <c r="M3" s="204">
        <v>164858</v>
      </c>
      <c r="N3" s="204">
        <f t="shared" si="0"/>
        <v>0</v>
      </c>
      <c r="O3" s="118" t="s">
        <v>3006</v>
      </c>
      <c r="P3" s="98" t="s">
        <v>837</v>
      </c>
      <c r="Q3" s="119" t="s">
        <v>842</v>
      </c>
      <c r="R3" s="28" t="s">
        <v>824</v>
      </c>
      <c r="S3" s="28" t="s">
        <v>824</v>
      </c>
      <c r="T3" s="28" t="s">
        <v>824</v>
      </c>
      <c r="U3" s="101">
        <v>0</v>
      </c>
    </row>
    <row r="4" spans="1:21" ht="21.75" x14ac:dyDescent="0.25">
      <c r="A4" s="201">
        <v>4</v>
      </c>
      <c r="B4" s="202" t="s">
        <v>821</v>
      </c>
      <c r="C4" s="98" t="s">
        <v>46</v>
      </c>
      <c r="D4" s="203">
        <v>45902</v>
      </c>
      <c r="E4" s="98" t="s">
        <v>668</v>
      </c>
      <c r="F4" s="98" t="s">
        <v>667</v>
      </c>
      <c r="G4" s="98" t="s">
        <v>237</v>
      </c>
      <c r="H4" s="98" t="s">
        <v>674</v>
      </c>
      <c r="I4" s="204">
        <f>_xlfn.XLOOKUP(C4,[1]Hoja1!$A:$A,[1]Hoja1!$C:$C,0)</f>
        <v>1514481</v>
      </c>
      <c r="J4" s="204">
        <v>176405</v>
      </c>
      <c r="K4" s="204">
        <v>176405</v>
      </c>
      <c r="L4" s="204">
        <v>0</v>
      </c>
      <c r="M4" s="204">
        <v>176405</v>
      </c>
      <c r="N4" s="204">
        <f t="shared" si="0"/>
        <v>0</v>
      </c>
      <c r="O4" s="118" t="s">
        <v>3006</v>
      </c>
      <c r="P4" s="98" t="s">
        <v>837</v>
      </c>
      <c r="Q4" s="119" t="s">
        <v>843</v>
      </c>
      <c r="R4" s="28" t="s">
        <v>824</v>
      </c>
      <c r="S4" s="28" t="s">
        <v>824</v>
      </c>
      <c r="T4" s="28" t="s">
        <v>824</v>
      </c>
      <c r="U4" s="101">
        <v>0</v>
      </c>
    </row>
    <row r="5" spans="1:21" ht="21.75" x14ac:dyDescent="0.25">
      <c r="A5" s="201">
        <v>5</v>
      </c>
      <c r="B5" s="202" t="s">
        <v>821</v>
      </c>
      <c r="C5" s="98" t="s">
        <v>47</v>
      </c>
      <c r="D5" s="203">
        <v>45897</v>
      </c>
      <c r="E5" s="98" t="s">
        <v>668</v>
      </c>
      <c r="F5" s="98" t="s">
        <v>664</v>
      </c>
      <c r="G5" s="98" t="s">
        <v>212</v>
      </c>
      <c r="H5" s="98" t="s">
        <v>675</v>
      </c>
      <c r="I5" s="204">
        <f>_xlfn.XLOOKUP(C5,[1]Hoja1!$A:$A,[1]Hoja1!$C:$C,0)</f>
        <v>5773764</v>
      </c>
      <c r="J5" s="204">
        <v>73374</v>
      </c>
      <c r="K5" s="204">
        <v>73374</v>
      </c>
      <c r="L5" s="204">
        <v>0</v>
      </c>
      <c r="M5" s="204">
        <v>73374</v>
      </c>
      <c r="N5" s="204">
        <f t="shared" si="0"/>
        <v>0</v>
      </c>
      <c r="O5" s="118" t="s">
        <v>3006</v>
      </c>
      <c r="P5" s="98" t="s">
        <v>837</v>
      </c>
      <c r="Q5" s="119" t="s">
        <v>840</v>
      </c>
      <c r="R5" s="28" t="s">
        <v>824</v>
      </c>
      <c r="S5" s="28" t="s">
        <v>824</v>
      </c>
      <c r="T5" s="28" t="s">
        <v>824</v>
      </c>
      <c r="U5" s="101">
        <v>0</v>
      </c>
    </row>
    <row r="6" spans="1:21" ht="21.75" x14ac:dyDescent="0.25">
      <c r="A6" s="201">
        <v>6</v>
      </c>
      <c r="B6" s="202" t="s">
        <v>821</v>
      </c>
      <c r="C6" s="98" t="s">
        <v>48</v>
      </c>
      <c r="D6" s="203">
        <v>45898</v>
      </c>
      <c r="E6" s="98" t="s">
        <v>668</v>
      </c>
      <c r="F6" s="98" t="s">
        <v>664</v>
      </c>
      <c r="G6" s="98" t="s">
        <v>212</v>
      </c>
      <c r="H6" s="98" t="s">
        <v>676</v>
      </c>
      <c r="I6" s="204">
        <f>_xlfn.XLOOKUP(C6,[1]Hoja1!$A:$A,[1]Hoja1!$C:$C,0)</f>
        <v>6404609</v>
      </c>
      <c r="J6" s="204">
        <v>3826</v>
      </c>
      <c r="K6" s="204">
        <v>3826</v>
      </c>
      <c r="L6" s="204">
        <v>3826</v>
      </c>
      <c r="M6" s="204">
        <v>0</v>
      </c>
      <c r="N6" s="204">
        <f t="shared" si="0"/>
        <v>0</v>
      </c>
      <c r="O6" s="118" t="s">
        <v>3006</v>
      </c>
      <c r="P6" s="98" t="s">
        <v>837</v>
      </c>
      <c r="Q6" s="119" t="s">
        <v>844</v>
      </c>
      <c r="R6" s="28" t="s">
        <v>824</v>
      </c>
      <c r="S6" s="28" t="s">
        <v>824</v>
      </c>
      <c r="T6" s="28" t="s">
        <v>824</v>
      </c>
      <c r="U6" s="101">
        <v>0</v>
      </c>
    </row>
    <row r="7" spans="1:21" ht="21.75" x14ac:dyDescent="0.25">
      <c r="A7" s="201">
        <v>7</v>
      </c>
      <c r="B7" s="202" t="s">
        <v>821</v>
      </c>
      <c r="C7" s="98" t="s">
        <v>49</v>
      </c>
      <c r="D7" s="203">
        <v>45904</v>
      </c>
      <c r="E7" s="98" t="s">
        <v>668</v>
      </c>
      <c r="F7" s="98" t="s">
        <v>664</v>
      </c>
      <c r="G7" s="98" t="s">
        <v>201</v>
      </c>
      <c r="H7" s="98" t="s">
        <v>677</v>
      </c>
      <c r="I7" s="204">
        <f>_xlfn.XLOOKUP(C7,[1]Hoja1!$A:$A,[1]Hoja1!$C:$C,0)</f>
        <v>6913001</v>
      </c>
      <c r="J7" s="204">
        <v>116242</v>
      </c>
      <c r="K7" s="204">
        <v>116242</v>
      </c>
      <c r="L7" s="204">
        <v>116242</v>
      </c>
      <c r="M7" s="204">
        <v>0</v>
      </c>
      <c r="N7" s="204">
        <f t="shared" si="0"/>
        <v>0</v>
      </c>
      <c r="O7" s="118" t="s">
        <v>3006</v>
      </c>
      <c r="P7" s="98" t="s">
        <v>837</v>
      </c>
      <c r="Q7" s="119" t="s">
        <v>844</v>
      </c>
      <c r="R7" s="28" t="s">
        <v>824</v>
      </c>
      <c r="S7" s="28" t="s">
        <v>824</v>
      </c>
      <c r="T7" s="28" t="s">
        <v>824</v>
      </c>
      <c r="U7" s="101">
        <v>0</v>
      </c>
    </row>
    <row r="8" spans="1:21" ht="21.75" x14ac:dyDescent="0.25">
      <c r="A8" s="201">
        <v>8</v>
      </c>
      <c r="B8" s="202" t="s">
        <v>821</v>
      </c>
      <c r="C8" s="98" t="s">
        <v>50</v>
      </c>
      <c r="D8" s="203">
        <v>45890</v>
      </c>
      <c r="E8" s="98" t="s">
        <v>668</v>
      </c>
      <c r="F8" s="98" t="s">
        <v>667</v>
      </c>
      <c r="G8" s="98" t="s">
        <v>252</v>
      </c>
      <c r="H8" s="98" t="s">
        <v>678</v>
      </c>
      <c r="I8" s="204">
        <f>_xlfn.XLOOKUP(C8,[1]Hoja1!$A:$A,[1]Hoja1!$C:$C,0)</f>
        <v>20880710</v>
      </c>
      <c r="J8" s="204">
        <v>55000</v>
      </c>
      <c r="K8" s="204">
        <v>55000</v>
      </c>
      <c r="L8" s="204">
        <v>0</v>
      </c>
      <c r="M8" s="204">
        <v>55000</v>
      </c>
      <c r="N8" s="204">
        <f t="shared" si="0"/>
        <v>0</v>
      </c>
      <c r="O8" s="118" t="s">
        <v>3006</v>
      </c>
      <c r="P8" s="98" t="s">
        <v>837</v>
      </c>
      <c r="Q8" s="119" t="s">
        <v>845</v>
      </c>
      <c r="R8" s="28" t="s">
        <v>824</v>
      </c>
      <c r="S8" s="28" t="s">
        <v>824</v>
      </c>
      <c r="T8" s="28" t="s">
        <v>824</v>
      </c>
      <c r="U8" s="101">
        <v>0</v>
      </c>
    </row>
    <row r="9" spans="1:21" ht="21.75" x14ac:dyDescent="0.25">
      <c r="A9" s="201">
        <v>9</v>
      </c>
      <c r="B9" s="202" t="s">
        <v>821</v>
      </c>
      <c r="C9" s="98" t="s">
        <v>50</v>
      </c>
      <c r="D9" s="203">
        <v>45890</v>
      </c>
      <c r="E9" s="98" t="s">
        <v>668</v>
      </c>
      <c r="F9" s="98" t="s">
        <v>667</v>
      </c>
      <c r="G9" s="98" t="s">
        <v>252</v>
      </c>
      <c r="H9" s="98" t="s">
        <v>678</v>
      </c>
      <c r="I9" s="204">
        <f>_xlfn.XLOOKUP(C9,[1]Hoja1!$A:$A,[1]Hoja1!$C:$C,0)</f>
        <v>20880710</v>
      </c>
      <c r="J9" s="204">
        <v>55000</v>
      </c>
      <c r="K9" s="204">
        <v>55000</v>
      </c>
      <c r="L9" s="204">
        <v>0</v>
      </c>
      <c r="M9" s="204">
        <v>55000</v>
      </c>
      <c r="N9" s="204">
        <f t="shared" si="0"/>
        <v>0</v>
      </c>
      <c r="O9" s="118" t="s">
        <v>3006</v>
      </c>
      <c r="P9" s="98" t="s">
        <v>837</v>
      </c>
      <c r="Q9" s="119" t="s">
        <v>845</v>
      </c>
      <c r="R9" s="28" t="s">
        <v>824</v>
      </c>
      <c r="S9" s="28" t="s">
        <v>824</v>
      </c>
      <c r="T9" s="28" t="s">
        <v>824</v>
      </c>
      <c r="U9" s="101">
        <v>0</v>
      </c>
    </row>
    <row r="10" spans="1:21" ht="21.75" x14ac:dyDescent="0.25">
      <c r="A10" s="201">
        <v>10</v>
      </c>
      <c r="B10" s="202" t="s">
        <v>821</v>
      </c>
      <c r="C10" s="98" t="s">
        <v>50</v>
      </c>
      <c r="D10" s="203">
        <v>45890</v>
      </c>
      <c r="E10" s="98" t="s">
        <v>668</v>
      </c>
      <c r="F10" s="98" t="s">
        <v>667</v>
      </c>
      <c r="G10" s="98" t="s">
        <v>252</v>
      </c>
      <c r="H10" s="98" t="s">
        <v>678</v>
      </c>
      <c r="I10" s="204">
        <f>_xlfn.XLOOKUP(C10,[1]Hoja1!$A:$A,[1]Hoja1!$C:$C,0)</f>
        <v>20880710</v>
      </c>
      <c r="J10" s="204">
        <v>55000</v>
      </c>
      <c r="K10" s="204">
        <v>55000</v>
      </c>
      <c r="L10" s="204">
        <v>0</v>
      </c>
      <c r="M10" s="204">
        <v>55000</v>
      </c>
      <c r="N10" s="204">
        <f t="shared" si="0"/>
        <v>0</v>
      </c>
      <c r="O10" s="118" t="s">
        <v>3006</v>
      </c>
      <c r="P10" s="98" t="s">
        <v>837</v>
      </c>
      <c r="Q10" s="119" t="s">
        <v>845</v>
      </c>
      <c r="R10" s="28" t="s">
        <v>824</v>
      </c>
      <c r="S10" s="28" t="s">
        <v>824</v>
      </c>
      <c r="T10" s="28" t="s">
        <v>824</v>
      </c>
      <c r="U10" s="101">
        <v>0</v>
      </c>
    </row>
    <row r="11" spans="1:21" ht="21.75" x14ac:dyDescent="0.25">
      <c r="A11" s="201">
        <v>11</v>
      </c>
      <c r="B11" s="202" t="s">
        <v>821</v>
      </c>
      <c r="C11" s="98" t="s">
        <v>50</v>
      </c>
      <c r="D11" s="203">
        <v>45890</v>
      </c>
      <c r="E11" s="98" t="s">
        <v>668</v>
      </c>
      <c r="F11" s="98" t="s">
        <v>667</v>
      </c>
      <c r="G11" s="98" t="s">
        <v>252</v>
      </c>
      <c r="H11" s="98" t="s">
        <v>678</v>
      </c>
      <c r="I11" s="204">
        <f>_xlfn.XLOOKUP(C11,[1]Hoja1!$A:$A,[1]Hoja1!$C:$C,0)</f>
        <v>20880710</v>
      </c>
      <c r="J11" s="204">
        <v>55000</v>
      </c>
      <c r="K11" s="204">
        <v>55000</v>
      </c>
      <c r="L11" s="204">
        <v>0</v>
      </c>
      <c r="M11" s="204">
        <v>55000</v>
      </c>
      <c r="N11" s="204">
        <f t="shared" si="0"/>
        <v>0</v>
      </c>
      <c r="O11" s="118" t="s">
        <v>3006</v>
      </c>
      <c r="P11" s="98" t="s">
        <v>837</v>
      </c>
      <c r="Q11" s="119" t="s">
        <v>845</v>
      </c>
      <c r="R11" s="28" t="s">
        <v>824</v>
      </c>
      <c r="S11" s="28" t="s">
        <v>824</v>
      </c>
      <c r="T11" s="28" t="s">
        <v>824</v>
      </c>
      <c r="U11" s="101">
        <v>0</v>
      </c>
    </row>
    <row r="12" spans="1:21" ht="21.75" x14ac:dyDescent="0.25">
      <c r="A12" s="201">
        <v>12</v>
      </c>
      <c r="B12" s="202" t="s">
        <v>821</v>
      </c>
      <c r="C12" s="98" t="s">
        <v>50</v>
      </c>
      <c r="D12" s="203">
        <v>45890</v>
      </c>
      <c r="E12" s="98" t="s">
        <v>668</v>
      </c>
      <c r="F12" s="98" t="s">
        <v>667</v>
      </c>
      <c r="G12" s="98" t="s">
        <v>252</v>
      </c>
      <c r="H12" s="98" t="s">
        <v>678</v>
      </c>
      <c r="I12" s="204">
        <f>_xlfn.XLOOKUP(C12,[1]Hoja1!$A:$A,[1]Hoja1!$C:$C,0)</f>
        <v>20880710</v>
      </c>
      <c r="J12" s="204">
        <v>55000</v>
      </c>
      <c r="K12" s="204">
        <v>55000</v>
      </c>
      <c r="L12" s="204">
        <v>0</v>
      </c>
      <c r="M12" s="204">
        <v>55000</v>
      </c>
      <c r="N12" s="204">
        <f t="shared" si="0"/>
        <v>0</v>
      </c>
      <c r="O12" s="118" t="s">
        <v>3006</v>
      </c>
      <c r="P12" s="98" t="s">
        <v>837</v>
      </c>
      <c r="Q12" s="119" t="s">
        <v>845</v>
      </c>
      <c r="R12" s="28" t="s">
        <v>824</v>
      </c>
      <c r="S12" s="28" t="s">
        <v>824</v>
      </c>
      <c r="T12" s="28" t="s">
        <v>824</v>
      </c>
      <c r="U12" s="101">
        <v>0</v>
      </c>
    </row>
    <row r="13" spans="1:21" ht="21.75" x14ac:dyDescent="0.25">
      <c r="A13" s="201">
        <v>13</v>
      </c>
      <c r="B13" s="202" t="s">
        <v>821</v>
      </c>
      <c r="C13" s="98" t="s">
        <v>50</v>
      </c>
      <c r="D13" s="203">
        <v>45890</v>
      </c>
      <c r="E13" s="98" t="s">
        <v>668</v>
      </c>
      <c r="F13" s="98" t="s">
        <v>667</v>
      </c>
      <c r="G13" s="98" t="s">
        <v>252</v>
      </c>
      <c r="H13" s="98" t="s">
        <v>678</v>
      </c>
      <c r="I13" s="204">
        <f>_xlfn.XLOOKUP(C13,[1]Hoja1!$A:$A,[1]Hoja1!$C:$C,0)</f>
        <v>20880710</v>
      </c>
      <c r="J13" s="204">
        <v>55000</v>
      </c>
      <c r="K13" s="204">
        <v>55000</v>
      </c>
      <c r="L13" s="204">
        <v>0</v>
      </c>
      <c r="M13" s="204">
        <v>55000</v>
      </c>
      <c r="N13" s="204">
        <f t="shared" si="0"/>
        <v>0</v>
      </c>
      <c r="O13" s="118" t="s">
        <v>3006</v>
      </c>
      <c r="P13" s="98" t="s">
        <v>837</v>
      </c>
      <c r="Q13" s="119" t="s">
        <v>845</v>
      </c>
      <c r="R13" s="28" t="s">
        <v>824</v>
      </c>
      <c r="S13" s="28" t="s">
        <v>824</v>
      </c>
      <c r="T13" s="28" t="s">
        <v>824</v>
      </c>
      <c r="U13" s="101">
        <v>0</v>
      </c>
    </row>
    <row r="14" spans="1:21" ht="21.75" x14ac:dyDescent="0.25">
      <c r="A14" s="201">
        <v>14</v>
      </c>
      <c r="B14" s="202" t="s">
        <v>821</v>
      </c>
      <c r="C14" s="98" t="s">
        <v>50</v>
      </c>
      <c r="D14" s="203">
        <v>45890</v>
      </c>
      <c r="E14" s="98" t="s">
        <v>668</v>
      </c>
      <c r="F14" s="98" t="s">
        <v>667</v>
      </c>
      <c r="G14" s="98" t="s">
        <v>252</v>
      </c>
      <c r="H14" s="98" t="s">
        <v>678</v>
      </c>
      <c r="I14" s="204">
        <f>_xlfn.XLOOKUP(C14,[1]Hoja1!$A:$A,[1]Hoja1!$C:$C,0)</f>
        <v>20880710</v>
      </c>
      <c r="J14" s="204">
        <v>55000</v>
      </c>
      <c r="K14" s="204">
        <v>55000</v>
      </c>
      <c r="L14" s="204">
        <v>0</v>
      </c>
      <c r="M14" s="204">
        <v>55000</v>
      </c>
      <c r="N14" s="204">
        <f t="shared" si="0"/>
        <v>0</v>
      </c>
      <c r="O14" s="118" t="s">
        <v>3006</v>
      </c>
      <c r="P14" s="98" t="s">
        <v>837</v>
      </c>
      <c r="Q14" s="119" t="s">
        <v>845</v>
      </c>
      <c r="R14" s="28" t="s">
        <v>824</v>
      </c>
      <c r="S14" s="28" t="s">
        <v>824</v>
      </c>
      <c r="T14" s="28" t="s">
        <v>824</v>
      </c>
      <c r="U14" s="101">
        <v>0</v>
      </c>
    </row>
    <row r="15" spans="1:21" ht="21.75" x14ac:dyDescent="0.25">
      <c r="A15" s="201">
        <v>15</v>
      </c>
      <c r="B15" s="202" t="s">
        <v>821</v>
      </c>
      <c r="C15" s="98" t="s">
        <v>50</v>
      </c>
      <c r="D15" s="203">
        <v>45890</v>
      </c>
      <c r="E15" s="98" t="s">
        <v>668</v>
      </c>
      <c r="F15" s="98" t="s">
        <v>667</v>
      </c>
      <c r="G15" s="98" t="s">
        <v>252</v>
      </c>
      <c r="H15" s="98" t="s">
        <v>678</v>
      </c>
      <c r="I15" s="204">
        <f>_xlfn.XLOOKUP(C15,[1]Hoja1!$A:$A,[1]Hoja1!$C:$C,0)</f>
        <v>20880710</v>
      </c>
      <c r="J15" s="204">
        <v>55000</v>
      </c>
      <c r="K15" s="204">
        <v>55000</v>
      </c>
      <c r="L15" s="204">
        <v>0</v>
      </c>
      <c r="M15" s="204">
        <v>55000</v>
      </c>
      <c r="N15" s="204">
        <f t="shared" si="0"/>
        <v>0</v>
      </c>
      <c r="O15" s="118" t="s">
        <v>3006</v>
      </c>
      <c r="P15" s="98" t="s">
        <v>837</v>
      </c>
      <c r="Q15" s="119" t="s">
        <v>845</v>
      </c>
      <c r="R15" s="28" t="s">
        <v>824</v>
      </c>
      <c r="S15" s="28" t="s">
        <v>824</v>
      </c>
      <c r="T15" s="28" t="s">
        <v>824</v>
      </c>
      <c r="U15" s="101">
        <v>0</v>
      </c>
    </row>
    <row r="16" spans="1:21" ht="21.75" x14ac:dyDescent="0.25">
      <c r="A16" s="201">
        <v>16</v>
      </c>
      <c r="B16" s="202" t="s">
        <v>821</v>
      </c>
      <c r="C16" s="98" t="s">
        <v>50</v>
      </c>
      <c r="D16" s="203">
        <v>45890</v>
      </c>
      <c r="E16" s="98" t="s">
        <v>668</v>
      </c>
      <c r="F16" s="98" t="s">
        <v>667</v>
      </c>
      <c r="G16" s="98" t="s">
        <v>252</v>
      </c>
      <c r="H16" s="98" t="s">
        <v>678</v>
      </c>
      <c r="I16" s="204">
        <f>_xlfn.XLOOKUP(C16,[1]Hoja1!$A:$A,[1]Hoja1!$C:$C,0)</f>
        <v>20880710</v>
      </c>
      <c r="J16" s="204">
        <v>55000</v>
      </c>
      <c r="K16" s="204">
        <v>55000</v>
      </c>
      <c r="L16" s="204">
        <v>0</v>
      </c>
      <c r="M16" s="204">
        <v>55000</v>
      </c>
      <c r="N16" s="204">
        <f t="shared" si="0"/>
        <v>0</v>
      </c>
      <c r="O16" s="118" t="s">
        <v>3006</v>
      </c>
      <c r="P16" s="98" t="s">
        <v>837</v>
      </c>
      <c r="Q16" s="119" t="s">
        <v>845</v>
      </c>
      <c r="R16" s="28" t="s">
        <v>824</v>
      </c>
      <c r="S16" s="28" t="s">
        <v>824</v>
      </c>
      <c r="T16" s="28" t="s">
        <v>824</v>
      </c>
      <c r="U16" s="101">
        <v>0</v>
      </c>
    </row>
    <row r="17" spans="1:21" ht="21.75" x14ac:dyDescent="0.25">
      <c r="A17" s="201">
        <v>17</v>
      </c>
      <c r="B17" s="202" t="s">
        <v>821</v>
      </c>
      <c r="C17" s="98" t="s">
        <v>50</v>
      </c>
      <c r="D17" s="203">
        <v>45890</v>
      </c>
      <c r="E17" s="98" t="s">
        <v>668</v>
      </c>
      <c r="F17" s="98" t="s">
        <v>667</v>
      </c>
      <c r="G17" s="98" t="s">
        <v>252</v>
      </c>
      <c r="H17" s="98" t="s">
        <v>678</v>
      </c>
      <c r="I17" s="204">
        <f>_xlfn.XLOOKUP(C17,[1]Hoja1!$A:$A,[1]Hoja1!$C:$C,0)</f>
        <v>20880710</v>
      </c>
      <c r="J17" s="204">
        <v>55000</v>
      </c>
      <c r="K17" s="204">
        <v>55000</v>
      </c>
      <c r="L17" s="204">
        <v>55000</v>
      </c>
      <c r="M17" s="204">
        <v>0</v>
      </c>
      <c r="N17" s="204">
        <f t="shared" si="0"/>
        <v>0</v>
      </c>
      <c r="O17" s="118" t="s">
        <v>3006</v>
      </c>
      <c r="P17" s="98" t="s">
        <v>837</v>
      </c>
      <c r="Q17" s="119" t="s">
        <v>846</v>
      </c>
      <c r="R17" s="28" t="s">
        <v>824</v>
      </c>
      <c r="S17" s="28" t="s">
        <v>824</v>
      </c>
      <c r="T17" s="28" t="s">
        <v>824</v>
      </c>
      <c r="U17" s="101">
        <v>0</v>
      </c>
    </row>
    <row r="18" spans="1:21" ht="21.75" x14ac:dyDescent="0.25">
      <c r="A18" s="201">
        <v>18</v>
      </c>
      <c r="B18" s="202" t="s">
        <v>821</v>
      </c>
      <c r="C18" s="98" t="s">
        <v>50</v>
      </c>
      <c r="D18" s="203">
        <v>45890</v>
      </c>
      <c r="E18" s="98" t="s">
        <v>668</v>
      </c>
      <c r="F18" s="98" t="s">
        <v>667</v>
      </c>
      <c r="G18" s="98" t="s">
        <v>252</v>
      </c>
      <c r="H18" s="98" t="s">
        <v>678</v>
      </c>
      <c r="I18" s="204">
        <f>_xlfn.XLOOKUP(C18,[1]Hoja1!$A:$A,[1]Hoja1!$C:$C,0)</f>
        <v>20880710</v>
      </c>
      <c r="J18" s="204">
        <v>55000</v>
      </c>
      <c r="K18" s="204">
        <v>55000</v>
      </c>
      <c r="L18" s="204">
        <v>55000</v>
      </c>
      <c r="M18" s="204">
        <v>0</v>
      </c>
      <c r="N18" s="204">
        <f t="shared" si="0"/>
        <v>0</v>
      </c>
      <c r="O18" s="118" t="s">
        <v>3006</v>
      </c>
      <c r="P18" s="98" t="s">
        <v>837</v>
      </c>
      <c r="Q18" s="119" t="s">
        <v>846</v>
      </c>
      <c r="R18" s="28" t="s">
        <v>824</v>
      </c>
      <c r="S18" s="28" t="s">
        <v>824</v>
      </c>
      <c r="T18" s="28" t="s">
        <v>824</v>
      </c>
      <c r="U18" s="101">
        <v>0</v>
      </c>
    </row>
    <row r="19" spans="1:21" ht="21.75" x14ac:dyDescent="0.25">
      <c r="A19" s="201">
        <v>19</v>
      </c>
      <c r="B19" s="202" t="s">
        <v>821</v>
      </c>
      <c r="C19" s="98" t="s">
        <v>50</v>
      </c>
      <c r="D19" s="203">
        <v>45890</v>
      </c>
      <c r="E19" s="98" t="s">
        <v>668</v>
      </c>
      <c r="F19" s="98" t="s">
        <v>667</v>
      </c>
      <c r="G19" s="98" t="s">
        <v>252</v>
      </c>
      <c r="H19" s="98" t="s">
        <v>678</v>
      </c>
      <c r="I19" s="204">
        <f>_xlfn.XLOOKUP(C19,[1]Hoja1!$A:$A,[1]Hoja1!$C:$C,0)</f>
        <v>20880710</v>
      </c>
      <c r="J19" s="204">
        <v>55000</v>
      </c>
      <c r="K19" s="204">
        <v>55000</v>
      </c>
      <c r="L19" s="204">
        <v>55000</v>
      </c>
      <c r="M19" s="204">
        <v>0</v>
      </c>
      <c r="N19" s="204">
        <f t="shared" si="0"/>
        <v>0</v>
      </c>
      <c r="O19" s="118" t="s">
        <v>3006</v>
      </c>
      <c r="P19" s="98" t="s">
        <v>837</v>
      </c>
      <c r="Q19" s="119" t="s">
        <v>846</v>
      </c>
      <c r="R19" s="28" t="s">
        <v>824</v>
      </c>
      <c r="S19" s="28" t="s">
        <v>824</v>
      </c>
      <c r="T19" s="28" t="s">
        <v>824</v>
      </c>
      <c r="U19" s="101">
        <v>0</v>
      </c>
    </row>
    <row r="20" spans="1:21" ht="21.75" x14ac:dyDescent="0.25">
      <c r="A20" s="201">
        <v>20</v>
      </c>
      <c r="B20" s="202" t="s">
        <v>821</v>
      </c>
      <c r="C20" s="98" t="s">
        <v>50</v>
      </c>
      <c r="D20" s="203">
        <v>45890</v>
      </c>
      <c r="E20" s="98" t="s">
        <v>668</v>
      </c>
      <c r="F20" s="98" t="s">
        <v>664</v>
      </c>
      <c r="G20" s="98" t="s">
        <v>212</v>
      </c>
      <c r="H20" s="98" t="s">
        <v>679</v>
      </c>
      <c r="I20" s="204">
        <f>_xlfn.XLOOKUP(C20,[1]Hoja1!$A:$A,[1]Hoja1!$C:$C,0)</f>
        <v>20880710</v>
      </c>
      <c r="J20" s="204">
        <v>131148</v>
      </c>
      <c r="K20" s="204">
        <v>131148</v>
      </c>
      <c r="L20" s="204">
        <v>0</v>
      </c>
      <c r="M20" s="204">
        <v>131148</v>
      </c>
      <c r="N20" s="204">
        <f t="shared" si="0"/>
        <v>0</v>
      </c>
      <c r="O20" s="118" t="s">
        <v>3006</v>
      </c>
      <c r="P20" s="98" t="s">
        <v>837</v>
      </c>
      <c r="Q20" s="119" t="s">
        <v>840</v>
      </c>
      <c r="R20" s="28" t="s">
        <v>824</v>
      </c>
      <c r="S20" s="28" t="s">
        <v>824</v>
      </c>
      <c r="T20" s="28" t="s">
        <v>824</v>
      </c>
      <c r="U20" s="101">
        <v>0</v>
      </c>
    </row>
    <row r="21" spans="1:21" ht="21.75" x14ac:dyDescent="0.25">
      <c r="A21" s="201">
        <v>21</v>
      </c>
      <c r="B21" s="202" t="s">
        <v>821</v>
      </c>
      <c r="C21" s="98" t="s">
        <v>50</v>
      </c>
      <c r="D21" s="203">
        <v>45890</v>
      </c>
      <c r="E21" s="98" t="s">
        <v>668</v>
      </c>
      <c r="F21" s="98" t="s">
        <v>664</v>
      </c>
      <c r="G21" s="98" t="s">
        <v>212</v>
      </c>
      <c r="H21" s="98" t="s">
        <v>679</v>
      </c>
      <c r="I21" s="204">
        <f>_xlfn.XLOOKUP(C21,[1]Hoja1!$A:$A,[1]Hoja1!$C:$C,0)</f>
        <v>20880710</v>
      </c>
      <c r="J21" s="204">
        <v>131148</v>
      </c>
      <c r="K21" s="204">
        <v>131148</v>
      </c>
      <c r="L21" s="204">
        <v>0</v>
      </c>
      <c r="M21" s="204">
        <v>131148</v>
      </c>
      <c r="N21" s="204">
        <f t="shared" si="0"/>
        <v>0</v>
      </c>
      <c r="O21" s="118" t="s">
        <v>3006</v>
      </c>
      <c r="P21" s="98" t="s">
        <v>837</v>
      </c>
      <c r="Q21" s="119" t="s">
        <v>840</v>
      </c>
      <c r="R21" s="28" t="s">
        <v>824</v>
      </c>
      <c r="S21" s="28" t="s">
        <v>824</v>
      </c>
      <c r="T21" s="28" t="s">
        <v>824</v>
      </c>
      <c r="U21" s="101">
        <v>0</v>
      </c>
    </row>
    <row r="22" spans="1:21" ht="21.75" x14ac:dyDescent="0.25">
      <c r="A22" s="201">
        <v>22</v>
      </c>
      <c r="B22" s="202" t="s">
        <v>821</v>
      </c>
      <c r="C22" s="98" t="s">
        <v>51</v>
      </c>
      <c r="D22" s="203">
        <v>45890</v>
      </c>
      <c r="E22" s="98" t="s">
        <v>669</v>
      </c>
      <c r="F22" s="98" t="s">
        <v>666</v>
      </c>
      <c r="G22" s="98" t="s">
        <v>198</v>
      </c>
      <c r="H22" s="98" t="s">
        <v>680</v>
      </c>
      <c r="I22" s="204">
        <f>_xlfn.XLOOKUP(C22,[1]Hoja1!$A:$A,[1]Hoja1!$C:$C,0)</f>
        <v>11020458</v>
      </c>
      <c r="J22" s="204">
        <v>76988</v>
      </c>
      <c r="K22" s="204">
        <v>76988</v>
      </c>
      <c r="L22" s="204">
        <v>0</v>
      </c>
      <c r="M22" s="204">
        <v>76988</v>
      </c>
      <c r="N22" s="204">
        <f t="shared" si="0"/>
        <v>0</v>
      </c>
      <c r="O22" s="118" t="s">
        <v>3006</v>
      </c>
      <c r="P22" s="98" t="s">
        <v>839</v>
      </c>
      <c r="Q22" s="119" t="s">
        <v>847</v>
      </c>
      <c r="R22" s="28" t="s">
        <v>824</v>
      </c>
      <c r="S22" s="28" t="s">
        <v>824</v>
      </c>
      <c r="T22" s="28" t="s">
        <v>824</v>
      </c>
      <c r="U22" s="101">
        <v>0</v>
      </c>
    </row>
    <row r="23" spans="1:21" ht="21.75" x14ac:dyDescent="0.25">
      <c r="A23" s="201">
        <v>23</v>
      </c>
      <c r="B23" s="202" t="s">
        <v>821</v>
      </c>
      <c r="C23" s="98" t="s">
        <v>51</v>
      </c>
      <c r="D23" s="203">
        <v>45890</v>
      </c>
      <c r="E23" s="98" t="s">
        <v>668</v>
      </c>
      <c r="F23" s="98" t="s">
        <v>664</v>
      </c>
      <c r="G23" s="98" t="s">
        <v>212</v>
      </c>
      <c r="H23" s="98" t="s">
        <v>679</v>
      </c>
      <c r="I23" s="204">
        <f>_xlfn.XLOOKUP(C23,[1]Hoja1!$A:$A,[1]Hoja1!$C:$C,0)</f>
        <v>11020458</v>
      </c>
      <c r="J23" s="204">
        <v>131148</v>
      </c>
      <c r="K23" s="204">
        <v>131148</v>
      </c>
      <c r="L23" s="204">
        <v>0</v>
      </c>
      <c r="M23" s="204">
        <v>131148</v>
      </c>
      <c r="N23" s="204">
        <f t="shared" si="0"/>
        <v>0</v>
      </c>
      <c r="O23" s="118" t="s">
        <v>3006</v>
      </c>
      <c r="P23" s="98" t="s">
        <v>837</v>
      </c>
      <c r="Q23" s="119" t="s">
        <v>840</v>
      </c>
      <c r="R23" s="28" t="s">
        <v>824</v>
      </c>
      <c r="S23" s="28" t="s">
        <v>824</v>
      </c>
      <c r="T23" s="28" t="s">
        <v>824</v>
      </c>
      <c r="U23" s="101">
        <v>0</v>
      </c>
    </row>
    <row r="24" spans="1:21" ht="21.75" x14ac:dyDescent="0.25">
      <c r="A24" s="201">
        <v>24</v>
      </c>
      <c r="B24" s="202" t="s">
        <v>821</v>
      </c>
      <c r="C24" s="98" t="s">
        <v>51</v>
      </c>
      <c r="D24" s="203">
        <v>45890</v>
      </c>
      <c r="E24" s="98" t="s">
        <v>668</v>
      </c>
      <c r="F24" s="98" t="s">
        <v>664</v>
      </c>
      <c r="G24" s="98" t="s">
        <v>212</v>
      </c>
      <c r="H24" s="98" t="s">
        <v>679</v>
      </c>
      <c r="I24" s="204">
        <f>_xlfn.XLOOKUP(C24,[1]Hoja1!$A:$A,[1]Hoja1!$C:$C,0)</f>
        <v>11020458</v>
      </c>
      <c r="J24" s="204">
        <v>131148</v>
      </c>
      <c r="K24" s="204">
        <v>131148</v>
      </c>
      <c r="L24" s="204">
        <v>0</v>
      </c>
      <c r="M24" s="204">
        <v>131148</v>
      </c>
      <c r="N24" s="204">
        <f t="shared" si="0"/>
        <v>0</v>
      </c>
      <c r="O24" s="118" t="s">
        <v>3006</v>
      </c>
      <c r="P24" s="98" t="s">
        <v>837</v>
      </c>
      <c r="Q24" s="119" t="s">
        <v>840</v>
      </c>
      <c r="R24" s="28" t="s">
        <v>824</v>
      </c>
      <c r="S24" s="28" t="s">
        <v>824</v>
      </c>
      <c r="T24" s="28" t="s">
        <v>824</v>
      </c>
      <c r="U24" s="101">
        <v>0</v>
      </c>
    </row>
    <row r="25" spans="1:21" ht="21.75" x14ac:dyDescent="0.25">
      <c r="A25" s="201">
        <v>25</v>
      </c>
      <c r="B25" s="202" t="s">
        <v>821</v>
      </c>
      <c r="C25" s="98" t="s">
        <v>52</v>
      </c>
      <c r="D25" s="203">
        <v>45892</v>
      </c>
      <c r="E25" s="98" t="s">
        <v>668</v>
      </c>
      <c r="F25" s="98" t="s">
        <v>664</v>
      </c>
      <c r="G25" s="98" t="s">
        <v>208</v>
      </c>
      <c r="H25" s="98" t="s">
        <v>681</v>
      </c>
      <c r="I25" s="204">
        <f>_xlfn.XLOOKUP(C25,[1]Hoja1!$A:$A,[1]Hoja1!$C:$C,0)</f>
        <v>20079205</v>
      </c>
      <c r="J25" s="204">
        <v>611651</v>
      </c>
      <c r="K25" s="204">
        <v>611651</v>
      </c>
      <c r="L25" s="204">
        <v>398580</v>
      </c>
      <c r="M25" s="204">
        <v>213071</v>
      </c>
      <c r="N25" s="204">
        <f t="shared" si="0"/>
        <v>0</v>
      </c>
      <c r="O25" s="118" t="s">
        <v>3006</v>
      </c>
      <c r="P25" s="98" t="s">
        <v>837</v>
      </c>
      <c r="Q25" s="119" t="s">
        <v>904</v>
      </c>
      <c r="R25" s="28" t="s">
        <v>824</v>
      </c>
      <c r="S25" s="28" t="s">
        <v>824</v>
      </c>
      <c r="T25" s="28" t="s">
        <v>824</v>
      </c>
      <c r="U25" s="101">
        <v>0</v>
      </c>
    </row>
    <row r="26" spans="1:21" ht="21.75" x14ac:dyDescent="0.25">
      <c r="A26" s="201">
        <v>26</v>
      </c>
      <c r="B26" s="202" t="s">
        <v>821</v>
      </c>
      <c r="C26" s="98" t="s">
        <v>53</v>
      </c>
      <c r="D26" s="203">
        <v>45887</v>
      </c>
      <c r="E26" s="98" t="s">
        <v>668</v>
      </c>
      <c r="F26" s="98" t="s">
        <v>665</v>
      </c>
      <c r="G26" s="98" t="s">
        <v>190</v>
      </c>
      <c r="H26" s="98" t="s">
        <v>905</v>
      </c>
      <c r="I26" s="204">
        <f>_xlfn.XLOOKUP(C26,[1]Hoja1!$A:$A,[1]Hoja1!$C:$C,0)</f>
        <v>11817412</v>
      </c>
      <c r="J26" s="204">
        <v>1077827</v>
      </c>
      <c r="K26" s="204">
        <v>1077827</v>
      </c>
      <c r="L26" s="204">
        <v>1077827</v>
      </c>
      <c r="M26" s="204">
        <v>0</v>
      </c>
      <c r="N26" s="204">
        <f t="shared" si="0"/>
        <v>0</v>
      </c>
      <c r="O26" s="118" t="s">
        <v>3006</v>
      </c>
      <c r="P26" s="98" t="s">
        <v>837</v>
      </c>
      <c r="Q26" s="119" t="s">
        <v>846</v>
      </c>
      <c r="R26" s="28" t="s">
        <v>824</v>
      </c>
      <c r="S26" s="28" t="s">
        <v>824</v>
      </c>
      <c r="T26" s="28" t="s">
        <v>824</v>
      </c>
      <c r="U26" s="101">
        <v>0</v>
      </c>
    </row>
    <row r="27" spans="1:21" ht="21.75" x14ac:dyDescent="0.25">
      <c r="A27" s="201">
        <v>27</v>
      </c>
      <c r="B27" s="202" t="s">
        <v>821</v>
      </c>
      <c r="C27" s="98" t="s">
        <v>54</v>
      </c>
      <c r="D27" s="203">
        <v>45853</v>
      </c>
      <c r="E27" s="98" t="s">
        <v>825</v>
      </c>
      <c r="F27" s="98" t="s">
        <v>666</v>
      </c>
      <c r="G27" s="98" t="s">
        <v>194</v>
      </c>
      <c r="H27" s="98" t="s">
        <v>827</v>
      </c>
      <c r="I27" s="204">
        <f>_xlfn.XLOOKUP(C27,[1]Hoja1!$A:$A,[1]Hoja1!$C:$C,0)</f>
        <v>49186014</v>
      </c>
      <c r="J27" s="204">
        <v>4384380</v>
      </c>
      <c r="K27" s="204">
        <v>4384380</v>
      </c>
      <c r="L27" s="204">
        <v>0</v>
      </c>
      <c r="M27" s="204">
        <v>4384380</v>
      </c>
      <c r="N27" s="204">
        <f t="shared" si="0"/>
        <v>0</v>
      </c>
      <c r="O27" s="118" t="s">
        <v>3006</v>
      </c>
      <c r="P27" s="98" t="s">
        <v>838</v>
      </c>
      <c r="Q27" s="119" t="s">
        <v>848</v>
      </c>
      <c r="R27" s="28" t="s">
        <v>824</v>
      </c>
      <c r="S27" s="28" t="s">
        <v>824</v>
      </c>
      <c r="T27" s="28" t="s">
        <v>824</v>
      </c>
      <c r="U27" s="101">
        <v>0</v>
      </c>
    </row>
    <row r="28" spans="1:21" ht="21.75" x14ac:dyDescent="0.25">
      <c r="A28" s="201">
        <v>28</v>
      </c>
      <c r="B28" s="202" t="s">
        <v>821</v>
      </c>
      <c r="C28" s="98" t="s">
        <v>55</v>
      </c>
      <c r="D28" s="203">
        <v>45890</v>
      </c>
      <c r="E28" s="98" t="s">
        <v>668</v>
      </c>
      <c r="F28" s="98" t="s">
        <v>667</v>
      </c>
      <c r="G28" s="98" t="s">
        <v>336</v>
      </c>
      <c r="H28" s="98" t="s">
        <v>682</v>
      </c>
      <c r="I28" s="204">
        <f>_xlfn.XLOOKUP(C28,[1]Hoja1!$A:$A,[1]Hoja1!$C:$C,0)</f>
        <v>11426409</v>
      </c>
      <c r="J28" s="204">
        <v>1776240</v>
      </c>
      <c r="K28" s="204">
        <v>1776240</v>
      </c>
      <c r="L28" s="204">
        <v>1776240</v>
      </c>
      <c r="M28" s="204">
        <v>0</v>
      </c>
      <c r="N28" s="204">
        <f t="shared" si="0"/>
        <v>0</v>
      </c>
      <c r="O28" s="118" t="s">
        <v>3006</v>
      </c>
      <c r="P28" s="98" t="s">
        <v>837</v>
      </c>
      <c r="Q28" s="119" t="s">
        <v>849</v>
      </c>
      <c r="R28" s="28" t="s">
        <v>824</v>
      </c>
      <c r="S28" s="28" t="s">
        <v>824</v>
      </c>
      <c r="T28" s="28" t="s">
        <v>824</v>
      </c>
      <c r="U28" s="101">
        <v>0</v>
      </c>
    </row>
    <row r="29" spans="1:21" ht="21.75" x14ac:dyDescent="0.25">
      <c r="A29" s="201">
        <v>29</v>
      </c>
      <c r="B29" s="202" t="s">
        <v>821</v>
      </c>
      <c r="C29" s="98" t="s">
        <v>56</v>
      </c>
      <c r="D29" s="203">
        <v>45883</v>
      </c>
      <c r="E29" s="98" t="s">
        <v>668</v>
      </c>
      <c r="F29" s="98" t="s">
        <v>667</v>
      </c>
      <c r="G29" s="98" t="s">
        <v>237</v>
      </c>
      <c r="H29" s="98" t="s">
        <v>683</v>
      </c>
      <c r="I29" s="204">
        <f>_xlfn.XLOOKUP(C29,[1]Hoja1!$A:$A,[1]Hoja1!$C:$C,0)</f>
        <v>25481600</v>
      </c>
      <c r="J29" s="204">
        <v>518689</v>
      </c>
      <c r="K29" s="204">
        <v>518689</v>
      </c>
      <c r="L29" s="204">
        <v>0</v>
      </c>
      <c r="M29" s="204">
        <v>518689</v>
      </c>
      <c r="N29" s="204">
        <f t="shared" si="0"/>
        <v>0</v>
      </c>
      <c r="O29" s="118" t="s">
        <v>3006</v>
      </c>
      <c r="P29" s="98" t="s">
        <v>837</v>
      </c>
      <c r="Q29" s="119" t="s">
        <v>850</v>
      </c>
      <c r="R29" s="28" t="s">
        <v>824</v>
      </c>
      <c r="S29" s="28" t="s">
        <v>824</v>
      </c>
      <c r="T29" s="28" t="s">
        <v>824</v>
      </c>
      <c r="U29" s="101">
        <v>0</v>
      </c>
    </row>
    <row r="30" spans="1:21" ht="21.75" x14ac:dyDescent="0.25">
      <c r="A30" s="201">
        <v>30</v>
      </c>
      <c r="B30" s="202" t="s">
        <v>821</v>
      </c>
      <c r="C30" s="98" t="s">
        <v>56</v>
      </c>
      <c r="D30" s="203">
        <v>45883</v>
      </c>
      <c r="E30" s="98" t="s">
        <v>668</v>
      </c>
      <c r="F30" s="98" t="s">
        <v>667</v>
      </c>
      <c r="G30" s="98" t="s">
        <v>237</v>
      </c>
      <c r="H30" s="98" t="s">
        <v>683</v>
      </c>
      <c r="I30" s="204">
        <f>_xlfn.XLOOKUP(C30,[1]Hoja1!$A:$A,[1]Hoja1!$C:$C,0)</f>
        <v>25481600</v>
      </c>
      <c r="J30" s="204">
        <v>518689</v>
      </c>
      <c r="K30" s="204">
        <v>518689</v>
      </c>
      <c r="L30" s="204">
        <v>0</v>
      </c>
      <c r="M30" s="204">
        <v>518689</v>
      </c>
      <c r="N30" s="204">
        <f t="shared" si="0"/>
        <v>0</v>
      </c>
      <c r="O30" s="118" t="s">
        <v>3006</v>
      </c>
      <c r="P30" s="98" t="s">
        <v>837</v>
      </c>
      <c r="Q30" s="119" t="s">
        <v>850</v>
      </c>
      <c r="R30" s="28" t="s">
        <v>824</v>
      </c>
      <c r="S30" s="28" t="s">
        <v>824</v>
      </c>
      <c r="T30" s="28" t="s">
        <v>824</v>
      </c>
      <c r="U30" s="101">
        <v>0</v>
      </c>
    </row>
    <row r="31" spans="1:21" ht="21.75" x14ac:dyDescent="0.25">
      <c r="A31" s="201">
        <v>31</v>
      </c>
      <c r="B31" s="202" t="s">
        <v>821</v>
      </c>
      <c r="C31" s="98" t="s">
        <v>56</v>
      </c>
      <c r="D31" s="203">
        <v>45883</v>
      </c>
      <c r="E31" s="98" t="s">
        <v>669</v>
      </c>
      <c r="F31" s="98" t="s">
        <v>666</v>
      </c>
      <c r="G31" s="98" t="s">
        <v>194</v>
      </c>
      <c r="H31" s="98" t="s">
        <v>684</v>
      </c>
      <c r="I31" s="204">
        <f>_xlfn.XLOOKUP(C31,[1]Hoja1!$A:$A,[1]Hoja1!$C:$C,0)</f>
        <v>25481600</v>
      </c>
      <c r="J31" s="204">
        <v>1358494</v>
      </c>
      <c r="K31" s="204">
        <v>1358494</v>
      </c>
      <c r="L31" s="204">
        <v>0</v>
      </c>
      <c r="M31" s="204">
        <v>1358494</v>
      </c>
      <c r="N31" s="204">
        <f t="shared" si="0"/>
        <v>0</v>
      </c>
      <c r="O31" s="118" t="s">
        <v>3006</v>
      </c>
      <c r="P31" s="98" t="s">
        <v>839</v>
      </c>
      <c r="Q31" s="119" t="s">
        <v>851</v>
      </c>
      <c r="R31" s="28" t="s">
        <v>824</v>
      </c>
      <c r="S31" s="28" t="s">
        <v>824</v>
      </c>
      <c r="T31" s="28" t="s">
        <v>824</v>
      </c>
      <c r="U31" s="101">
        <v>0</v>
      </c>
    </row>
    <row r="32" spans="1:21" ht="21.75" x14ac:dyDescent="0.25">
      <c r="A32" s="201">
        <v>32</v>
      </c>
      <c r="B32" s="202" t="s">
        <v>821</v>
      </c>
      <c r="C32" s="98" t="s">
        <v>56</v>
      </c>
      <c r="D32" s="203">
        <v>45883</v>
      </c>
      <c r="E32" s="98" t="s">
        <v>669</v>
      </c>
      <c r="F32" s="98" t="s">
        <v>666</v>
      </c>
      <c r="G32" s="98" t="s">
        <v>241</v>
      </c>
      <c r="H32" s="98" t="s">
        <v>685</v>
      </c>
      <c r="I32" s="204">
        <f>_xlfn.XLOOKUP(C32,[1]Hoja1!$A:$A,[1]Hoja1!$C:$C,0)</f>
        <v>25481600</v>
      </c>
      <c r="J32" s="204">
        <v>924255</v>
      </c>
      <c r="K32" s="204">
        <v>924255</v>
      </c>
      <c r="L32" s="204">
        <v>924255</v>
      </c>
      <c r="M32" s="204">
        <v>0</v>
      </c>
      <c r="N32" s="204">
        <f t="shared" si="0"/>
        <v>0</v>
      </c>
      <c r="O32" s="118" t="s">
        <v>3006</v>
      </c>
      <c r="P32" s="98" t="s">
        <v>839</v>
      </c>
      <c r="Q32" s="119" t="s">
        <v>851</v>
      </c>
      <c r="R32" s="28" t="s">
        <v>824</v>
      </c>
      <c r="S32" s="28" t="s">
        <v>824</v>
      </c>
      <c r="T32" s="28" t="s">
        <v>824</v>
      </c>
      <c r="U32" s="101">
        <v>0</v>
      </c>
    </row>
    <row r="33" spans="1:21" ht="21.75" x14ac:dyDescent="0.25">
      <c r="A33" s="201">
        <v>33</v>
      </c>
      <c r="B33" s="202" t="s">
        <v>821</v>
      </c>
      <c r="C33" s="98" t="s">
        <v>57</v>
      </c>
      <c r="D33" s="203">
        <v>45862</v>
      </c>
      <c r="E33" s="98" t="s">
        <v>668</v>
      </c>
      <c r="F33" s="98" t="s">
        <v>665</v>
      </c>
      <c r="G33" s="98" t="s">
        <v>234</v>
      </c>
      <c r="H33" s="98" t="s">
        <v>686</v>
      </c>
      <c r="I33" s="204">
        <f>_xlfn.XLOOKUP(C33,[1]Hoja1!$A:$A,[1]Hoja1!$C:$C,0)</f>
        <v>16632959</v>
      </c>
      <c r="J33" s="204">
        <v>195411</v>
      </c>
      <c r="K33" s="204">
        <v>195411</v>
      </c>
      <c r="L33" s="204">
        <v>195411</v>
      </c>
      <c r="M33" s="204">
        <v>0</v>
      </c>
      <c r="N33" s="204">
        <f t="shared" si="0"/>
        <v>0</v>
      </c>
      <c r="O33" s="118" t="s">
        <v>3006</v>
      </c>
      <c r="P33" s="98" t="s">
        <v>837</v>
      </c>
      <c r="Q33" s="119" t="s">
        <v>846</v>
      </c>
      <c r="R33" s="28" t="s">
        <v>824</v>
      </c>
      <c r="S33" s="28" t="s">
        <v>824</v>
      </c>
      <c r="T33" s="28" t="s">
        <v>824</v>
      </c>
      <c r="U33" s="101">
        <v>0</v>
      </c>
    </row>
    <row r="34" spans="1:21" ht="21.75" x14ac:dyDescent="0.25">
      <c r="A34" s="201">
        <v>34</v>
      </c>
      <c r="B34" s="202" t="s">
        <v>821</v>
      </c>
      <c r="C34" s="98" t="s">
        <v>57</v>
      </c>
      <c r="D34" s="203">
        <v>45862</v>
      </c>
      <c r="E34" s="98" t="s">
        <v>668</v>
      </c>
      <c r="F34" s="98" t="s">
        <v>665</v>
      </c>
      <c r="G34" s="98" t="s">
        <v>234</v>
      </c>
      <c r="H34" s="98" t="s">
        <v>686</v>
      </c>
      <c r="I34" s="204">
        <f>_xlfn.XLOOKUP(C34,[1]Hoja1!$A:$A,[1]Hoja1!$C:$C,0)</f>
        <v>16632959</v>
      </c>
      <c r="J34" s="204">
        <v>390218</v>
      </c>
      <c r="K34" s="204">
        <v>390218</v>
      </c>
      <c r="L34" s="204">
        <v>0</v>
      </c>
      <c r="M34" s="204">
        <v>390218</v>
      </c>
      <c r="N34" s="204">
        <f t="shared" si="0"/>
        <v>0</v>
      </c>
      <c r="O34" s="118" t="s">
        <v>3006</v>
      </c>
      <c r="P34" s="98" t="s">
        <v>837</v>
      </c>
      <c r="Q34" s="119" t="s">
        <v>852</v>
      </c>
      <c r="R34" s="28" t="s">
        <v>824</v>
      </c>
      <c r="S34" s="28" t="s">
        <v>824</v>
      </c>
      <c r="T34" s="28" t="s">
        <v>824</v>
      </c>
      <c r="U34" s="101">
        <v>0</v>
      </c>
    </row>
    <row r="35" spans="1:21" ht="21.75" x14ac:dyDescent="0.25">
      <c r="A35" s="201">
        <v>35</v>
      </c>
      <c r="B35" s="202" t="s">
        <v>821</v>
      </c>
      <c r="C35" s="98" t="s">
        <v>57</v>
      </c>
      <c r="D35" s="203">
        <v>45862</v>
      </c>
      <c r="E35" s="98" t="s">
        <v>669</v>
      </c>
      <c r="F35" s="98" t="s">
        <v>666</v>
      </c>
      <c r="G35" s="98" t="s">
        <v>224</v>
      </c>
      <c r="H35" s="98" t="s">
        <v>687</v>
      </c>
      <c r="I35" s="204">
        <f>_xlfn.XLOOKUP(C35,[1]Hoja1!$A:$A,[1]Hoja1!$C:$C,0)</f>
        <v>16632959</v>
      </c>
      <c r="J35" s="204">
        <v>640800</v>
      </c>
      <c r="K35" s="204">
        <v>640800</v>
      </c>
      <c r="L35" s="204">
        <v>640800</v>
      </c>
      <c r="M35" s="204">
        <v>0</v>
      </c>
      <c r="N35" s="204">
        <f t="shared" si="0"/>
        <v>0</v>
      </c>
      <c r="O35" s="118" t="s">
        <v>3006</v>
      </c>
      <c r="P35" s="98" t="s">
        <v>839</v>
      </c>
      <c r="Q35" s="119" t="s">
        <v>853</v>
      </c>
      <c r="R35" s="28" t="s">
        <v>824</v>
      </c>
      <c r="S35" s="28" t="s">
        <v>824</v>
      </c>
      <c r="T35" s="28" t="s">
        <v>824</v>
      </c>
      <c r="U35" s="101">
        <v>0</v>
      </c>
    </row>
    <row r="36" spans="1:21" ht="21.75" x14ac:dyDescent="0.25">
      <c r="A36" s="201">
        <v>36</v>
      </c>
      <c r="B36" s="202" t="s">
        <v>821</v>
      </c>
      <c r="C36" s="98" t="s">
        <v>57</v>
      </c>
      <c r="D36" s="203">
        <v>45862</v>
      </c>
      <c r="E36" s="98" t="s">
        <v>668</v>
      </c>
      <c r="F36" s="98" t="s">
        <v>665</v>
      </c>
      <c r="G36" s="98" t="s">
        <v>190</v>
      </c>
      <c r="H36" s="98" t="s">
        <v>688</v>
      </c>
      <c r="I36" s="204">
        <f>_xlfn.XLOOKUP(C36,[1]Hoja1!$A:$A,[1]Hoja1!$C:$C,0)</f>
        <v>16632959</v>
      </c>
      <c r="J36" s="204">
        <v>1195740</v>
      </c>
      <c r="K36" s="204">
        <v>1195740</v>
      </c>
      <c r="L36" s="204">
        <v>797160</v>
      </c>
      <c r="M36" s="204">
        <v>398580</v>
      </c>
      <c r="N36" s="204">
        <f t="shared" si="0"/>
        <v>0</v>
      </c>
      <c r="O36" s="118" t="s">
        <v>3006</v>
      </c>
      <c r="P36" s="98" t="s">
        <v>837</v>
      </c>
      <c r="Q36" s="119" t="s">
        <v>854</v>
      </c>
      <c r="R36" s="28" t="s">
        <v>824</v>
      </c>
      <c r="S36" s="28" t="s">
        <v>824</v>
      </c>
      <c r="T36" s="28" t="s">
        <v>824</v>
      </c>
      <c r="U36" s="101">
        <v>0</v>
      </c>
    </row>
    <row r="37" spans="1:21" ht="21.75" x14ac:dyDescent="0.25">
      <c r="A37" s="201">
        <v>37</v>
      </c>
      <c r="B37" s="202" t="s">
        <v>821</v>
      </c>
      <c r="C37" s="98" t="s">
        <v>57</v>
      </c>
      <c r="D37" s="203">
        <v>45862</v>
      </c>
      <c r="E37" s="98" t="s">
        <v>668</v>
      </c>
      <c r="F37" s="98" t="s">
        <v>664</v>
      </c>
      <c r="G37" s="98" t="s">
        <v>227</v>
      </c>
      <c r="H37" s="98" t="s">
        <v>689</v>
      </c>
      <c r="I37" s="204">
        <f>_xlfn.XLOOKUP(C37,[1]Hoja1!$A:$A,[1]Hoja1!$C:$C,0)</f>
        <v>16632959</v>
      </c>
      <c r="J37" s="204">
        <v>716800</v>
      </c>
      <c r="K37" s="204">
        <v>716800</v>
      </c>
      <c r="L37" s="204">
        <v>382400</v>
      </c>
      <c r="M37" s="204">
        <v>334400</v>
      </c>
      <c r="N37" s="204">
        <f t="shared" si="0"/>
        <v>0</v>
      </c>
      <c r="O37" s="118" t="s">
        <v>3006</v>
      </c>
      <c r="P37" s="98" t="s">
        <v>837</v>
      </c>
      <c r="Q37" s="119" t="s">
        <v>855</v>
      </c>
      <c r="R37" s="28" t="s">
        <v>824</v>
      </c>
      <c r="S37" s="28" t="s">
        <v>824</v>
      </c>
      <c r="T37" s="28" t="s">
        <v>824</v>
      </c>
      <c r="U37" s="101">
        <v>0</v>
      </c>
    </row>
    <row r="38" spans="1:21" ht="21.75" x14ac:dyDescent="0.25">
      <c r="A38" s="201">
        <v>38</v>
      </c>
      <c r="B38" s="202" t="s">
        <v>821</v>
      </c>
      <c r="C38" s="98" t="s">
        <v>57</v>
      </c>
      <c r="D38" s="203">
        <v>45862</v>
      </c>
      <c r="E38" s="98" t="s">
        <v>668</v>
      </c>
      <c r="F38" s="98" t="s">
        <v>664</v>
      </c>
      <c r="G38" s="98" t="s">
        <v>227</v>
      </c>
      <c r="H38" s="98" t="s">
        <v>690</v>
      </c>
      <c r="I38" s="204">
        <f>_xlfn.XLOOKUP(C38,[1]Hoja1!$A:$A,[1]Hoja1!$C:$C,0)</f>
        <v>16632959</v>
      </c>
      <c r="J38" s="204">
        <v>341600</v>
      </c>
      <c r="K38" s="204">
        <v>341600</v>
      </c>
      <c r="L38" s="204">
        <v>215360</v>
      </c>
      <c r="M38" s="204">
        <v>126240</v>
      </c>
      <c r="N38" s="204">
        <f t="shared" si="0"/>
        <v>0</v>
      </c>
      <c r="O38" s="118" t="s">
        <v>3006</v>
      </c>
      <c r="P38" s="98" t="s">
        <v>837</v>
      </c>
      <c r="Q38" s="119" t="s">
        <v>855</v>
      </c>
      <c r="R38" s="28" t="s">
        <v>824</v>
      </c>
      <c r="S38" s="28" t="s">
        <v>824</v>
      </c>
      <c r="T38" s="28" t="s">
        <v>824</v>
      </c>
      <c r="U38" s="101">
        <v>0</v>
      </c>
    </row>
    <row r="39" spans="1:21" ht="21.75" x14ac:dyDescent="0.25">
      <c r="A39" s="201">
        <v>39</v>
      </c>
      <c r="B39" s="202" t="s">
        <v>821</v>
      </c>
      <c r="C39" s="98" t="s">
        <v>57</v>
      </c>
      <c r="D39" s="203">
        <v>45862</v>
      </c>
      <c r="E39" s="98" t="s">
        <v>668</v>
      </c>
      <c r="F39" s="98" t="s">
        <v>664</v>
      </c>
      <c r="G39" s="98" t="s">
        <v>227</v>
      </c>
      <c r="H39" s="98" t="s">
        <v>691</v>
      </c>
      <c r="I39" s="204">
        <f>_xlfn.XLOOKUP(C39,[1]Hoja1!$A:$A,[1]Hoja1!$C:$C,0)</f>
        <v>16632959</v>
      </c>
      <c r="J39" s="204">
        <v>791800</v>
      </c>
      <c r="K39" s="204">
        <v>791800</v>
      </c>
      <c r="L39" s="204">
        <v>497680</v>
      </c>
      <c r="M39" s="204">
        <v>294120</v>
      </c>
      <c r="N39" s="204">
        <f t="shared" si="0"/>
        <v>0</v>
      </c>
      <c r="O39" s="118" t="s">
        <v>3006</v>
      </c>
      <c r="P39" s="98" t="s">
        <v>837</v>
      </c>
      <c r="Q39" s="119" t="s">
        <v>855</v>
      </c>
      <c r="R39" s="28" t="s">
        <v>824</v>
      </c>
      <c r="S39" s="28" t="s">
        <v>824</v>
      </c>
      <c r="T39" s="28" t="s">
        <v>824</v>
      </c>
      <c r="U39" s="101">
        <v>0</v>
      </c>
    </row>
    <row r="40" spans="1:21" ht="21.75" x14ac:dyDescent="0.25">
      <c r="A40" s="201">
        <v>40</v>
      </c>
      <c r="B40" s="202" t="s">
        <v>821</v>
      </c>
      <c r="C40" s="98" t="s">
        <v>58</v>
      </c>
      <c r="D40" s="203">
        <v>45888</v>
      </c>
      <c r="E40" s="98" t="s">
        <v>825</v>
      </c>
      <c r="F40" s="98" t="s">
        <v>666</v>
      </c>
      <c r="G40" s="98" t="s">
        <v>198</v>
      </c>
      <c r="H40" s="98" t="s">
        <v>692</v>
      </c>
      <c r="I40" s="204">
        <f>_xlfn.XLOOKUP(C40,[1]Hoja1!$A:$A,[1]Hoja1!$C:$C,0)</f>
        <v>8450501</v>
      </c>
      <c r="J40" s="204">
        <v>81018</v>
      </c>
      <c r="K40" s="204">
        <v>81018</v>
      </c>
      <c r="L40" s="204">
        <v>0</v>
      </c>
      <c r="M40" s="204">
        <v>81018</v>
      </c>
      <c r="N40" s="204">
        <f t="shared" si="0"/>
        <v>0</v>
      </c>
      <c r="O40" s="118" t="s">
        <v>3006</v>
      </c>
      <c r="P40" s="98" t="s">
        <v>838</v>
      </c>
      <c r="Q40" s="119" t="s">
        <v>856</v>
      </c>
      <c r="R40" s="28" t="s">
        <v>824</v>
      </c>
      <c r="S40" s="28" t="s">
        <v>824</v>
      </c>
      <c r="T40" s="28" t="s">
        <v>824</v>
      </c>
      <c r="U40" s="101">
        <v>0</v>
      </c>
    </row>
    <row r="41" spans="1:21" ht="21.75" x14ac:dyDescent="0.25">
      <c r="A41" s="201">
        <v>41</v>
      </c>
      <c r="B41" s="202" t="s">
        <v>821</v>
      </c>
      <c r="C41" s="98" t="s">
        <v>59</v>
      </c>
      <c r="D41" s="203">
        <v>45890</v>
      </c>
      <c r="E41" s="98" t="s">
        <v>668</v>
      </c>
      <c r="F41" s="98" t="s">
        <v>664</v>
      </c>
      <c r="G41" s="98" t="s">
        <v>215</v>
      </c>
      <c r="H41" s="98" t="s">
        <v>693</v>
      </c>
      <c r="I41" s="204">
        <f>_xlfn.XLOOKUP(C41,[1]Hoja1!$A:$A,[1]Hoja1!$C:$C,0)</f>
        <v>32396282</v>
      </c>
      <c r="J41" s="204">
        <v>1640137</v>
      </c>
      <c r="K41" s="204">
        <v>1640137</v>
      </c>
      <c r="L41" s="204">
        <v>0</v>
      </c>
      <c r="M41" s="204">
        <v>1640137</v>
      </c>
      <c r="N41" s="204">
        <f t="shared" si="0"/>
        <v>0</v>
      </c>
      <c r="O41" s="118" t="s">
        <v>3006</v>
      </c>
      <c r="P41" s="98" t="s">
        <v>837</v>
      </c>
      <c r="Q41" s="119" t="s">
        <v>840</v>
      </c>
      <c r="R41" s="28" t="s">
        <v>824</v>
      </c>
      <c r="S41" s="28" t="s">
        <v>824</v>
      </c>
      <c r="T41" s="28" t="s">
        <v>824</v>
      </c>
      <c r="U41" s="101">
        <v>0</v>
      </c>
    </row>
    <row r="42" spans="1:21" ht="21.75" x14ac:dyDescent="0.25">
      <c r="A42" s="201">
        <v>42</v>
      </c>
      <c r="B42" s="202" t="s">
        <v>821</v>
      </c>
      <c r="C42" s="98" t="s">
        <v>59</v>
      </c>
      <c r="D42" s="203">
        <v>45890</v>
      </c>
      <c r="E42" s="98" t="s">
        <v>668</v>
      </c>
      <c r="F42" s="98" t="s">
        <v>664</v>
      </c>
      <c r="G42" s="98" t="s">
        <v>215</v>
      </c>
      <c r="H42" s="98" t="s">
        <v>694</v>
      </c>
      <c r="I42" s="204">
        <f>_xlfn.XLOOKUP(C42,[1]Hoja1!$A:$A,[1]Hoja1!$C:$C,0)</f>
        <v>32396282</v>
      </c>
      <c r="J42" s="204">
        <v>1683430</v>
      </c>
      <c r="K42" s="204">
        <v>1683430</v>
      </c>
      <c r="L42" s="204">
        <v>0</v>
      </c>
      <c r="M42" s="204">
        <v>1683430</v>
      </c>
      <c r="N42" s="204">
        <f t="shared" si="0"/>
        <v>0</v>
      </c>
      <c r="O42" s="118" t="s">
        <v>3006</v>
      </c>
      <c r="P42" s="98" t="s">
        <v>837</v>
      </c>
      <c r="Q42" s="119" t="s">
        <v>840</v>
      </c>
      <c r="R42" s="28" t="s">
        <v>824</v>
      </c>
      <c r="S42" s="28" t="s">
        <v>824</v>
      </c>
      <c r="T42" s="28" t="s">
        <v>824</v>
      </c>
      <c r="U42" s="101">
        <v>0</v>
      </c>
    </row>
    <row r="43" spans="1:21" ht="21.75" x14ac:dyDescent="0.25">
      <c r="A43" s="201">
        <v>43</v>
      </c>
      <c r="B43" s="202" t="s">
        <v>821</v>
      </c>
      <c r="C43" s="98" t="s">
        <v>60</v>
      </c>
      <c r="D43" s="203">
        <v>45903</v>
      </c>
      <c r="E43" s="98" t="s">
        <v>668</v>
      </c>
      <c r="F43" s="98" t="s">
        <v>665</v>
      </c>
      <c r="G43" s="98" t="s">
        <v>260</v>
      </c>
      <c r="H43" s="98" t="s">
        <v>695</v>
      </c>
      <c r="I43" s="204">
        <f>_xlfn.XLOOKUP(C43,[1]Hoja1!$A:$A,[1]Hoja1!$C:$C,0)</f>
        <v>6637772</v>
      </c>
      <c r="J43" s="204">
        <v>108024</v>
      </c>
      <c r="K43" s="204">
        <v>108024</v>
      </c>
      <c r="L43" s="204">
        <v>108024</v>
      </c>
      <c r="M43" s="204">
        <v>0</v>
      </c>
      <c r="N43" s="204">
        <f t="shared" si="0"/>
        <v>0</v>
      </c>
      <c r="O43" s="118" t="s">
        <v>3006</v>
      </c>
      <c r="P43" s="98" t="s">
        <v>837</v>
      </c>
      <c r="Q43" s="119" t="s">
        <v>846</v>
      </c>
      <c r="R43" s="28" t="s">
        <v>824</v>
      </c>
      <c r="S43" s="28" t="s">
        <v>824</v>
      </c>
      <c r="T43" s="28" t="s">
        <v>824</v>
      </c>
      <c r="U43" s="101">
        <v>0</v>
      </c>
    </row>
    <row r="44" spans="1:21" ht="21.75" x14ac:dyDescent="0.25">
      <c r="A44" s="201">
        <v>44</v>
      </c>
      <c r="B44" s="202" t="s">
        <v>821</v>
      </c>
      <c r="C44" s="98" t="s">
        <v>60</v>
      </c>
      <c r="D44" s="203">
        <v>45903</v>
      </c>
      <c r="E44" s="98" t="s">
        <v>668</v>
      </c>
      <c r="F44" s="98" t="s">
        <v>665</v>
      </c>
      <c r="G44" s="98" t="s">
        <v>260</v>
      </c>
      <c r="H44" s="98" t="s">
        <v>695</v>
      </c>
      <c r="I44" s="204">
        <f>_xlfn.XLOOKUP(C44,[1]Hoja1!$A:$A,[1]Hoja1!$C:$C,0)</f>
        <v>6637772</v>
      </c>
      <c r="J44" s="204">
        <v>108024</v>
      </c>
      <c r="K44" s="204">
        <v>108024</v>
      </c>
      <c r="L44" s="204">
        <v>108024</v>
      </c>
      <c r="M44" s="204">
        <v>0</v>
      </c>
      <c r="N44" s="204">
        <f t="shared" si="0"/>
        <v>0</v>
      </c>
      <c r="O44" s="118" t="s">
        <v>3006</v>
      </c>
      <c r="P44" s="98" t="s">
        <v>837</v>
      </c>
      <c r="Q44" s="119" t="s">
        <v>846</v>
      </c>
      <c r="R44" s="28" t="s">
        <v>824</v>
      </c>
      <c r="S44" s="28" t="s">
        <v>824</v>
      </c>
      <c r="T44" s="28" t="s">
        <v>824</v>
      </c>
      <c r="U44" s="101">
        <v>0</v>
      </c>
    </row>
    <row r="45" spans="1:21" ht="21.75" x14ac:dyDescent="0.25">
      <c r="A45" s="201">
        <v>45</v>
      </c>
      <c r="B45" s="202" t="s">
        <v>821</v>
      </c>
      <c r="C45" s="98" t="s">
        <v>61</v>
      </c>
      <c r="D45" s="203">
        <v>45915</v>
      </c>
      <c r="E45" s="98" t="s">
        <v>668</v>
      </c>
      <c r="F45" s="98" t="s">
        <v>664</v>
      </c>
      <c r="G45" s="98" t="s">
        <v>185</v>
      </c>
      <c r="H45" s="98" t="s">
        <v>671</v>
      </c>
      <c r="I45" s="204">
        <f>_xlfn.XLOOKUP(C45,[1]Hoja1!$A:$A,[1]Hoja1!$C:$C,0)</f>
        <v>106697</v>
      </c>
      <c r="J45" s="204">
        <v>31297</v>
      </c>
      <c r="K45" s="204">
        <v>31297</v>
      </c>
      <c r="L45" s="204">
        <v>0</v>
      </c>
      <c r="M45" s="204">
        <v>31297</v>
      </c>
      <c r="N45" s="204">
        <f t="shared" si="0"/>
        <v>0</v>
      </c>
      <c r="O45" s="118" t="s">
        <v>3006</v>
      </c>
      <c r="P45" s="98" t="s">
        <v>837</v>
      </c>
      <c r="Q45" s="119" t="s">
        <v>840</v>
      </c>
      <c r="R45" s="28" t="s">
        <v>824</v>
      </c>
      <c r="S45" s="28" t="s">
        <v>824</v>
      </c>
      <c r="T45" s="28" t="s">
        <v>824</v>
      </c>
      <c r="U45" s="101">
        <v>0</v>
      </c>
    </row>
    <row r="46" spans="1:21" ht="21.75" x14ac:dyDescent="0.25">
      <c r="A46" s="201">
        <v>46</v>
      </c>
      <c r="B46" s="202" t="s">
        <v>821</v>
      </c>
      <c r="C46" s="98" t="s">
        <v>62</v>
      </c>
      <c r="D46" s="203">
        <v>45893</v>
      </c>
      <c r="E46" s="98" t="s">
        <v>825</v>
      </c>
      <c r="F46" s="98" t="s">
        <v>666</v>
      </c>
      <c r="G46" s="98" t="s">
        <v>194</v>
      </c>
      <c r="H46" s="98" t="s">
        <v>696</v>
      </c>
      <c r="I46" s="204">
        <f>_xlfn.XLOOKUP(C46,[1]Hoja1!$A:$A,[1]Hoja1!$C:$C,0)</f>
        <v>16131730</v>
      </c>
      <c r="J46" s="204">
        <v>5504859</v>
      </c>
      <c r="K46" s="204">
        <v>5504859</v>
      </c>
      <c r="L46" s="204">
        <v>1917639</v>
      </c>
      <c r="M46" s="204">
        <v>3587220</v>
      </c>
      <c r="N46" s="204">
        <f t="shared" si="0"/>
        <v>0</v>
      </c>
      <c r="O46" s="118" t="s">
        <v>3006</v>
      </c>
      <c r="P46" s="98" t="s">
        <v>838</v>
      </c>
      <c r="Q46" s="119" t="s">
        <v>857</v>
      </c>
      <c r="R46" s="28" t="s">
        <v>824</v>
      </c>
      <c r="S46" s="28" t="s">
        <v>824</v>
      </c>
      <c r="T46" s="28" t="s">
        <v>824</v>
      </c>
      <c r="U46" s="101">
        <v>0</v>
      </c>
    </row>
    <row r="47" spans="1:21" ht="21.75" x14ac:dyDescent="0.25">
      <c r="A47" s="201">
        <v>47</v>
      </c>
      <c r="B47" s="202" t="s">
        <v>821</v>
      </c>
      <c r="C47" s="98" t="s">
        <v>62</v>
      </c>
      <c r="D47" s="203">
        <v>45893</v>
      </c>
      <c r="E47" s="98" t="s">
        <v>825</v>
      </c>
      <c r="F47" s="98" t="s">
        <v>666</v>
      </c>
      <c r="G47" s="98" t="s">
        <v>194</v>
      </c>
      <c r="H47" s="98" t="s">
        <v>697</v>
      </c>
      <c r="I47" s="204">
        <f>_xlfn.XLOOKUP(C47,[1]Hoja1!$A:$A,[1]Hoja1!$C:$C,0)</f>
        <v>16131730</v>
      </c>
      <c r="J47" s="204">
        <v>398580</v>
      </c>
      <c r="K47" s="204">
        <v>398580</v>
      </c>
      <c r="L47" s="204">
        <v>0</v>
      </c>
      <c r="M47" s="204">
        <v>398580</v>
      </c>
      <c r="N47" s="204">
        <f t="shared" si="0"/>
        <v>0</v>
      </c>
      <c r="O47" s="118" t="s">
        <v>3006</v>
      </c>
      <c r="P47" s="98" t="s">
        <v>838</v>
      </c>
      <c r="Q47" s="119" t="s">
        <v>857</v>
      </c>
      <c r="R47" s="28" t="s">
        <v>824</v>
      </c>
      <c r="S47" s="28" t="s">
        <v>824</v>
      </c>
      <c r="T47" s="28" t="s">
        <v>824</v>
      </c>
      <c r="U47" s="101">
        <v>0</v>
      </c>
    </row>
    <row r="48" spans="1:21" ht="21.75" x14ac:dyDescent="0.25">
      <c r="A48" s="201">
        <v>48</v>
      </c>
      <c r="B48" s="202" t="s">
        <v>821</v>
      </c>
      <c r="C48" s="98" t="s">
        <v>62</v>
      </c>
      <c r="D48" s="203">
        <v>45893</v>
      </c>
      <c r="E48" s="98" t="s">
        <v>825</v>
      </c>
      <c r="F48" s="98" t="s">
        <v>666</v>
      </c>
      <c r="G48" s="98" t="s">
        <v>271</v>
      </c>
      <c r="H48" s="98" t="s">
        <v>698</v>
      </c>
      <c r="I48" s="204">
        <f>_xlfn.XLOOKUP(C48,[1]Hoja1!$A:$A,[1]Hoja1!$C:$C,0)</f>
        <v>16131730</v>
      </c>
      <c r="J48" s="204">
        <v>21600</v>
      </c>
      <c r="K48" s="204">
        <v>21600</v>
      </c>
      <c r="L48" s="204">
        <v>0</v>
      </c>
      <c r="M48" s="204">
        <v>21600</v>
      </c>
      <c r="N48" s="204">
        <f t="shared" si="0"/>
        <v>0</v>
      </c>
      <c r="O48" s="118" t="s">
        <v>3006</v>
      </c>
      <c r="P48" s="98" t="s">
        <v>838</v>
      </c>
      <c r="Q48" s="119" t="s">
        <v>857</v>
      </c>
      <c r="R48" s="28" t="s">
        <v>824</v>
      </c>
      <c r="S48" s="28" t="s">
        <v>824</v>
      </c>
      <c r="T48" s="28" t="s">
        <v>824</v>
      </c>
      <c r="U48" s="101">
        <v>0</v>
      </c>
    </row>
    <row r="49" spans="1:21" ht="21.75" x14ac:dyDescent="0.25">
      <c r="A49" s="201">
        <v>49</v>
      </c>
      <c r="B49" s="202" t="s">
        <v>821</v>
      </c>
      <c r="C49" s="98" t="s">
        <v>62</v>
      </c>
      <c r="D49" s="203">
        <v>45893</v>
      </c>
      <c r="E49" s="98" t="s">
        <v>825</v>
      </c>
      <c r="F49" s="98" t="s">
        <v>666</v>
      </c>
      <c r="G49" s="98" t="s">
        <v>271</v>
      </c>
      <c r="H49" s="98" t="s">
        <v>698</v>
      </c>
      <c r="I49" s="204">
        <f>_xlfn.XLOOKUP(C49,[1]Hoja1!$A:$A,[1]Hoja1!$C:$C,0)</f>
        <v>16131730</v>
      </c>
      <c r="J49" s="204">
        <v>43200</v>
      </c>
      <c r="K49" s="204">
        <v>43200</v>
      </c>
      <c r="L49" s="204">
        <v>0</v>
      </c>
      <c r="M49" s="204">
        <v>43200</v>
      </c>
      <c r="N49" s="204">
        <f t="shared" si="0"/>
        <v>0</v>
      </c>
      <c r="O49" s="118" t="s">
        <v>3006</v>
      </c>
      <c r="P49" s="98" t="s">
        <v>838</v>
      </c>
      <c r="Q49" s="119" t="s">
        <v>857</v>
      </c>
      <c r="R49" s="28" t="s">
        <v>824</v>
      </c>
      <c r="S49" s="28" t="s">
        <v>824</v>
      </c>
      <c r="T49" s="28" t="s">
        <v>824</v>
      </c>
      <c r="U49" s="101">
        <v>0</v>
      </c>
    </row>
    <row r="50" spans="1:21" ht="21.75" x14ac:dyDescent="0.25">
      <c r="A50" s="201">
        <v>50</v>
      </c>
      <c r="B50" s="202" t="s">
        <v>821</v>
      </c>
      <c r="C50" s="98" t="s">
        <v>62</v>
      </c>
      <c r="D50" s="203">
        <v>45893</v>
      </c>
      <c r="E50" s="98" t="s">
        <v>825</v>
      </c>
      <c r="F50" s="98" t="s">
        <v>666</v>
      </c>
      <c r="G50" s="98" t="s">
        <v>271</v>
      </c>
      <c r="H50" s="98" t="s">
        <v>698</v>
      </c>
      <c r="I50" s="204">
        <f>_xlfn.XLOOKUP(C50,[1]Hoja1!$A:$A,[1]Hoja1!$C:$C,0)</f>
        <v>16131730</v>
      </c>
      <c r="J50" s="204">
        <v>43200</v>
      </c>
      <c r="K50" s="204">
        <v>43200</v>
      </c>
      <c r="L50" s="204">
        <v>0</v>
      </c>
      <c r="M50" s="204">
        <v>43200</v>
      </c>
      <c r="N50" s="204">
        <f t="shared" si="0"/>
        <v>0</v>
      </c>
      <c r="O50" s="118" t="s">
        <v>3006</v>
      </c>
      <c r="P50" s="98" t="s">
        <v>838</v>
      </c>
      <c r="Q50" s="119" t="s">
        <v>857</v>
      </c>
      <c r="R50" s="28" t="s">
        <v>824</v>
      </c>
      <c r="S50" s="28" t="s">
        <v>824</v>
      </c>
      <c r="T50" s="28" t="s">
        <v>824</v>
      </c>
      <c r="U50" s="101">
        <v>0</v>
      </c>
    </row>
    <row r="51" spans="1:21" ht="21.75" x14ac:dyDescent="0.25">
      <c r="A51" s="201">
        <v>51</v>
      </c>
      <c r="B51" s="202" t="s">
        <v>821</v>
      </c>
      <c r="C51" s="98" t="s">
        <v>62</v>
      </c>
      <c r="D51" s="203">
        <v>45893</v>
      </c>
      <c r="E51" s="98" t="s">
        <v>825</v>
      </c>
      <c r="F51" s="98" t="s">
        <v>666</v>
      </c>
      <c r="G51" s="98" t="s">
        <v>271</v>
      </c>
      <c r="H51" s="98" t="s">
        <v>698</v>
      </c>
      <c r="I51" s="204">
        <f>_xlfn.XLOOKUP(C51,[1]Hoja1!$A:$A,[1]Hoja1!$C:$C,0)</f>
        <v>16131730</v>
      </c>
      <c r="J51" s="204">
        <v>43200</v>
      </c>
      <c r="K51" s="204">
        <v>43200</v>
      </c>
      <c r="L51" s="204">
        <v>0</v>
      </c>
      <c r="M51" s="204">
        <v>43200</v>
      </c>
      <c r="N51" s="204">
        <f t="shared" si="0"/>
        <v>0</v>
      </c>
      <c r="O51" s="118" t="s">
        <v>3006</v>
      </c>
      <c r="P51" s="98" t="s">
        <v>838</v>
      </c>
      <c r="Q51" s="119" t="s">
        <v>857</v>
      </c>
      <c r="R51" s="28" t="s">
        <v>824</v>
      </c>
      <c r="S51" s="28" t="s">
        <v>824</v>
      </c>
      <c r="T51" s="28" t="s">
        <v>824</v>
      </c>
      <c r="U51" s="101">
        <v>0</v>
      </c>
    </row>
    <row r="52" spans="1:21" ht="21.75" x14ac:dyDescent="0.25">
      <c r="A52" s="201">
        <v>52</v>
      </c>
      <c r="B52" s="202" t="s">
        <v>821</v>
      </c>
      <c r="C52" s="98" t="s">
        <v>62</v>
      </c>
      <c r="D52" s="203">
        <v>45893</v>
      </c>
      <c r="E52" s="98" t="s">
        <v>825</v>
      </c>
      <c r="F52" s="98" t="s">
        <v>666</v>
      </c>
      <c r="G52" s="98" t="s">
        <v>271</v>
      </c>
      <c r="H52" s="98" t="s">
        <v>698</v>
      </c>
      <c r="I52" s="204">
        <f>_xlfn.XLOOKUP(C52,[1]Hoja1!$A:$A,[1]Hoja1!$C:$C,0)</f>
        <v>16131730</v>
      </c>
      <c r="J52" s="204">
        <v>43200</v>
      </c>
      <c r="K52" s="204">
        <v>43200</v>
      </c>
      <c r="L52" s="204">
        <v>0</v>
      </c>
      <c r="M52" s="204">
        <v>43200</v>
      </c>
      <c r="N52" s="204">
        <f t="shared" si="0"/>
        <v>0</v>
      </c>
      <c r="O52" s="118" t="s">
        <v>3006</v>
      </c>
      <c r="P52" s="98" t="s">
        <v>838</v>
      </c>
      <c r="Q52" s="119" t="s">
        <v>857</v>
      </c>
      <c r="R52" s="28" t="s">
        <v>824</v>
      </c>
      <c r="S52" s="28" t="s">
        <v>824</v>
      </c>
      <c r="T52" s="28" t="s">
        <v>824</v>
      </c>
      <c r="U52" s="101">
        <v>0</v>
      </c>
    </row>
    <row r="53" spans="1:21" ht="21.75" x14ac:dyDescent="0.25">
      <c r="A53" s="201">
        <v>53</v>
      </c>
      <c r="B53" s="202" t="s">
        <v>821</v>
      </c>
      <c r="C53" s="98" t="s">
        <v>62</v>
      </c>
      <c r="D53" s="203">
        <v>45893</v>
      </c>
      <c r="E53" s="98" t="s">
        <v>825</v>
      </c>
      <c r="F53" s="98" t="s">
        <v>666</v>
      </c>
      <c r="G53" s="98" t="s">
        <v>271</v>
      </c>
      <c r="H53" s="98" t="s">
        <v>698</v>
      </c>
      <c r="I53" s="204">
        <f>_xlfn.XLOOKUP(C53,[1]Hoja1!$A:$A,[1]Hoja1!$C:$C,0)</f>
        <v>16131730</v>
      </c>
      <c r="J53" s="204">
        <v>43200</v>
      </c>
      <c r="K53" s="204">
        <v>43200</v>
      </c>
      <c r="L53" s="204">
        <v>0</v>
      </c>
      <c r="M53" s="204">
        <v>43200</v>
      </c>
      <c r="N53" s="204">
        <f t="shared" si="0"/>
        <v>0</v>
      </c>
      <c r="O53" s="118" t="s">
        <v>3006</v>
      </c>
      <c r="P53" s="98" t="s">
        <v>838</v>
      </c>
      <c r="Q53" s="119" t="s">
        <v>857</v>
      </c>
      <c r="R53" s="28" t="s">
        <v>824</v>
      </c>
      <c r="S53" s="28" t="s">
        <v>824</v>
      </c>
      <c r="T53" s="28" t="s">
        <v>824</v>
      </c>
      <c r="U53" s="101">
        <v>0</v>
      </c>
    </row>
    <row r="54" spans="1:21" ht="21.75" x14ac:dyDescent="0.25">
      <c r="A54" s="201">
        <v>54</v>
      </c>
      <c r="B54" s="202" t="s">
        <v>821</v>
      </c>
      <c r="C54" s="98" t="s">
        <v>62</v>
      </c>
      <c r="D54" s="203">
        <v>45893</v>
      </c>
      <c r="E54" s="98" t="s">
        <v>825</v>
      </c>
      <c r="F54" s="98" t="s">
        <v>666</v>
      </c>
      <c r="G54" s="98" t="s">
        <v>271</v>
      </c>
      <c r="H54" s="98" t="s">
        <v>698</v>
      </c>
      <c r="I54" s="204">
        <f>_xlfn.XLOOKUP(C54,[1]Hoja1!$A:$A,[1]Hoja1!$C:$C,0)</f>
        <v>16131730</v>
      </c>
      <c r="J54" s="204">
        <v>43200</v>
      </c>
      <c r="K54" s="204">
        <v>43200</v>
      </c>
      <c r="L54" s="204">
        <v>0</v>
      </c>
      <c r="M54" s="204">
        <v>43200</v>
      </c>
      <c r="N54" s="204">
        <f t="shared" si="0"/>
        <v>0</v>
      </c>
      <c r="O54" s="118" t="s">
        <v>3006</v>
      </c>
      <c r="P54" s="98" t="s">
        <v>838</v>
      </c>
      <c r="Q54" s="119" t="s">
        <v>857</v>
      </c>
      <c r="R54" s="28" t="s">
        <v>824</v>
      </c>
      <c r="S54" s="28" t="s">
        <v>824</v>
      </c>
      <c r="T54" s="28" t="s">
        <v>824</v>
      </c>
      <c r="U54" s="101">
        <v>0</v>
      </c>
    </row>
    <row r="55" spans="1:21" ht="21.75" x14ac:dyDescent="0.25">
      <c r="A55" s="201">
        <v>55</v>
      </c>
      <c r="B55" s="202" t="s">
        <v>821</v>
      </c>
      <c r="C55" s="98" t="s">
        <v>62</v>
      </c>
      <c r="D55" s="203">
        <v>45893</v>
      </c>
      <c r="E55" s="98" t="s">
        <v>825</v>
      </c>
      <c r="F55" s="98" t="s">
        <v>666</v>
      </c>
      <c r="G55" s="98" t="s">
        <v>271</v>
      </c>
      <c r="H55" s="98" t="s">
        <v>698</v>
      </c>
      <c r="I55" s="204">
        <f>_xlfn.XLOOKUP(C55,[1]Hoja1!$A:$A,[1]Hoja1!$C:$C,0)</f>
        <v>16131730</v>
      </c>
      <c r="J55" s="204">
        <v>43200</v>
      </c>
      <c r="K55" s="204">
        <v>43200</v>
      </c>
      <c r="L55" s="204">
        <v>0</v>
      </c>
      <c r="M55" s="204">
        <v>43200</v>
      </c>
      <c r="N55" s="204">
        <f t="shared" si="0"/>
        <v>0</v>
      </c>
      <c r="O55" s="118" t="s">
        <v>3006</v>
      </c>
      <c r="P55" s="98" t="s">
        <v>838</v>
      </c>
      <c r="Q55" s="119" t="s">
        <v>857</v>
      </c>
      <c r="R55" s="28" t="s">
        <v>824</v>
      </c>
      <c r="S55" s="28" t="s">
        <v>824</v>
      </c>
      <c r="T55" s="28" t="s">
        <v>824</v>
      </c>
      <c r="U55" s="101">
        <v>0</v>
      </c>
    </row>
    <row r="56" spans="1:21" ht="21.75" x14ac:dyDescent="0.25">
      <c r="A56" s="201">
        <v>56</v>
      </c>
      <c r="B56" s="202" t="s">
        <v>821</v>
      </c>
      <c r="C56" s="98" t="s">
        <v>62</v>
      </c>
      <c r="D56" s="203">
        <v>45893</v>
      </c>
      <c r="E56" s="98" t="s">
        <v>825</v>
      </c>
      <c r="F56" s="98" t="s">
        <v>666</v>
      </c>
      <c r="G56" s="98" t="s">
        <v>271</v>
      </c>
      <c r="H56" s="98" t="s">
        <v>698</v>
      </c>
      <c r="I56" s="204">
        <f>_xlfn.XLOOKUP(C56,[1]Hoja1!$A:$A,[1]Hoja1!$C:$C,0)</f>
        <v>16131730</v>
      </c>
      <c r="J56" s="204">
        <v>43200</v>
      </c>
      <c r="K56" s="204">
        <v>43200</v>
      </c>
      <c r="L56" s="204">
        <v>0</v>
      </c>
      <c r="M56" s="204">
        <v>43200</v>
      </c>
      <c r="N56" s="204">
        <f t="shared" si="0"/>
        <v>0</v>
      </c>
      <c r="O56" s="118" t="s">
        <v>3006</v>
      </c>
      <c r="P56" s="98" t="s">
        <v>838</v>
      </c>
      <c r="Q56" s="119" t="s">
        <v>857</v>
      </c>
      <c r="R56" s="28" t="s">
        <v>824</v>
      </c>
      <c r="S56" s="28" t="s">
        <v>824</v>
      </c>
      <c r="T56" s="28" t="s">
        <v>824</v>
      </c>
      <c r="U56" s="101">
        <v>0</v>
      </c>
    </row>
    <row r="57" spans="1:21" ht="21.75" x14ac:dyDescent="0.25">
      <c r="A57" s="201">
        <v>57</v>
      </c>
      <c r="B57" s="202" t="s">
        <v>821</v>
      </c>
      <c r="C57" s="98" t="s">
        <v>62</v>
      </c>
      <c r="D57" s="203">
        <v>45893</v>
      </c>
      <c r="E57" s="98" t="s">
        <v>825</v>
      </c>
      <c r="F57" s="98" t="s">
        <v>666</v>
      </c>
      <c r="G57" s="98" t="s">
        <v>198</v>
      </c>
      <c r="H57" s="98" t="s">
        <v>699</v>
      </c>
      <c r="I57" s="204">
        <f>_xlfn.XLOOKUP(C57,[1]Hoja1!$A:$A,[1]Hoja1!$C:$C,0)</f>
        <v>16131730</v>
      </c>
      <c r="J57" s="204">
        <v>891198</v>
      </c>
      <c r="K57" s="204">
        <v>891198</v>
      </c>
      <c r="L57" s="204">
        <v>0</v>
      </c>
      <c r="M57" s="204">
        <v>891198</v>
      </c>
      <c r="N57" s="204">
        <f t="shared" si="0"/>
        <v>0</v>
      </c>
      <c r="O57" s="118" t="s">
        <v>3006</v>
      </c>
      <c r="P57" s="98" t="s">
        <v>838</v>
      </c>
      <c r="Q57" s="119" t="s">
        <v>857</v>
      </c>
      <c r="R57" s="28" t="s">
        <v>824</v>
      </c>
      <c r="S57" s="28" t="s">
        <v>824</v>
      </c>
      <c r="T57" s="28" t="s">
        <v>824</v>
      </c>
      <c r="U57" s="101">
        <v>0</v>
      </c>
    </row>
    <row r="58" spans="1:21" ht="21.75" x14ac:dyDescent="0.25">
      <c r="A58" s="201">
        <v>58</v>
      </c>
      <c r="B58" s="202" t="s">
        <v>821</v>
      </c>
      <c r="C58" s="98" t="s">
        <v>62</v>
      </c>
      <c r="D58" s="203">
        <v>45893</v>
      </c>
      <c r="E58" s="98" t="s">
        <v>825</v>
      </c>
      <c r="F58" s="98" t="s">
        <v>666</v>
      </c>
      <c r="G58" s="98" t="s">
        <v>224</v>
      </c>
      <c r="H58" s="98" t="s">
        <v>700</v>
      </c>
      <c r="I58" s="204">
        <f>_xlfn.XLOOKUP(C58,[1]Hoja1!$A:$A,[1]Hoja1!$C:$C,0)</f>
        <v>16131730</v>
      </c>
      <c r="J58" s="204">
        <v>1430800</v>
      </c>
      <c r="K58" s="204">
        <v>1430800</v>
      </c>
      <c r="L58" s="204">
        <v>1430800</v>
      </c>
      <c r="M58" s="204">
        <v>0</v>
      </c>
      <c r="N58" s="204">
        <f t="shared" si="0"/>
        <v>0</v>
      </c>
      <c r="O58" s="118" t="s">
        <v>3006</v>
      </c>
      <c r="P58" s="98" t="s">
        <v>838</v>
      </c>
      <c r="Q58" s="119" t="s">
        <v>857</v>
      </c>
      <c r="R58" s="28" t="s">
        <v>824</v>
      </c>
      <c r="S58" s="28" t="s">
        <v>824</v>
      </c>
      <c r="T58" s="28" t="s">
        <v>824</v>
      </c>
      <c r="U58" s="101">
        <v>0</v>
      </c>
    </row>
    <row r="59" spans="1:21" ht="21.75" x14ac:dyDescent="0.25">
      <c r="A59" s="201">
        <v>59</v>
      </c>
      <c r="B59" s="202" t="s">
        <v>821</v>
      </c>
      <c r="C59" s="98" t="s">
        <v>62</v>
      </c>
      <c r="D59" s="203">
        <v>45893</v>
      </c>
      <c r="E59" s="98" t="s">
        <v>825</v>
      </c>
      <c r="F59" s="98" t="s">
        <v>666</v>
      </c>
      <c r="G59" s="98" t="s">
        <v>275</v>
      </c>
      <c r="H59" s="98" t="s">
        <v>701</v>
      </c>
      <c r="I59" s="204">
        <f>_xlfn.XLOOKUP(C59,[1]Hoja1!$A:$A,[1]Hoja1!$C:$C,0)</f>
        <v>16131730</v>
      </c>
      <c r="J59" s="204">
        <v>1004799</v>
      </c>
      <c r="K59" s="204">
        <v>1004799</v>
      </c>
      <c r="L59" s="204">
        <v>1004799</v>
      </c>
      <c r="M59" s="204">
        <v>0</v>
      </c>
      <c r="N59" s="204">
        <f t="shared" si="0"/>
        <v>0</v>
      </c>
      <c r="O59" s="118" t="s">
        <v>3006</v>
      </c>
      <c r="P59" s="98" t="s">
        <v>838</v>
      </c>
      <c r="Q59" s="119" t="s">
        <v>857</v>
      </c>
      <c r="R59" s="28" t="s">
        <v>824</v>
      </c>
      <c r="S59" s="28" t="s">
        <v>824</v>
      </c>
      <c r="T59" s="28" t="s">
        <v>824</v>
      </c>
      <c r="U59" s="101">
        <v>0</v>
      </c>
    </row>
    <row r="60" spans="1:21" ht="21.75" x14ac:dyDescent="0.25">
      <c r="A60" s="201">
        <v>60</v>
      </c>
      <c r="B60" s="202" t="s">
        <v>821</v>
      </c>
      <c r="C60" s="98" t="s">
        <v>62</v>
      </c>
      <c r="D60" s="203">
        <v>45893</v>
      </c>
      <c r="E60" s="98" t="s">
        <v>825</v>
      </c>
      <c r="F60" s="98" t="s">
        <v>666</v>
      </c>
      <c r="G60" s="98" t="s">
        <v>241</v>
      </c>
      <c r="H60" s="98" t="s">
        <v>702</v>
      </c>
      <c r="I60" s="204">
        <f>_xlfn.XLOOKUP(C60,[1]Hoja1!$A:$A,[1]Hoja1!$C:$C,0)</f>
        <v>16131730</v>
      </c>
      <c r="J60" s="204">
        <v>509405</v>
      </c>
      <c r="K60" s="204">
        <v>509405</v>
      </c>
      <c r="L60" s="204">
        <v>0</v>
      </c>
      <c r="M60" s="204">
        <v>509405</v>
      </c>
      <c r="N60" s="204">
        <f t="shared" si="0"/>
        <v>0</v>
      </c>
      <c r="O60" s="118" t="s">
        <v>3006</v>
      </c>
      <c r="P60" s="98" t="s">
        <v>838</v>
      </c>
      <c r="Q60" s="119" t="s">
        <v>857</v>
      </c>
      <c r="R60" s="28" t="s">
        <v>824</v>
      </c>
      <c r="S60" s="28" t="s">
        <v>824</v>
      </c>
      <c r="T60" s="28" t="s">
        <v>824</v>
      </c>
      <c r="U60" s="101">
        <v>0</v>
      </c>
    </row>
    <row r="61" spans="1:21" ht="21.75" x14ac:dyDescent="0.25">
      <c r="A61" s="201">
        <v>61</v>
      </c>
      <c r="B61" s="202" t="s">
        <v>821</v>
      </c>
      <c r="C61" s="98" t="s">
        <v>62</v>
      </c>
      <c r="D61" s="203">
        <v>45893</v>
      </c>
      <c r="E61" s="98" t="s">
        <v>825</v>
      </c>
      <c r="F61" s="98" t="s">
        <v>666</v>
      </c>
      <c r="G61" s="98" t="s">
        <v>241</v>
      </c>
      <c r="H61" s="98" t="s">
        <v>702</v>
      </c>
      <c r="I61" s="204">
        <f>_xlfn.XLOOKUP(C61,[1]Hoja1!$A:$A,[1]Hoja1!$C:$C,0)</f>
        <v>16131730</v>
      </c>
      <c r="J61" s="204">
        <v>156797</v>
      </c>
      <c r="K61" s="204">
        <v>156797</v>
      </c>
      <c r="L61" s="204">
        <v>0</v>
      </c>
      <c r="M61" s="204">
        <v>156797</v>
      </c>
      <c r="N61" s="204">
        <f t="shared" si="0"/>
        <v>0</v>
      </c>
      <c r="O61" s="118" t="s">
        <v>3006</v>
      </c>
      <c r="P61" s="98" t="s">
        <v>838</v>
      </c>
      <c r="Q61" s="119" t="s">
        <v>857</v>
      </c>
      <c r="R61" s="28" t="s">
        <v>824</v>
      </c>
      <c r="S61" s="28" t="s">
        <v>824</v>
      </c>
      <c r="T61" s="28" t="s">
        <v>824</v>
      </c>
      <c r="U61" s="101">
        <v>0</v>
      </c>
    </row>
    <row r="62" spans="1:21" ht="21.75" x14ac:dyDescent="0.25">
      <c r="A62" s="201">
        <v>62</v>
      </c>
      <c r="B62" s="202" t="s">
        <v>821</v>
      </c>
      <c r="C62" s="98" t="s">
        <v>62</v>
      </c>
      <c r="D62" s="203">
        <v>45893</v>
      </c>
      <c r="E62" s="98" t="s">
        <v>825</v>
      </c>
      <c r="F62" s="98" t="s">
        <v>666</v>
      </c>
      <c r="G62" s="98" t="s">
        <v>241</v>
      </c>
      <c r="H62" s="98" t="s">
        <v>703</v>
      </c>
      <c r="I62" s="204">
        <f>_xlfn.XLOOKUP(C62,[1]Hoja1!$A:$A,[1]Hoja1!$C:$C,0)</f>
        <v>16131730</v>
      </c>
      <c r="J62" s="204">
        <v>139154</v>
      </c>
      <c r="K62" s="204">
        <v>139154</v>
      </c>
      <c r="L62" s="204">
        <v>0</v>
      </c>
      <c r="M62" s="204">
        <v>139154</v>
      </c>
      <c r="N62" s="204">
        <f t="shared" si="0"/>
        <v>0</v>
      </c>
      <c r="O62" s="118" t="s">
        <v>3006</v>
      </c>
      <c r="P62" s="98" t="s">
        <v>838</v>
      </c>
      <c r="Q62" s="119" t="s">
        <v>857</v>
      </c>
      <c r="R62" s="28" t="s">
        <v>824</v>
      </c>
      <c r="S62" s="28" t="s">
        <v>824</v>
      </c>
      <c r="T62" s="28" t="s">
        <v>824</v>
      </c>
      <c r="U62" s="101">
        <v>0</v>
      </c>
    </row>
    <row r="63" spans="1:21" ht="21.75" x14ac:dyDescent="0.25">
      <c r="A63" s="201">
        <v>63</v>
      </c>
      <c r="B63" s="202" t="s">
        <v>821</v>
      </c>
      <c r="C63" s="98" t="s">
        <v>62</v>
      </c>
      <c r="D63" s="203">
        <v>45893</v>
      </c>
      <c r="E63" s="98" t="s">
        <v>825</v>
      </c>
      <c r="F63" s="98" t="s">
        <v>666</v>
      </c>
      <c r="G63" s="98" t="s">
        <v>241</v>
      </c>
      <c r="H63" s="98" t="s">
        <v>703</v>
      </c>
      <c r="I63" s="204">
        <f>_xlfn.XLOOKUP(C63,[1]Hoja1!$A:$A,[1]Hoja1!$C:$C,0)</f>
        <v>16131730</v>
      </c>
      <c r="J63" s="204">
        <v>139154</v>
      </c>
      <c r="K63" s="204">
        <v>139154</v>
      </c>
      <c r="L63" s="204">
        <v>0</v>
      </c>
      <c r="M63" s="204">
        <v>139154</v>
      </c>
      <c r="N63" s="204">
        <f t="shared" si="0"/>
        <v>0</v>
      </c>
      <c r="O63" s="118" t="s">
        <v>3006</v>
      </c>
      <c r="P63" s="98" t="s">
        <v>838</v>
      </c>
      <c r="Q63" s="119" t="s">
        <v>857</v>
      </c>
      <c r="R63" s="28" t="s">
        <v>824</v>
      </c>
      <c r="S63" s="28" t="s">
        <v>824</v>
      </c>
      <c r="T63" s="28" t="s">
        <v>824</v>
      </c>
      <c r="U63" s="101">
        <v>0</v>
      </c>
    </row>
    <row r="64" spans="1:21" ht="21.75" x14ac:dyDescent="0.25">
      <c r="A64" s="201">
        <v>64</v>
      </c>
      <c r="B64" s="202" t="s">
        <v>821</v>
      </c>
      <c r="C64" s="98" t="s">
        <v>62</v>
      </c>
      <c r="D64" s="203">
        <v>45893</v>
      </c>
      <c r="E64" s="98" t="s">
        <v>825</v>
      </c>
      <c r="F64" s="98" t="s">
        <v>666</v>
      </c>
      <c r="G64" s="98" t="s">
        <v>241</v>
      </c>
      <c r="H64" s="98" t="s">
        <v>703</v>
      </c>
      <c r="I64" s="204">
        <f>_xlfn.XLOOKUP(C64,[1]Hoja1!$A:$A,[1]Hoja1!$C:$C,0)</f>
        <v>16131730</v>
      </c>
      <c r="J64" s="204">
        <v>139154</v>
      </c>
      <c r="K64" s="204">
        <v>139154</v>
      </c>
      <c r="L64" s="204">
        <v>0</v>
      </c>
      <c r="M64" s="204">
        <v>139154</v>
      </c>
      <c r="N64" s="204">
        <f t="shared" si="0"/>
        <v>0</v>
      </c>
      <c r="O64" s="118" t="s">
        <v>3006</v>
      </c>
      <c r="P64" s="98" t="s">
        <v>838</v>
      </c>
      <c r="Q64" s="119" t="s">
        <v>857</v>
      </c>
      <c r="R64" s="28" t="s">
        <v>824</v>
      </c>
      <c r="S64" s="28" t="s">
        <v>824</v>
      </c>
      <c r="T64" s="28" t="s">
        <v>824</v>
      </c>
      <c r="U64" s="101">
        <v>0</v>
      </c>
    </row>
    <row r="65" spans="1:21" ht="21.75" x14ac:dyDescent="0.25">
      <c r="A65" s="201">
        <v>65</v>
      </c>
      <c r="B65" s="202" t="s">
        <v>821</v>
      </c>
      <c r="C65" s="98" t="s">
        <v>63</v>
      </c>
      <c r="D65" s="203">
        <v>45899</v>
      </c>
      <c r="E65" s="98" t="s">
        <v>668</v>
      </c>
      <c r="F65" s="98" t="s">
        <v>665</v>
      </c>
      <c r="G65" s="98" t="s">
        <v>266</v>
      </c>
      <c r="H65" s="98" t="s">
        <v>704</v>
      </c>
      <c r="I65" s="204">
        <f>_xlfn.XLOOKUP(C65,[1]Hoja1!$A:$A,[1]Hoja1!$C:$C,0)</f>
        <v>22175283</v>
      </c>
      <c r="J65" s="204">
        <v>474915</v>
      </c>
      <c r="K65" s="204">
        <v>474915</v>
      </c>
      <c r="L65" s="204">
        <v>0</v>
      </c>
      <c r="M65" s="204">
        <v>474915</v>
      </c>
      <c r="N65" s="204">
        <f t="shared" si="0"/>
        <v>0</v>
      </c>
      <c r="O65" s="118" t="s">
        <v>3006</v>
      </c>
      <c r="P65" s="98" t="s">
        <v>837</v>
      </c>
      <c r="Q65" s="119" t="s">
        <v>858</v>
      </c>
      <c r="R65" s="28" t="s">
        <v>824</v>
      </c>
      <c r="S65" s="28" t="s">
        <v>824</v>
      </c>
      <c r="T65" s="28" t="s">
        <v>824</v>
      </c>
      <c r="U65" s="101">
        <v>0</v>
      </c>
    </row>
    <row r="66" spans="1:21" ht="21.75" x14ac:dyDescent="0.25">
      <c r="A66" s="201">
        <v>66</v>
      </c>
      <c r="B66" s="202" t="s">
        <v>821</v>
      </c>
      <c r="C66" s="98" t="s">
        <v>63</v>
      </c>
      <c r="D66" s="203">
        <v>45899</v>
      </c>
      <c r="E66" s="98" t="s">
        <v>668</v>
      </c>
      <c r="F66" s="98" t="s">
        <v>664</v>
      </c>
      <c r="G66" s="98" t="s">
        <v>227</v>
      </c>
      <c r="H66" s="98" t="s">
        <v>705</v>
      </c>
      <c r="I66" s="204">
        <f>_xlfn.XLOOKUP(C66,[1]Hoja1!$A:$A,[1]Hoja1!$C:$C,0)</f>
        <v>22175283</v>
      </c>
      <c r="J66" s="204">
        <v>213273</v>
      </c>
      <c r="K66" s="204">
        <v>213273</v>
      </c>
      <c r="L66" s="204">
        <v>213273</v>
      </c>
      <c r="M66" s="204">
        <v>0</v>
      </c>
      <c r="N66" s="204">
        <f t="shared" ref="N66:N129" si="1">K66-L66-M66</f>
        <v>0</v>
      </c>
      <c r="O66" s="118" t="s">
        <v>3006</v>
      </c>
      <c r="P66" s="98" t="s">
        <v>837</v>
      </c>
      <c r="Q66" s="119" t="s">
        <v>859</v>
      </c>
      <c r="R66" s="28" t="s">
        <v>824</v>
      </c>
      <c r="S66" s="28" t="s">
        <v>824</v>
      </c>
      <c r="T66" s="28" t="s">
        <v>824</v>
      </c>
      <c r="U66" s="101">
        <v>0</v>
      </c>
    </row>
    <row r="67" spans="1:21" ht="21.75" x14ac:dyDescent="0.25">
      <c r="A67" s="201">
        <v>67</v>
      </c>
      <c r="B67" s="202" t="s">
        <v>821</v>
      </c>
      <c r="C67" s="98" t="s">
        <v>63</v>
      </c>
      <c r="D67" s="203">
        <v>45899</v>
      </c>
      <c r="E67" s="98" t="s">
        <v>668</v>
      </c>
      <c r="F67" s="98" t="s">
        <v>664</v>
      </c>
      <c r="G67" s="98" t="s">
        <v>227</v>
      </c>
      <c r="H67" s="98" t="s">
        <v>706</v>
      </c>
      <c r="I67" s="204">
        <f>_xlfn.XLOOKUP(C67,[1]Hoja1!$A:$A,[1]Hoja1!$C:$C,0)</f>
        <v>22175283</v>
      </c>
      <c r="J67" s="204">
        <v>833465</v>
      </c>
      <c r="K67" s="204">
        <v>833465</v>
      </c>
      <c r="L67" s="204">
        <v>833465</v>
      </c>
      <c r="M67" s="204">
        <v>0</v>
      </c>
      <c r="N67" s="204">
        <f t="shared" si="1"/>
        <v>0</v>
      </c>
      <c r="O67" s="118" t="s">
        <v>3006</v>
      </c>
      <c r="P67" s="98" t="s">
        <v>837</v>
      </c>
      <c r="Q67" s="119" t="s">
        <v>859</v>
      </c>
      <c r="R67" s="28" t="s">
        <v>824</v>
      </c>
      <c r="S67" s="28" t="s">
        <v>824</v>
      </c>
      <c r="T67" s="28" t="s">
        <v>824</v>
      </c>
      <c r="U67" s="101">
        <v>0</v>
      </c>
    </row>
    <row r="68" spans="1:21" ht="21.75" x14ac:dyDescent="0.25">
      <c r="A68" s="201">
        <v>68</v>
      </c>
      <c r="B68" s="202" t="s">
        <v>821</v>
      </c>
      <c r="C68" s="98" t="s">
        <v>63</v>
      </c>
      <c r="D68" s="203">
        <v>45899</v>
      </c>
      <c r="E68" s="98" t="s">
        <v>668</v>
      </c>
      <c r="F68" s="98" t="s">
        <v>664</v>
      </c>
      <c r="G68" s="98" t="s">
        <v>227</v>
      </c>
      <c r="H68" s="98" t="s">
        <v>707</v>
      </c>
      <c r="I68" s="204">
        <f>_xlfn.XLOOKUP(C68,[1]Hoja1!$A:$A,[1]Hoja1!$C:$C,0)</f>
        <v>22175283</v>
      </c>
      <c r="J68" s="204">
        <v>497001</v>
      </c>
      <c r="K68" s="204">
        <v>497001</v>
      </c>
      <c r="L68" s="204">
        <v>497001</v>
      </c>
      <c r="M68" s="204">
        <v>0</v>
      </c>
      <c r="N68" s="204">
        <f t="shared" si="1"/>
        <v>0</v>
      </c>
      <c r="O68" s="118" t="s">
        <v>3006</v>
      </c>
      <c r="P68" s="98" t="s">
        <v>837</v>
      </c>
      <c r="Q68" s="119" t="s">
        <v>859</v>
      </c>
      <c r="R68" s="28" t="s">
        <v>824</v>
      </c>
      <c r="S68" s="28" t="s">
        <v>824</v>
      </c>
      <c r="T68" s="28" t="s">
        <v>824</v>
      </c>
      <c r="U68" s="101">
        <v>0</v>
      </c>
    </row>
    <row r="69" spans="1:21" ht="21.75" x14ac:dyDescent="0.25">
      <c r="A69" s="201">
        <v>69</v>
      </c>
      <c r="B69" s="202" t="s">
        <v>821</v>
      </c>
      <c r="C69" s="98" t="s">
        <v>63</v>
      </c>
      <c r="D69" s="203">
        <v>45899</v>
      </c>
      <c r="E69" s="98" t="s">
        <v>668</v>
      </c>
      <c r="F69" s="98" t="s">
        <v>664</v>
      </c>
      <c r="G69" s="98" t="s">
        <v>227</v>
      </c>
      <c r="H69" s="98" t="s">
        <v>708</v>
      </c>
      <c r="I69" s="204">
        <f>_xlfn.XLOOKUP(C69,[1]Hoja1!$A:$A,[1]Hoja1!$C:$C,0)</f>
        <v>22175283</v>
      </c>
      <c r="J69" s="204">
        <v>598342</v>
      </c>
      <c r="K69" s="204">
        <v>598342</v>
      </c>
      <c r="L69" s="204">
        <v>598342</v>
      </c>
      <c r="M69" s="204">
        <v>0</v>
      </c>
      <c r="N69" s="204">
        <f t="shared" si="1"/>
        <v>0</v>
      </c>
      <c r="O69" s="118" t="s">
        <v>3006</v>
      </c>
      <c r="P69" s="98" t="s">
        <v>837</v>
      </c>
      <c r="Q69" s="119" t="s">
        <v>859</v>
      </c>
      <c r="R69" s="28" t="s">
        <v>824</v>
      </c>
      <c r="S69" s="28" t="s">
        <v>824</v>
      </c>
      <c r="T69" s="28" t="s">
        <v>824</v>
      </c>
      <c r="U69" s="101">
        <v>0</v>
      </c>
    </row>
    <row r="70" spans="1:21" ht="21.75" x14ac:dyDescent="0.25">
      <c r="A70" s="201">
        <v>70</v>
      </c>
      <c r="B70" s="202" t="s">
        <v>821</v>
      </c>
      <c r="C70" s="98" t="s">
        <v>64</v>
      </c>
      <c r="D70" s="203">
        <v>45859</v>
      </c>
      <c r="E70" s="98" t="s">
        <v>669</v>
      </c>
      <c r="F70" s="98" t="s">
        <v>666</v>
      </c>
      <c r="G70" s="98" t="s">
        <v>194</v>
      </c>
      <c r="H70" s="98" t="s">
        <v>709</v>
      </c>
      <c r="I70" s="204">
        <f>_xlfn.XLOOKUP(C70,[1]Hoja1!$A:$A,[1]Hoja1!$C:$C,0)</f>
        <v>85111531</v>
      </c>
      <c r="J70" s="204">
        <v>3188640</v>
      </c>
      <c r="K70" s="204">
        <v>3188640</v>
      </c>
      <c r="L70" s="204">
        <v>1594320</v>
      </c>
      <c r="M70" s="204">
        <v>1594320</v>
      </c>
      <c r="N70" s="204">
        <f t="shared" si="1"/>
        <v>0</v>
      </c>
      <c r="O70" s="118" t="s">
        <v>3006</v>
      </c>
      <c r="P70" s="98" t="s">
        <v>839</v>
      </c>
      <c r="Q70" s="119" t="s">
        <v>860</v>
      </c>
      <c r="R70" s="28" t="s">
        <v>824</v>
      </c>
      <c r="S70" s="28" t="s">
        <v>824</v>
      </c>
      <c r="T70" s="28" t="s">
        <v>824</v>
      </c>
      <c r="U70" s="101">
        <v>0</v>
      </c>
    </row>
    <row r="71" spans="1:21" ht="21.75" x14ac:dyDescent="0.25">
      <c r="A71" s="201">
        <v>71</v>
      </c>
      <c r="B71" s="202" t="s">
        <v>821</v>
      </c>
      <c r="C71" s="98" t="s">
        <v>64</v>
      </c>
      <c r="D71" s="203">
        <v>45859</v>
      </c>
      <c r="E71" s="98" t="s">
        <v>668</v>
      </c>
      <c r="F71" s="98" t="s">
        <v>665</v>
      </c>
      <c r="G71" s="98" t="s">
        <v>230</v>
      </c>
      <c r="H71" s="98" t="s">
        <v>710</v>
      </c>
      <c r="I71" s="204">
        <f>_xlfn.XLOOKUP(C71,[1]Hoja1!$A:$A,[1]Hoja1!$C:$C,0)</f>
        <v>85111531</v>
      </c>
      <c r="J71" s="204">
        <v>71200</v>
      </c>
      <c r="K71" s="204">
        <v>71200</v>
      </c>
      <c r="L71" s="204">
        <v>0</v>
      </c>
      <c r="M71" s="204">
        <v>71200</v>
      </c>
      <c r="N71" s="204">
        <f t="shared" si="1"/>
        <v>0</v>
      </c>
      <c r="O71" s="118" t="s">
        <v>3006</v>
      </c>
      <c r="P71" s="98" t="s">
        <v>837</v>
      </c>
      <c r="Q71" s="119" t="s">
        <v>861</v>
      </c>
      <c r="R71" s="28" t="s">
        <v>824</v>
      </c>
      <c r="S71" s="28" t="s">
        <v>824</v>
      </c>
      <c r="T71" s="28" t="s">
        <v>824</v>
      </c>
      <c r="U71" s="101">
        <v>0</v>
      </c>
    </row>
    <row r="72" spans="1:21" ht="21.75" x14ac:dyDescent="0.25">
      <c r="A72" s="201">
        <v>72</v>
      </c>
      <c r="B72" s="202" t="s">
        <v>821</v>
      </c>
      <c r="C72" s="98" t="s">
        <v>65</v>
      </c>
      <c r="D72" s="203">
        <v>45898</v>
      </c>
      <c r="E72" s="98" t="s">
        <v>825</v>
      </c>
      <c r="F72" s="98" t="s">
        <v>666</v>
      </c>
      <c r="G72" s="98" t="s">
        <v>194</v>
      </c>
      <c r="H72" s="98" t="s">
        <v>711</v>
      </c>
      <c r="I72" s="204">
        <f>_xlfn.XLOOKUP(C72,[1]Hoja1!$A:$A,[1]Hoja1!$C:$C,0)</f>
        <v>8154685</v>
      </c>
      <c r="J72" s="204">
        <v>1195740</v>
      </c>
      <c r="K72" s="204">
        <v>1195740</v>
      </c>
      <c r="L72" s="204">
        <v>398580</v>
      </c>
      <c r="M72" s="204">
        <v>797160</v>
      </c>
      <c r="N72" s="204">
        <f t="shared" si="1"/>
        <v>0</v>
      </c>
      <c r="O72" s="118" t="s">
        <v>3006</v>
      </c>
      <c r="P72" s="98" t="s">
        <v>838</v>
      </c>
      <c r="Q72" s="119" t="s">
        <v>862</v>
      </c>
      <c r="R72" s="28" t="s">
        <v>824</v>
      </c>
      <c r="S72" s="28" t="s">
        <v>824</v>
      </c>
      <c r="T72" s="28" t="s">
        <v>824</v>
      </c>
      <c r="U72" s="101">
        <v>0</v>
      </c>
    </row>
    <row r="73" spans="1:21" ht="21.75" x14ac:dyDescent="0.25">
      <c r="A73" s="201">
        <v>73</v>
      </c>
      <c r="B73" s="202" t="s">
        <v>821</v>
      </c>
      <c r="C73" s="98" t="s">
        <v>66</v>
      </c>
      <c r="D73" s="203">
        <v>45892</v>
      </c>
      <c r="E73" s="98" t="s">
        <v>825</v>
      </c>
      <c r="F73" s="98" t="s">
        <v>666</v>
      </c>
      <c r="G73" s="98" t="s">
        <v>194</v>
      </c>
      <c r="H73" s="98" t="s">
        <v>712</v>
      </c>
      <c r="I73" s="204">
        <f>_xlfn.XLOOKUP(C73,[1]Hoja1!$A:$A,[1]Hoja1!$C:$C,0)</f>
        <v>20232778</v>
      </c>
      <c r="J73" s="204">
        <v>1992900</v>
      </c>
      <c r="K73" s="204">
        <v>1992900</v>
      </c>
      <c r="L73" s="204">
        <v>0</v>
      </c>
      <c r="M73" s="204">
        <v>1992900</v>
      </c>
      <c r="N73" s="204">
        <f t="shared" si="1"/>
        <v>0</v>
      </c>
      <c r="O73" s="118" t="s">
        <v>3006</v>
      </c>
      <c r="P73" s="98" t="s">
        <v>838</v>
      </c>
      <c r="Q73" s="119" t="s">
        <v>863</v>
      </c>
      <c r="R73" s="28" t="s">
        <v>824</v>
      </c>
      <c r="S73" s="28" t="s">
        <v>824</v>
      </c>
      <c r="T73" s="28" t="s">
        <v>824</v>
      </c>
      <c r="U73" s="101">
        <v>0</v>
      </c>
    </row>
    <row r="74" spans="1:21" ht="21.75" x14ac:dyDescent="0.25">
      <c r="A74" s="201">
        <v>74</v>
      </c>
      <c r="B74" s="202" t="s">
        <v>821</v>
      </c>
      <c r="C74" s="98" t="s">
        <v>67</v>
      </c>
      <c r="D74" s="203">
        <v>45912</v>
      </c>
      <c r="E74" s="98" t="s">
        <v>825</v>
      </c>
      <c r="F74" s="98" t="s">
        <v>666</v>
      </c>
      <c r="G74" s="98" t="s">
        <v>283</v>
      </c>
      <c r="H74" s="98" t="s">
        <v>713</v>
      </c>
      <c r="I74" s="204">
        <f>_xlfn.XLOOKUP(C74,[1]Hoja1!$A:$A,[1]Hoja1!$C:$C,0)</f>
        <v>3757260</v>
      </c>
      <c r="J74" s="204">
        <v>79407</v>
      </c>
      <c r="K74" s="204">
        <v>79407</v>
      </c>
      <c r="L74" s="204">
        <v>79407</v>
      </c>
      <c r="M74" s="204">
        <v>0</v>
      </c>
      <c r="N74" s="204">
        <f t="shared" si="1"/>
        <v>0</v>
      </c>
      <c r="O74" s="118" t="s">
        <v>3006</v>
      </c>
      <c r="P74" s="98" t="s">
        <v>838</v>
      </c>
      <c r="Q74" s="119" t="s">
        <v>864</v>
      </c>
      <c r="R74" s="28" t="s">
        <v>824</v>
      </c>
      <c r="S74" s="28" t="s">
        <v>824</v>
      </c>
      <c r="T74" s="28" t="s">
        <v>824</v>
      </c>
      <c r="U74" s="101">
        <v>0</v>
      </c>
    </row>
    <row r="75" spans="1:21" ht="21.75" x14ac:dyDescent="0.25">
      <c r="A75" s="201">
        <v>75</v>
      </c>
      <c r="B75" s="202" t="s">
        <v>821</v>
      </c>
      <c r="C75" s="98" t="s">
        <v>68</v>
      </c>
      <c r="D75" s="203">
        <v>45905</v>
      </c>
      <c r="E75" s="98" t="s">
        <v>825</v>
      </c>
      <c r="F75" s="98" t="s">
        <v>666</v>
      </c>
      <c r="G75" s="98" t="s">
        <v>198</v>
      </c>
      <c r="H75" s="98" t="s">
        <v>714</v>
      </c>
      <c r="I75" s="204">
        <f>_xlfn.XLOOKUP(C75,[1]Hoja1!$A:$A,[1]Hoja1!$C:$C,0)</f>
        <v>3190379</v>
      </c>
      <c r="J75" s="204">
        <v>76988</v>
      </c>
      <c r="K75" s="204">
        <v>76988</v>
      </c>
      <c r="L75" s="204">
        <v>0</v>
      </c>
      <c r="M75" s="204">
        <v>76988</v>
      </c>
      <c r="N75" s="204">
        <f t="shared" si="1"/>
        <v>0</v>
      </c>
      <c r="O75" s="118" t="s">
        <v>3006</v>
      </c>
      <c r="P75" s="98" t="s">
        <v>838</v>
      </c>
      <c r="Q75" s="119" t="s">
        <v>865</v>
      </c>
      <c r="R75" s="28" t="s">
        <v>824</v>
      </c>
      <c r="S75" s="28" t="s">
        <v>824</v>
      </c>
      <c r="T75" s="28" t="s">
        <v>824</v>
      </c>
      <c r="U75" s="101">
        <v>0</v>
      </c>
    </row>
    <row r="76" spans="1:21" ht="21.75" x14ac:dyDescent="0.25">
      <c r="A76" s="201">
        <v>76</v>
      </c>
      <c r="B76" s="202" t="s">
        <v>821</v>
      </c>
      <c r="C76" s="98" t="s">
        <v>69</v>
      </c>
      <c r="D76" s="203">
        <v>45910</v>
      </c>
      <c r="E76" s="98" t="s">
        <v>825</v>
      </c>
      <c r="F76" s="98" t="s">
        <v>666</v>
      </c>
      <c r="G76" s="98" t="s">
        <v>241</v>
      </c>
      <c r="H76" s="98" t="s">
        <v>715</v>
      </c>
      <c r="I76" s="204">
        <f>_xlfn.XLOOKUP(C76,[1]Hoja1!$A:$A,[1]Hoja1!$C:$C,0)</f>
        <v>20627343</v>
      </c>
      <c r="J76" s="204">
        <v>108024</v>
      </c>
      <c r="K76" s="204">
        <v>108024</v>
      </c>
      <c r="L76" s="204">
        <v>108024</v>
      </c>
      <c r="M76" s="204">
        <v>0</v>
      </c>
      <c r="N76" s="204">
        <f t="shared" si="1"/>
        <v>0</v>
      </c>
      <c r="O76" s="118" t="s">
        <v>3006</v>
      </c>
      <c r="P76" s="98" t="s">
        <v>838</v>
      </c>
      <c r="Q76" s="119" t="s">
        <v>866</v>
      </c>
      <c r="R76" s="28" t="s">
        <v>824</v>
      </c>
      <c r="S76" s="28" t="s">
        <v>824</v>
      </c>
      <c r="T76" s="28" t="s">
        <v>824</v>
      </c>
      <c r="U76" s="101">
        <v>0</v>
      </c>
    </row>
    <row r="77" spans="1:21" ht="21.75" x14ac:dyDescent="0.25">
      <c r="A77" s="201">
        <v>77</v>
      </c>
      <c r="B77" s="202" t="s">
        <v>821</v>
      </c>
      <c r="C77" s="98" t="s">
        <v>69</v>
      </c>
      <c r="D77" s="203">
        <v>45910</v>
      </c>
      <c r="E77" s="98" t="s">
        <v>825</v>
      </c>
      <c r="F77" s="98" t="s">
        <v>666</v>
      </c>
      <c r="G77" s="98" t="s">
        <v>194</v>
      </c>
      <c r="H77" s="98" t="s">
        <v>716</v>
      </c>
      <c r="I77" s="204">
        <f>_xlfn.XLOOKUP(C77,[1]Hoja1!$A:$A,[1]Hoja1!$C:$C,0)</f>
        <v>20627343</v>
      </c>
      <c r="J77" s="204">
        <v>2003145</v>
      </c>
      <c r="K77" s="204">
        <v>2003145</v>
      </c>
      <c r="L77" s="204">
        <v>0</v>
      </c>
      <c r="M77" s="204">
        <v>2003145</v>
      </c>
      <c r="N77" s="204">
        <f t="shared" si="1"/>
        <v>0</v>
      </c>
      <c r="O77" s="118" t="s">
        <v>3006</v>
      </c>
      <c r="P77" s="98" t="s">
        <v>838</v>
      </c>
      <c r="Q77" s="119" t="s">
        <v>866</v>
      </c>
      <c r="R77" s="28" t="s">
        <v>824</v>
      </c>
      <c r="S77" s="28" t="s">
        <v>824</v>
      </c>
      <c r="T77" s="28" t="s">
        <v>824</v>
      </c>
      <c r="U77" s="101">
        <v>0</v>
      </c>
    </row>
    <row r="78" spans="1:21" ht="21.75" x14ac:dyDescent="0.25">
      <c r="A78" s="201">
        <v>78</v>
      </c>
      <c r="B78" s="202" t="s">
        <v>821</v>
      </c>
      <c r="C78" s="98" t="s">
        <v>70</v>
      </c>
      <c r="D78" s="203">
        <v>45912</v>
      </c>
      <c r="E78" s="98" t="s">
        <v>668</v>
      </c>
      <c r="F78" s="98" t="s">
        <v>664</v>
      </c>
      <c r="G78" s="98" t="s">
        <v>201</v>
      </c>
      <c r="H78" s="98" t="s">
        <v>717</v>
      </c>
      <c r="I78" s="204">
        <f>_xlfn.XLOOKUP(C78,[1]Hoja1!$A:$A,[1]Hoja1!$C:$C,0)</f>
        <v>55315347</v>
      </c>
      <c r="J78" s="204">
        <v>8223317</v>
      </c>
      <c r="K78" s="204">
        <v>8223317</v>
      </c>
      <c r="L78" s="204">
        <v>0</v>
      </c>
      <c r="M78" s="204">
        <v>8223317</v>
      </c>
      <c r="N78" s="204">
        <f t="shared" si="1"/>
        <v>0</v>
      </c>
      <c r="O78" s="118" t="s">
        <v>3006</v>
      </c>
      <c r="P78" s="98" t="s">
        <v>837</v>
      </c>
      <c r="Q78" s="119" t="s">
        <v>840</v>
      </c>
      <c r="R78" s="28" t="s">
        <v>824</v>
      </c>
      <c r="S78" s="28" t="s">
        <v>824</v>
      </c>
      <c r="T78" s="28" t="s">
        <v>824</v>
      </c>
      <c r="U78" s="101">
        <v>0</v>
      </c>
    </row>
    <row r="79" spans="1:21" ht="21.75" x14ac:dyDescent="0.25">
      <c r="A79" s="201">
        <v>79</v>
      </c>
      <c r="B79" s="202" t="s">
        <v>821</v>
      </c>
      <c r="C79" s="98" t="s">
        <v>70</v>
      </c>
      <c r="D79" s="203">
        <v>45912</v>
      </c>
      <c r="E79" s="98" t="s">
        <v>668</v>
      </c>
      <c r="F79" s="98" t="s">
        <v>664</v>
      </c>
      <c r="G79" s="98" t="s">
        <v>201</v>
      </c>
      <c r="H79" s="98" t="s">
        <v>718</v>
      </c>
      <c r="I79" s="204">
        <f>_xlfn.XLOOKUP(C79,[1]Hoja1!$A:$A,[1]Hoja1!$C:$C,0)</f>
        <v>55315347</v>
      </c>
      <c r="J79" s="204">
        <v>2387410</v>
      </c>
      <c r="K79" s="204">
        <v>2387410</v>
      </c>
      <c r="L79" s="204">
        <v>0</v>
      </c>
      <c r="M79" s="204">
        <v>2387410</v>
      </c>
      <c r="N79" s="204">
        <f t="shared" si="1"/>
        <v>0</v>
      </c>
      <c r="O79" s="118" t="s">
        <v>3006</v>
      </c>
      <c r="P79" s="98" t="s">
        <v>837</v>
      </c>
      <c r="Q79" s="119" t="s">
        <v>840</v>
      </c>
      <c r="R79" s="28" t="s">
        <v>824</v>
      </c>
      <c r="S79" s="28" t="s">
        <v>824</v>
      </c>
      <c r="T79" s="28" t="s">
        <v>824</v>
      </c>
      <c r="U79" s="101">
        <v>0</v>
      </c>
    </row>
    <row r="80" spans="1:21" ht="21.75" x14ac:dyDescent="0.25">
      <c r="A80" s="201">
        <v>80</v>
      </c>
      <c r="B80" s="202" t="s">
        <v>821</v>
      </c>
      <c r="C80" s="98" t="s">
        <v>70</v>
      </c>
      <c r="D80" s="203">
        <v>45912</v>
      </c>
      <c r="E80" s="98" t="s">
        <v>668</v>
      </c>
      <c r="F80" s="98" t="s">
        <v>664</v>
      </c>
      <c r="G80" s="98" t="s">
        <v>201</v>
      </c>
      <c r="H80" s="98" t="s">
        <v>719</v>
      </c>
      <c r="I80" s="204">
        <f>_xlfn.XLOOKUP(C80,[1]Hoja1!$A:$A,[1]Hoja1!$C:$C,0)</f>
        <v>55315347</v>
      </c>
      <c r="J80" s="204">
        <v>1207837</v>
      </c>
      <c r="K80" s="204">
        <v>1207837</v>
      </c>
      <c r="L80" s="204">
        <v>0</v>
      </c>
      <c r="M80" s="204">
        <v>1207837</v>
      </c>
      <c r="N80" s="204">
        <f t="shared" si="1"/>
        <v>0</v>
      </c>
      <c r="O80" s="118" t="s">
        <v>3006</v>
      </c>
      <c r="P80" s="98" t="s">
        <v>837</v>
      </c>
      <c r="Q80" s="119" t="s">
        <v>840</v>
      </c>
      <c r="R80" s="28" t="s">
        <v>824</v>
      </c>
      <c r="S80" s="28" t="s">
        <v>824</v>
      </c>
      <c r="T80" s="28" t="s">
        <v>824</v>
      </c>
      <c r="U80" s="101">
        <v>0</v>
      </c>
    </row>
    <row r="81" spans="1:21" ht="21.75" x14ac:dyDescent="0.25">
      <c r="A81" s="201">
        <v>81</v>
      </c>
      <c r="B81" s="202" t="s">
        <v>821</v>
      </c>
      <c r="C81" s="98" t="s">
        <v>71</v>
      </c>
      <c r="D81" s="203">
        <v>45904</v>
      </c>
      <c r="E81" s="98" t="s">
        <v>825</v>
      </c>
      <c r="F81" s="98" t="s">
        <v>666</v>
      </c>
      <c r="G81" s="98" t="s">
        <v>194</v>
      </c>
      <c r="H81" s="98" t="s">
        <v>720</v>
      </c>
      <c r="I81" s="204">
        <f>_xlfn.XLOOKUP(C81,[1]Hoja1!$A:$A,[1]Hoja1!$C:$C,0)</f>
        <v>2518999</v>
      </c>
      <c r="J81" s="204">
        <v>797160</v>
      </c>
      <c r="K81" s="204">
        <v>797160</v>
      </c>
      <c r="L81" s="204">
        <v>797160</v>
      </c>
      <c r="M81" s="204">
        <v>0</v>
      </c>
      <c r="N81" s="204">
        <f t="shared" si="1"/>
        <v>0</v>
      </c>
      <c r="O81" s="118" t="s">
        <v>3006</v>
      </c>
      <c r="P81" s="98" t="s">
        <v>838</v>
      </c>
      <c r="Q81" s="119" t="s">
        <v>867</v>
      </c>
      <c r="R81" s="28" t="s">
        <v>824</v>
      </c>
      <c r="S81" s="28" t="s">
        <v>824</v>
      </c>
      <c r="T81" s="28" t="s">
        <v>824</v>
      </c>
      <c r="U81" s="101">
        <v>0</v>
      </c>
    </row>
    <row r="82" spans="1:21" ht="21.75" x14ac:dyDescent="0.25">
      <c r="A82" s="201">
        <v>82</v>
      </c>
      <c r="B82" s="202" t="s">
        <v>821</v>
      </c>
      <c r="C82" s="98" t="s">
        <v>71</v>
      </c>
      <c r="D82" s="203">
        <v>45904</v>
      </c>
      <c r="E82" s="98" t="s">
        <v>825</v>
      </c>
      <c r="F82" s="98" t="s">
        <v>666</v>
      </c>
      <c r="G82" s="98" t="s">
        <v>194</v>
      </c>
      <c r="H82" s="98" t="s">
        <v>720</v>
      </c>
      <c r="I82" s="204">
        <f>_xlfn.XLOOKUP(C82,[1]Hoja1!$A:$A,[1]Hoja1!$C:$C,0)</f>
        <v>2518999</v>
      </c>
      <c r="J82" s="204">
        <v>398580</v>
      </c>
      <c r="K82" s="204">
        <v>398580</v>
      </c>
      <c r="L82" s="204">
        <v>398580</v>
      </c>
      <c r="M82" s="204">
        <v>0</v>
      </c>
      <c r="N82" s="204">
        <f t="shared" si="1"/>
        <v>0</v>
      </c>
      <c r="O82" s="118" t="s">
        <v>3006</v>
      </c>
      <c r="P82" s="98" t="s">
        <v>838</v>
      </c>
      <c r="Q82" s="119" t="s">
        <v>867</v>
      </c>
      <c r="R82" s="28" t="s">
        <v>824</v>
      </c>
      <c r="S82" s="28" t="s">
        <v>824</v>
      </c>
      <c r="T82" s="28" t="s">
        <v>824</v>
      </c>
      <c r="U82" s="101">
        <v>0</v>
      </c>
    </row>
    <row r="83" spans="1:21" ht="21.75" x14ac:dyDescent="0.25">
      <c r="A83" s="201">
        <v>83</v>
      </c>
      <c r="B83" s="202" t="s">
        <v>821</v>
      </c>
      <c r="C83" s="98" t="s">
        <v>72</v>
      </c>
      <c r="D83" s="203">
        <v>45913</v>
      </c>
      <c r="E83" s="98" t="s">
        <v>825</v>
      </c>
      <c r="F83" s="98" t="s">
        <v>666</v>
      </c>
      <c r="G83" s="98" t="s">
        <v>224</v>
      </c>
      <c r="H83" s="98" t="s">
        <v>721</v>
      </c>
      <c r="I83" s="204">
        <f>_xlfn.XLOOKUP(C83,[1]Hoja1!$A:$A,[1]Hoja1!$C:$C,0)</f>
        <v>4170179</v>
      </c>
      <c r="J83" s="204">
        <v>42800</v>
      </c>
      <c r="K83" s="204">
        <v>42800</v>
      </c>
      <c r="L83" s="204">
        <v>42800</v>
      </c>
      <c r="M83" s="204">
        <v>0</v>
      </c>
      <c r="N83" s="204">
        <f t="shared" si="1"/>
        <v>0</v>
      </c>
      <c r="O83" s="118" t="s">
        <v>3006</v>
      </c>
      <c r="P83" s="98" t="s">
        <v>838</v>
      </c>
      <c r="Q83" s="119" t="s">
        <v>868</v>
      </c>
      <c r="R83" s="28" t="s">
        <v>824</v>
      </c>
      <c r="S83" s="28" t="s">
        <v>824</v>
      </c>
      <c r="T83" s="28" t="s">
        <v>824</v>
      </c>
      <c r="U83" s="101">
        <v>0</v>
      </c>
    </row>
    <row r="84" spans="1:21" ht="21.75" x14ac:dyDescent="0.25">
      <c r="A84" s="201">
        <v>84</v>
      </c>
      <c r="B84" s="202" t="s">
        <v>821</v>
      </c>
      <c r="C84" s="98" t="s">
        <v>73</v>
      </c>
      <c r="D84" s="203">
        <v>45890</v>
      </c>
      <c r="E84" s="98" t="s">
        <v>668</v>
      </c>
      <c r="F84" s="98" t="s">
        <v>665</v>
      </c>
      <c r="G84" s="98" t="s">
        <v>309</v>
      </c>
      <c r="H84" s="98" t="s">
        <v>722</v>
      </c>
      <c r="I84" s="204">
        <f>_xlfn.XLOOKUP(C84,[1]Hoja1!$A:$A,[1]Hoja1!$C:$C,0)</f>
        <v>33560952</v>
      </c>
      <c r="J84" s="204">
        <v>895120</v>
      </c>
      <c r="K84" s="204">
        <v>895120</v>
      </c>
      <c r="L84" s="204">
        <v>895120</v>
      </c>
      <c r="M84" s="204">
        <v>0</v>
      </c>
      <c r="N84" s="204">
        <f t="shared" si="1"/>
        <v>0</v>
      </c>
      <c r="O84" s="118" t="s">
        <v>3006</v>
      </c>
      <c r="P84" s="98" t="s">
        <v>837</v>
      </c>
      <c r="Q84" s="119" t="s">
        <v>846</v>
      </c>
      <c r="R84" s="28" t="s">
        <v>824</v>
      </c>
      <c r="S84" s="28" t="s">
        <v>824</v>
      </c>
      <c r="T84" s="28" t="s">
        <v>824</v>
      </c>
      <c r="U84" s="101">
        <v>0</v>
      </c>
    </row>
    <row r="85" spans="1:21" ht="21.75" x14ac:dyDescent="0.25">
      <c r="A85" s="201">
        <v>85</v>
      </c>
      <c r="B85" s="202" t="s">
        <v>821</v>
      </c>
      <c r="C85" s="98" t="s">
        <v>74</v>
      </c>
      <c r="D85" s="203">
        <v>45897</v>
      </c>
      <c r="E85" s="98" t="s">
        <v>825</v>
      </c>
      <c r="F85" s="98" t="s">
        <v>666</v>
      </c>
      <c r="G85" s="98" t="s">
        <v>194</v>
      </c>
      <c r="H85" s="98" t="s">
        <v>723</v>
      </c>
      <c r="I85" s="204">
        <f>_xlfn.XLOOKUP(C85,[1]Hoja1!$A:$A,[1]Hoja1!$C:$C,0)</f>
        <v>62123956</v>
      </c>
      <c r="J85" s="204">
        <v>679300</v>
      </c>
      <c r="K85" s="204">
        <v>679300</v>
      </c>
      <c r="L85" s="204">
        <v>0</v>
      </c>
      <c r="M85" s="204">
        <v>679300</v>
      </c>
      <c r="N85" s="204">
        <f t="shared" si="1"/>
        <v>0</v>
      </c>
      <c r="O85" s="118" t="s">
        <v>3006</v>
      </c>
      <c r="P85" s="98" t="s">
        <v>838</v>
      </c>
      <c r="Q85" s="119" t="s">
        <v>869</v>
      </c>
      <c r="R85" s="28" t="s">
        <v>824</v>
      </c>
      <c r="S85" s="28" t="s">
        <v>824</v>
      </c>
      <c r="T85" s="28" t="s">
        <v>824</v>
      </c>
      <c r="U85" s="101">
        <v>0</v>
      </c>
    </row>
    <row r="86" spans="1:21" ht="21.75" x14ac:dyDescent="0.25">
      <c r="A86" s="201">
        <v>86</v>
      </c>
      <c r="B86" s="202" t="s">
        <v>821</v>
      </c>
      <c r="C86" s="98" t="s">
        <v>75</v>
      </c>
      <c r="D86" s="203">
        <v>45909</v>
      </c>
      <c r="E86" s="98" t="s">
        <v>668</v>
      </c>
      <c r="F86" s="98" t="s">
        <v>665</v>
      </c>
      <c r="G86" s="98" t="s">
        <v>309</v>
      </c>
      <c r="H86" s="98" t="s">
        <v>724</v>
      </c>
      <c r="I86" s="204">
        <f>_xlfn.XLOOKUP(C86,[1]Hoja1!$A:$A,[1]Hoja1!$C:$C,0)</f>
        <v>22099428</v>
      </c>
      <c r="J86" s="204">
        <v>241500</v>
      </c>
      <c r="K86" s="204">
        <v>241500</v>
      </c>
      <c r="L86" s="204">
        <v>53340</v>
      </c>
      <c r="M86" s="204">
        <v>188160</v>
      </c>
      <c r="N86" s="204">
        <f t="shared" si="1"/>
        <v>0</v>
      </c>
      <c r="O86" s="118" t="s">
        <v>3006</v>
      </c>
      <c r="P86" s="98" t="s">
        <v>837</v>
      </c>
      <c r="Q86" s="119" t="s">
        <v>870</v>
      </c>
      <c r="R86" s="28" t="s">
        <v>824</v>
      </c>
      <c r="S86" s="28" t="s">
        <v>824</v>
      </c>
      <c r="T86" s="28" t="s">
        <v>824</v>
      </c>
      <c r="U86" s="101">
        <v>0</v>
      </c>
    </row>
    <row r="87" spans="1:21" ht="21.75" x14ac:dyDescent="0.25">
      <c r="A87" s="201">
        <v>87</v>
      </c>
      <c r="B87" s="202" t="s">
        <v>821</v>
      </c>
      <c r="C87" s="98" t="s">
        <v>75</v>
      </c>
      <c r="D87" s="203">
        <v>45909</v>
      </c>
      <c r="E87" s="98" t="s">
        <v>668</v>
      </c>
      <c r="F87" s="98" t="s">
        <v>665</v>
      </c>
      <c r="G87" s="98" t="s">
        <v>309</v>
      </c>
      <c r="H87" s="98" t="s">
        <v>725</v>
      </c>
      <c r="I87" s="204">
        <f>_xlfn.XLOOKUP(C87,[1]Hoja1!$A:$A,[1]Hoja1!$C:$C,0)</f>
        <v>22099428</v>
      </c>
      <c r="J87" s="204">
        <v>362900</v>
      </c>
      <c r="K87" s="204">
        <v>362900</v>
      </c>
      <c r="L87" s="204">
        <v>79940</v>
      </c>
      <c r="M87" s="204">
        <v>282960</v>
      </c>
      <c r="N87" s="204">
        <f t="shared" si="1"/>
        <v>0</v>
      </c>
      <c r="O87" s="118" t="s">
        <v>3006</v>
      </c>
      <c r="P87" s="98" t="s">
        <v>837</v>
      </c>
      <c r="Q87" s="119" t="s">
        <v>870</v>
      </c>
      <c r="R87" s="28" t="s">
        <v>824</v>
      </c>
      <c r="S87" s="28" t="s">
        <v>824</v>
      </c>
      <c r="T87" s="28" t="s">
        <v>824</v>
      </c>
      <c r="U87" s="101">
        <v>0</v>
      </c>
    </row>
    <row r="88" spans="1:21" ht="21.75" x14ac:dyDescent="0.25">
      <c r="A88" s="201">
        <v>88</v>
      </c>
      <c r="B88" s="202" t="s">
        <v>821</v>
      </c>
      <c r="C88" s="98" t="s">
        <v>75</v>
      </c>
      <c r="D88" s="203">
        <v>45909</v>
      </c>
      <c r="E88" s="98" t="s">
        <v>668</v>
      </c>
      <c r="F88" s="98" t="s">
        <v>665</v>
      </c>
      <c r="G88" s="98" t="s">
        <v>309</v>
      </c>
      <c r="H88" s="98" t="s">
        <v>726</v>
      </c>
      <c r="I88" s="204">
        <f>_xlfn.XLOOKUP(C88,[1]Hoja1!$A:$A,[1]Hoja1!$C:$C,0)</f>
        <v>22099428</v>
      </c>
      <c r="J88" s="204">
        <v>3860500</v>
      </c>
      <c r="K88" s="204">
        <v>3860500</v>
      </c>
      <c r="L88" s="204">
        <v>617860</v>
      </c>
      <c r="M88" s="204">
        <v>3242640</v>
      </c>
      <c r="N88" s="204">
        <f t="shared" si="1"/>
        <v>0</v>
      </c>
      <c r="O88" s="118" t="s">
        <v>3006</v>
      </c>
      <c r="P88" s="98" t="s">
        <v>837</v>
      </c>
      <c r="Q88" s="119" t="s">
        <v>870</v>
      </c>
      <c r="R88" s="28" t="s">
        <v>824</v>
      </c>
      <c r="S88" s="28" t="s">
        <v>824</v>
      </c>
      <c r="T88" s="28" t="s">
        <v>824</v>
      </c>
      <c r="U88" s="101">
        <v>0</v>
      </c>
    </row>
    <row r="89" spans="1:21" ht="21.75" x14ac:dyDescent="0.25">
      <c r="A89" s="201">
        <v>89</v>
      </c>
      <c r="B89" s="202" t="s">
        <v>821</v>
      </c>
      <c r="C89" s="98" t="s">
        <v>75</v>
      </c>
      <c r="D89" s="203">
        <v>45909</v>
      </c>
      <c r="E89" s="98" t="s">
        <v>668</v>
      </c>
      <c r="F89" s="98" t="s">
        <v>665</v>
      </c>
      <c r="G89" s="98" t="s">
        <v>309</v>
      </c>
      <c r="H89" s="98" t="s">
        <v>727</v>
      </c>
      <c r="I89" s="204">
        <f>_xlfn.XLOOKUP(C89,[1]Hoja1!$A:$A,[1]Hoja1!$C:$C,0)</f>
        <v>22099428</v>
      </c>
      <c r="J89" s="204">
        <v>966000</v>
      </c>
      <c r="K89" s="204">
        <v>966000</v>
      </c>
      <c r="L89" s="204">
        <v>213360</v>
      </c>
      <c r="M89" s="204">
        <v>752640</v>
      </c>
      <c r="N89" s="204">
        <f t="shared" si="1"/>
        <v>0</v>
      </c>
      <c r="O89" s="118" t="s">
        <v>3006</v>
      </c>
      <c r="P89" s="98" t="s">
        <v>837</v>
      </c>
      <c r="Q89" s="119" t="s">
        <v>870</v>
      </c>
      <c r="R89" s="28" t="s">
        <v>824</v>
      </c>
      <c r="S89" s="28" t="s">
        <v>824</v>
      </c>
      <c r="T89" s="28" t="s">
        <v>824</v>
      </c>
      <c r="U89" s="101">
        <v>0</v>
      </c>
    </row>
    <row r="90" spans="1:21" ht="21.75" x14ac:dyDescent="0.25">
      <c r="A90" s="201">
        <v>90</v>
      </c>
      <c r="B90" s="202" t="s">
        <v>821</v>
      </c>
      <c r="C90" s="98" t="s">
        <v>75</v>
      </c>
      <c r="D90" s="203">
        <v>45909</v>
      </c>
      <c r="E90" s="98" t="s">
        <v>668</v>
      </c>
      <c r="F90" s="98" t="s">
        <v>665</v>
      </c>
      <c r="G90" s="98" t="s">
        <v>309</v>
      </c>
      <c r="H90" s="98" t="s">
        <v>728</v>
      </c>
      <c r="I90" s="204">
        <f>_xlfn.XLOOKUP(C90,[1]Hoja1!$A:$A,[1]Hoja1!$C:$C,0)</f>
        <v>22099428</v>
      </c>
      <c r="J90" s="204">
        <v>1131200</v>
      </c>
      <c r="K90" s="204">
        <v>1131200</v>
      </c>
      <c r="L90" s="204">
        <v>248840</v>
      </c>
      <c r="M90" s="204">
        <v>882360</v>
      </c>
      <c r="N90" s="204">
        <f t="shared" si="1"/>
        <v>0</v>
      </c>
      <c r="O90" s="118" t="s">
        <v>3006</v>
      </c>
      <c r="P90" s="98" t="s">
        <v>837</v>
      </c>
      <c r="Q90" s="119" t="s">
        <v>870</v>
      </c>
      <c r="R90" s="28" t="s">
        <v>824</v>
      </c>
      <c r="S90" s="28" t="s">
        <v>824</v>
      </c>
      <c r="T90" s="28" t="s">
        <v>824</v>
      </c>
      <c r="U90" s="101">
        <v>0</v>
      </c>
    </row>
    <row r="91" spans="1:21" ht="21.75" x14ac:dyDescent="0.25">
      <c r="A91" s="201">
        <v>91</v>
      </c>
      <c r="B91" s="202" t="s">
        <v>821</v>
      </c>
      <c r="C91" s="98" t="s">
        <v>75</v>
      </c>
      <c r="D91" s="203">
        <v>45909</v>
      </c>
      <c r="E91" s="98" t="s">
        <v>668</v>
      </c>
      <c r="F91" s="98" t="s">
        <v>665</v>
      </c>
      <c r="G91" s="98" t="s">
        <v>309</v>
      </c>
      <c r="H91" s="98" t="s">
        <v>729</v>
      </c>
      <c r="I91" s="204">
        <f>_xlfn.XLOOKUP(C91,[1]Hoja1!$A:$A,[1]Hoja1!$C:$C,0)</f>
        <v>22099428</v>
      </c>
      <c r="J91" s="204">
        <v>3475900</v>
      </c>
      <c r="K91" s="204">
        <v>3475900</v>
      </c>
      <c r="L91" s="204">
        <v>556420</v>
      </c>
      <c r="M91" s="204">
        <v>2919480</v>
      </c>
      <c r="N91" s="204">
        <f t="shared" si="1"/>
        <v>0</v>
      </c>
      <c r="O91" s="118" t="s">
        <v>3006</v>
      </c>
      <c r="P91" s="98" t="s">
        <v>837</v>
      </c>
      <c r="Q91" s="119" t="s">
        <v>870</v>
      </c>
      <c r="R91" s="28" t="s">
        <v>824</v>
      </c>
      <c r="S91" s="28" t="s">
        <v>824</v>
      </c>
      <c r="T91" s="28" t="s">
        <v>824</v>
      </c>
      <c r="U91" s="101">
        <v>0</v>
      </c>
    </row>
    <row r="92" spans="1:21" ht="21.75" x14ac:dyDescent="0.25">
      <c r="A92" s="201">
        <v>92</v>
      </c>
      <c r="B92" s="202" t="s">
        <v>821</v>
      </c>
      <c r="C92" s="98" t="s">
        <v>75</v>
      </c>
      <c r="D92" s="203">
        <v>45909</v>
      </c>
      <c r="E92" s="98" t="s">
        <v>668</v>
      </c>
      <c r="F92" s="98" t="s">
        <v>665</v>
      </c>
      <c r="G92" s="98" t="s">
        <v>309</v>
      </c>
      <c r="H92" s="98" t="s">
        <v>730</v>
      </c>
      <c r="I92" s="204">
        <f>_xlfn.XLOOKUP(C92,[1]Hoja1!$A:$A,[1]Hoja1!$C:$C,0)</f>
        <v>22099428</v>
      </c>
      <c r="J92" s="204">
        <v>5099800</v>
      </c>
      <c r="K92" s="204">
        <v>5099800</v>
      </c>
      <c r="L92" s="204">
        <v>815942</v>
      </c>
      <c r="M92" s="204">
        <v>4283858</v>
      </c>
      <c r="N92" s="204">
        <f t="shared" si="1"/>
        <v>0</v>
      </c>
      <c r="O92" s="118" t="s">
        <v>3006</v>
      </c>
      <c r="P92" s="98" t="s">
        <v>837</v>
      </c>
      <c r="Q92" s="119" t="s">
        <v>870</v>
      </c>
      <c r="R92" s="28" t="s">
        <v>824</v>
      </c>
      <c r="S92" s="28" t="s">
        <v>824</v>
      </c>
      <c r="T92" s="28" t="s">
        <v>824</v>
      </c>
      <c r="U92" s="101">
        <v>0</v>
      </c>
    </row>
    <row r="93" spans="1:21" ht="21.75" x14ac:dyDescent="0.25">
      <c r="A93" s="201">
        <v>93</v>
      </c>
      <c r="B93" s="202" t="s">
        <v>821</v>
      </c>
      <c r="C93" s="98" t="s">
        <v>75</v>
      </c>
      <c r="D93" s="203">
        <v>45909</v>
      </c>
      <c r="E93" s="98" t="s">
        <v>668</v>
      </c>
      <c r="F93" s="98" t="s">
        <v>665</v>
      </c>
      <c r="G93" s="98" t="s">
        <v>309</v>
      </c>
      <c r="H93" s="98" t="s">
        <v>726</v>
      </c>
      <c r="I93" s="204">
        <f>_xlfn.XLOOKUP(C93,[1]Hoja1!$A:$A,[1]Hoja1!$C:$C,0)</f>
        <v>22099428</v>
      </c>
      <c r="J93" s="204">
        <v>3860500</v>
      </c>
      <c r="K93" s="204">
        <v>3860500</v>
      </c>
      <c r="L93" s="204">
        <v>617860</v>
      </c>
      <c r="M93" s="204">
        <v>3242640</v>
      </c>
      <c r="N93" s="204">
        <f t="shared" si="1"/>
        <v>0</v>
      </c>
      <c r="O93" s="118" t="s">
        <v>3006</v>
      </c>
      <c r="P93" s="98" t="s">
        <v>837</v>
      </c>
      <c r="Q93" s="119" t="s">
        <v>870</v>
      </c>
      <c r="R93" s="28" t="s">
        <v>824</v>
      </c>
      <c r="S93" s="28" t="s">
        <v>824</v>
      </c>
      <c r="T93" s="28" t="s">
        <v>824</v>
      </c>
      <c r="U93" s="101">
        <v>0</v>
      </c>
    </row>
    <row r="94" spans="1:21" ht="21.75" x14ac:dyDescent="0.25">
      <c r="A94" s="201">
        <v>94</v>
      </c>
      <c r="B94" s="202" t="s">
        <v>821</v>
      </c>
      <c r="C94" s="98" t="s">
        <v>76</v>
      </c>
      <c r="D94" s="203">
        <v>45913</v>
      </c>
      <c r="E94" s="98" t="s">
        <v>668</v>
      </c>
      <c r="F94" s="98" t="s">
        <v>665</v>
      </c>
      <c r="G94" s="98" t="s">
        <v>190</v>
      </c>
      <c r="H94" s="98" t="s">
        <v>731</v>
      </c>
      <c r="I94" s="204">
        <f>_xlfn.XLOOKUP(C94,[1]Hoja1!$A:$A,[1]Hoja1!$C:$C,0)</f>
        <v>13449931</v>
      </c>
      <c r="J94" s="204">
        <v>398580</v>
      </c>
      <c r="K94" s="204">
        <v>398580</v>
      </c>
      <c r="L94" s="204">
        <v>398580</v>
      </c>
      <c r="M94" s="204">
        <v>0</v>
      </c>
      <c r="N94" s="204">
        <f t="shared" si="1"/>
        <v>0</v>
      </c>
      <c r="O94" s="118" t="s">
        <v>3006</v>
      </c>
      <c r="P94" s="98" t="s">
        <v>837</v>
      </c>
      <c r="Q94" s="119" t="s">
        <v>846</v>
      </c>
      <c r="R94" s="28" t="s">
        <v>824</v>
      </c>
      <c r="S94" s="28" t="s">
        <v>824</v>
      </c>
      <c r="T94" s="28" t="s">
        <v>824</v>
      </c>
      <c r="U94" s="101">
        <v>0</v>
      </c>
    </row>
    <row r="95" spans="1:21" ht="21.75" x14ac:dyDescent="0.25">
      <c r="A95" s="201">
        <v>95</v>
      </c>
      <c r="B95" s="202" t="s">
        <v>821</v>
      </c>
      <c r="C95" s="98" t="s">
        <v>77</v>
      </c>
      <c r="D95" s="203">
        <v>45906</v>
      </c>
      <c r="E95" s="98" t="s">
        <v>668</v>
      </c>
      <c r="F95" s="98" t="s">
        <v>665</v>
      </c>
      <c r="G95" s="98" t="s">
        <v>325</v>
      </c>
      <c r="H95" s="98" t="s">
        <v>732</v>
      </c>
      <c r="I95" s="204">
        <f>_xlfn.XLOOKUP(C95,[1]Hoja1!$A:$A,[1]Hoja1!$C:$C,0)</f>
        <v>62634156</v>
      </c>
      <c r="J95" s="204">
        <v>141000</v>
      </c>
      <c r="K95" s="204">
        <v>141000</v>
      </c>
      <c r="L95" s="204">
        <v>141000</v>
      </c>
      <c r="M95" s="204">
        <v>0</v>
      </c>
      <c r="N95" s="204">
        <f t="shared" si="1"/>
        <v>0</v>
      </c>
      <c r="O95" s="118" t="s">
        <v>3006</v>
      </c>
      <c r="P95" s="98" t="s">
        <v>837</v>
      </c>
      <c r="Q95" s="119" t="s">
        <v>846</v>
      </c>
      <c r="R95" s="28" t="s">
        <v>824</v>
      </c>
      <c r="S95" s="28" t="s">
        <v>824</v>
      </c>
      <c r="T95" s="28" t="s">
        <v>824</v>
      </c>
      <c r="U95" s="101">
        <v>0</v>
      </c>
    </row>
    <row r="96" spans="1:21" ht="21.75" x14ac:dyDescent="0.25">
      <c r="A96" s="201">
        <v>96</v>
      </c>
      <c r="B96" s="202" t="s">
        <v>821</v>
      </c>
      <c r="C96" s="98" t="s">
        <v>77</v>
      </c>
      <c r="D96" s="203">
        <v>45906</v>
      </c>
      <c r="E96" s="98" t="s">
        <v>668</v>
      </c>
      <c r="F96" s="98" t="s">
        <v>665</v>
      </c>
      <c r="G96" s="98" t="s">
        <v>325</v>
      </c>
      <c r="H96" s="98" t="s">
        <v>733</v>
      </c>
      <c r="I96" s="204">
        <f>_xlfn.XLOOKUP(C96,[1]Hoja1!$A:$A,[1]Hoja1!$C:$C,0)</f>
        <v>62634156</v>
      </c>
      <c r="J96" s="204">
        <v>30400</v>
      </c>
      <c r="K96" s="204">
        <v>30400</v>
      </c>
      <c r="L96" s="204">
        <v>0</v>
      </c>
      <c r="M96" s="204">
        <v>30400</v>
      </c>
      <c r="N96" s="204">
        <f t="shared" si="1"/>
        <v>0</v>
      </c>
      <c r="O96" s="118" t="s">
        <v>3006</v>
      </c>
      <c r="P96" s="98" t="s">
        <v>837</v>
      </c>
      <c r="Q96" s="119" t="s">
        <v>871</v>
      </c>
      <c r="R96" s="28" t="s">
        <v>824</v>
      </c>
      <c r="S96" s="28" t="s">
        <v>824</v>
      </c>
      <c r="T96" s="28" t="s">
        <v>824</v>
      </c>
      <c r="U96" s="101">
        <v>0</v>
      </c>
    </row>
    <row r="97" spans="1:21" ht="21.75" x14ac:dyDescent="0.25">
      <c r="A97" s="201">
        <v>97</v>
      </c>
      <c r="B97" s="202" t="s">
        <v>821</v>
      </c>
      <c r="C97" s="98" t="s">
        <v>77</v>
      </c>
      <c r="D97" s="203">
        <v>45906</v>
      </c>
      <c r="E97" s="98" t="s">
        <v>668</v>
      </c>
      <c r="F97" s="98" t="s">
        <v>665</v>
      </c>
      <c r="G97" s="98" t="s">
        <v>325</v>
      </c>
      <c r="H97" s="98" t="s">
        <v>733</v>
      </c>
      <c r="I97" s="204">
        <f>_xlfn.XLOOKUP(C97,[1]Hoja1!$A:$A,[1]Hoja1!$C:$C,0)</f>
        <v>62634156</v>
      </c>
      <c r="J97" s="204">
        <v>30400</v>
      </c>
      <c r="K97" s="204">
        <v>30400</v>
      </c>
      <c r="L97" s="204">
        <v>0</v>
      </c>
      <c r="M97" s="204">
        <v>30400</v>
      </c>
      <c r="N97" s="204">
        <f t="shared" si="1"/>
        <v>0</v>
      </c>
      <c r="O97" s="118" t="s">
        <v>3006</v>
      </c>
      <c r="P97" s="98" t="s">
        <v>837</v>
      </c>
      <c r="Q97" s="119" t="s">
        <v>871</v>
      </c>
      <c r="R97" s="28" t="s">
        <v>824</v>
      </c>
      <c r="S97" s="28" t="s">
        <v>824</v>
      </c>
      <c r="T97" s="28" t="s">
        <v>824</v>
      </c>
      <c r="U97" s="101">
        <v>0</v>
      </c>
    </row>
    <row r="98" spans="1:21" ht="21.75" x14ac:dyDescent="0.25">
      <c r="A98" s="201">
        <v>98</v>
      </c>
      <c r="B98" s="202" t="s">
        <v>821</v>
      </c>
      <c r="C98" s="98" t="s">
        <v>77</v>
      </c>
      <c r="D98" s="203">
        <v>45906</v>
      </c>
      <c r="E98" s="98" t="s">
        <v>668</v>
      </c>
      <c r="F98" s="98" t="s">
        <v>665</v>
      </c>
      <c r="G98" s="98" t="s">
        <v>325</v>
      </c>
      <c r="H98" s="98" t="s">
        <v>733</v>
      </c>
      <c r="I98" s="204">
        <f>_xlfn.XLOOKUP(C98,[1]Hoja1!$A:$A,[1]Hoja1!$C:$C,0)</f>
        <v>62634156</v>
      </c>
      <c r="J98" s="204">
        <v>30400</v>
      </c>
      <c r="K98" s="204">
        <v>30400</v>
      </c>
      <c r="L98" s="204">
        <v>0</v>
      </c>
      <c r="M98" s="204">
        <v>30400</v>
      </c>
      <c r="N98" s="204">
        <f t="shared" si="1"/>
        <v>0</v>
      </c>
      <c r="O98" s="118" t="s">
        <v>3006</v>
      </c>
      <c r="P98" s="98" t="s">
        <v>837</v>
      </c>
      <c r="Q98" s="119" t="s">
        <v>871</v>
      </c>
      <c r="R98" s="28" t="s">
        <v>824</v>
      </c>
      <c r="S98" s="28" t="s">
        <v>824</v>
      </c>
      <c r="T98" s="28" t="s">
        <v>824</v>
      </c>
      <c r="U98" s="101">
        <v>0</v>
      </c>
    </row>
    <row r="99" spans="1:21" ht="21.75" x14ac:dyDescent="0.25">
      <c r="A99" s="201">
        <v>99</v>
      </c>
      <c r="B99" s="202" t="s">
        <v>821</v>
      </c>
      <c r="C99" s="98" t="s">
        <v>78</v>
      </c>
      <c r="D99" s="203">
        <v>45897</v>
      </c>
      <c r="E99" s="98" t="s">
        <v>668</v>
      </c>
      <c r="F99" s="98" t="s">
        <v>664</v>
      </c>
      <c r="G99" s="98" t="s">
        <v>227</v>
      </c>
      <c r="H99" s="98" t="s">
        <v>734</v>
      </c>
      <c r="I99" s="204">
        <f>_xlfn.XLOOKUP(C99,[1]Hoja1!$A:$A,[1]Hoja1!$C:$C,0)</f>
        <v>45083083</v>
      </c>
      <c r="J99" s="204">
        <v>1221600</v>
      </c>
      <c r="K99" s="204">
        <v>1221600</v>
      </c>
      <c r="L99" s="204">
        <v>269040</v>
      </c>
      <c r="M99" s="204">
        <v>952560</v>
      </c>
      <c r="N99" s="204">
        <f t="shared" si="1"/>
        <v>0</v>
      </c>
      <c r="O99" s="118" t="s">
        <v>3006</v>
      </c>
      <c r="P99" s="98" t="s">
        <v>837</v>
      </c>
      <c r="Q99" s="119" t="s">
        <v>872</v>
      </c>
      <c r="R99" s="28" t="s">
        <v>824</v>
      </c>
      <c r="S99" s="28" t="s">
        <v>824</v>
      </c>
      <c r="T99" s="28" t="s">
        <v>824</v>
      </c>
      <c r="U99" s="101">
        <v>0</v>
      </c>
    </row>
    <row r="100" spans="1:21" ht="21.75" x14ac:dyDescent="0.25">
      <c r="A100" s="201">
        <v>100</v>
      </c>
      <c r="B100" s="202" t="s">
        <v>821</v>
      </c>
      <c r="C100" s="98" t="s">
        <v>78</v>
      </c>
      <c r="D100" s="203">
        <v>45897</v>
      </c>
      <c r="E100" s="98" t="s">
        <v>668</v>
      </c>
      <c r="F100" s="98" t="s">
        <v>664</v>
      </c>
      <c r="G100" s="98" t="s">
        <v>227</v>
      </c>
      <c r="H100" s="98" t="s">
        <v>735</v>
      </c>
      <c r="I100" s="204">
        <f>_xlfn.XLOOKUP(C100,[1]Hoja1!$A:$A,[1]Hoja1!$C:$C,0)</f>
        <v>45083083</v>
      </c>
      <c r="J100" s="204">
        <v>3732300</v>
      </c>
      <c r="K100" s="204">
        <v>3732300</v>
      </c>
      <c r="L100" s="204">
        <v>597300</v>
      </c>
      <c r="M100" s="204">
        <v>3135000</v>
      </c>
      <c r="N100" s="204">
        <f t="shared" si="1"/>
        <v>0</v>
      </c>
      <c r="O100" s="118" t="s">
        <v>3006</v>
      </c>
      <c r="P100" s="98" t="s">
        <v>837</v>
      </c>
      <c r="Q100" s="119" t="s">
        <v>872</v>
      </c>
      <c r="R100" s="28" t="s">
        <v>824</v>
      </c>
      <c r="S100" s="28" t="s">
        <v>824</v>
      </c>
      <c r="T100" s="28" t="s">
        <v>824</v>
      </c>
      <c r="U100" s="101">
        <v>0</v>
      </c>
    </row>
    <row r="101" spans="1:21" ht="21.75" x14ac:dyDescent="0.25">
      <c r="A101" s="201">
        <v>101</v>
      </c>
      <c r="B101" s="202" t="s">
        <v>821</v>
      </c>
      <c r="C101" s="98" t="s">
        <v>78</v>
      </c>
      <c r="D101" s="203">
        <v>45897</v>
      </c>
      <c r="E101" s="98" t="s">
        <v>668</v>
      </c>
      <c r="F101" s="98" t="s">
        <v>665</v>
      </c>
      <c r="G101" s="98" t="s">
        <v>321</v>
      </c>
      <c r="H101" s="98" t="s">
        <v>736</v>
      </c>
      <c r="I101" s="204">
        <f>_xlfn.XLOOKUP(C101,[1]Hoja1!$A:$A,[1]Hoja1!$C:$C,0)</f>
        <v>45083083</v>
      </c>
      <c r="J101" s="204">
        <v>14913</v>
      </c>
      <c r="K101" s="204">
        <v>14913</v>
      </c>
      <c r="L101" s="204">
        <v>0</v>
      </c>
      <c r="M101" s="204">
        <v>14913</v>
      </c>
      <c r="N101" s="204">
        <f t="shared" si="1"/>
        <v>0</v>
      </c>
      <c r="O101" s="118" t="s">
        <v>3006</v>
      </c>
      <c r="P101" s="98" t="s">
        <v>837</v>
      </c>
      <c r="Q101" s="119" t="s">
        <v>873</v>
      </c>
      <c r="R101" s="28" t="s">
        <v>824</v>
      </c>
      <c r="S101" s="28" t="s">
        <v>824</v>
      </c>
      <c r="T101" s="28" t="s">
        <v>824</v>
      </c>
      <c r="U101" s="101">
        <v>0</v>
      </c>
    </row>
    <row r="102" spans="1:21" ht="21.75" x14ac:dyDescent="0.25">
      <c r="A102" s="201">
        <v>102</v>
      </c>
      <c r="B102" s="202" t="s">
        <v>821</v>
      </c>
      <c r="C102" s="98" t="s">
        <v>78</v>
      </c>
      <c r="D102" s="203">
        <v>45897</v>
      </c>
      <c r="E102" s="98" t="s">
        <v>668</v>
      </c>
      <c r="F102" s="98" t="s">
        <v>665</v>
      </c>
      <c r="G102" s="98" t="s">
        <v>321</v>
      </c>
      <c r="H102" s="98" t="s">
        <v>736</v>
      </c>
      <c r="I102" s="204">
        <f>_xlfn.XLOOKUP(C102,[1]Hoja1!$A:$A,[1]Hoja1!$C:$C,0)</f>
        <v>45083083</v>
      </c>
      <c r="J102" s="204">
        <v>14913</v>
      </c>
      <c r="K102" s="204">
        <v>14913</v>
      </c>
      <c r="L102" s="204">
        <v>0</v>
      </c>
      <c r="M102" s="204">
        <v>14913</v>
      </c>
      <c r="N102" s="204">
        <f t="shared" si="1"/>
        <v>0</v>
      </c>
      <c r="O102" s="118" t="s">
        <v>3006</v>
      </c>
      <c r="P102" s="98" t="s">
        <v>837</v>
      </c>
      <c r="Q102" s="119" t="s">
        <v>873</v>
      </c>
      <c r="R102" s="28" t="s">
        <v>824</v>
      </c>
      <c r="S102" s="28" t="s">
        <v>824</v>
      </c>
      <c r="T102" s="28" t="s">
        <v>824</v>
      </c>
      <c r="U102" s="101">
        <v>0</v>
      </c>
    </row>
    <row r="103" spans="1:21" ht="21.75" x14ac:dyDescent="0.25">
      <c r="A103" s="201">
        <v>103</v>
      </c>
      <c r="B103" s="202" t="s">
        <v>821</v>
      </c>
      <c r="C103" s="98" t="s">
        <v>78</v>
      </c>
      <c r="D103" s="203">
        <v>45897</v>
      </c>
      <c r="E103" s="98" t="s">
        <v>668</v>
      </c>
      <c r="F103" s="98" t="s">
        <v>665</v>
      </c>
      <c r="G103" s="98" t="s">
        <v>321</v>
      </c>
      <c r="H103" s="98" t="s">
        <v>736</v>
      </c>
      <c r="I103" s="204">
        <f>_xlfn.XLOOKUP(C103,[1]Hoja1!$A:$A,[1]Hoja1!$C:$C,0)</f>
        <v>45083083</v>
      </c>
      <c r="J103" s="204">
        <v>14913</v>
      </c>
      <c r="K103" s="204">
        <v>14913</v>
      </c>
      <c r="L103" s="204">
        <v>0</v>
      </c>
      <c r="M103" s="204">
        <v>14913</v>
      </c>
      <c r="N103" s="204">
        <f t="shared" si="1"/>
        <v>0</v>
      </c>
      <c r="O103" s="118" t="s">
        <v>3006</v>
      </c>
      <c r="P103" s="98" t="s">
        <v>837</v>
      </c>
      <c r="Q103" s="119" t="s">
        <v>873</v>
      </c>
      <c r="R103" s="28" t="s">
        <v>824</v>
      </c>
      <c r="S103" s="28" t="s">
        <v>824</v>
      </c>
      <c r="T103" s="28" t="s">
        <v>824</v>
      </c>
      <c r="U103" s="101">
        <v>0</v>
      </c>
    </row>
    <row r="104" spans="1:21" ht="21.75" x14ac:dyDescent="0.25">
      <c r="A104" s="201">
        <v>104</v>
      </c>
      <c r="B104" s="202" t="s">
        <v>821</v>
      </c>
      <c r="C104" s="98" t="s">
        <v>78</v>
      </c>
      <c r="D104" s="203">
        <v>45897</v>
      </c>
      <c r="E104" s="98" t="s">
        <v>668</v>
      </c>
      <c r="F104" s="98" t="s">
        <v>664</v>
      </c>
      <c r="G104" s="98" t="s">
        <v>227</v>
      </c>
      <c r="H104" s="98" t="s">
        <v>737</v>
      </c>
      <c r="I104" s="204">
        <f>_xlfn.XLOOKUP(C104,[1]Hoja1!$A:$A,[1]Hoja1!$C:$C,0)</f>
        <v>45083083</v>
      </c>
      <c r="J104" s="204">
        <v>1201800</v>
      </c>
      <c r="K104" s="204">
        <v>1201800</v>
      </c>
      <c r="L104" s="204">
        <v>264840</v>
      </c>
      <c r="M104" s="204">
        <v>936960</v>
      </c>
      <c r="N104" s="204">
        <f t="shared" si="1"/>
        <v>0</v>
      </c>
      <c r="O104" s="118" t="s">
        <v>3006</v>
      </c>
      <c r="P104" s="98" t="s">
        <v>837</v>
      </c>
      <c r="Q104" s="119" t="s">
        <v>872</v>
      </c>
      <c r="R104" s="28" t="s">
        <v>824</v>
      </c>
      <c r="S104" s="28" t="s">
        <v>824</v>
      </c>
      <c r="T104" s="28" t="s">
        <v>824</v>
      </c>
      <c r="U104" s="101">
        <v>0</v>
      </c>
    </row>
    <row r="105" spans="1:21" ht="21.75" x14ac:dyDescent="0.25">
      <c r="A105" s="201">
        <v>105</v>
      </c>
      <c r="B105" s="202" t="s">
        <v>821</v>
      </c>
      <c r="C105" s="98" t="s">
        <v>79</v>
      </c>
      <c r="D105" s="203">
        <v>45911</v>
      </c>
      <c r="E105" s="98" t="s">
        <v>668</v>
      </c>
      <c r="F105" s="98" t="s">
        <v>664</v>
      </c>
      <c r="G105" s="98" t="s">
        <v>201</v>
      </c>
      <c r="H105" s="98" t="s">
        <v>738</v>
      </c>
      <c r="I105" s="204">
        <f>_xlfn.XLOOKUP(C105,[1]Hoja1!$A:$A,[1]Hoja1!$C:$C,0)</f>
        <v>13888066</v>
      </c>
      <c r="J105" s="204">
        <v>3644048</v>
      </c>
      <c r="K105" s="204">
        <v>3644048</v>
      </c>
      <c r="L105" s="204">
        <v>0</v>
      </c>
      <c r="M105" s="204">
        <v>3644048</v>
      </c>
      <c r="N105" s="204">
        <f t="shared" si="1"/>
        <v>0</v>
      </c>
      <c r="O105" s="118" t="s">
        <v>3006</v>
      </c>
      <c r="P105" s="98" t="s">
        <v>837</v>
      </c>
      <c r="Q105" s="119" t="s">
        <v>840</v>
      </c>
      <c r="R105" s="28" t="s">
        <v>824</v>
      </c>
      <c r="S105" s="28" t="s">
        <v>824</v>
      </c>
      <c r="T105" s="28" t="s">
        <v>824</v>
      </c>
      <c r="U105" s="101">
        <v>0</v>
      </c>
    </row>
    <row r="106" spans="1:21" ht="21.75" x14ac:dyDescent="0.25">
      <c r="A106" s="201">
        <v>106</v>
      </c>
      <c r="B106" s="202" t="s">
        <v>821</v>
      </c>
      <c r="C106" s="98" t="s">
        <v>79</v>
      </c>
      <c r="D106" s="203">
        <v>45911</v>
      </c>
      <c r="E106" s="98" t="s">
        <v>668</v>
      </c>
      <c r="F106" s="98" t="s">
        <v>665</v>
      </c>
      <c r="G106" s="98" t="s">
        <v>333</v>
      </c>
      <c r="H106" s="98" t="s">
        <v>739</v>
      </c>
      <c r="I106" s="204">
        <f>_xlfn.XLOOKUP(C106,[1]Hoja1!$A:$A,[1]Hoja1!$C:$C,0)</f>
        <v>13888066</v>
      </c>
      <c r="J106" s="204">
        <v>666435</v>
      </c>
      <c r="K106" s="204">
        <v>666435</v>
      </c>
      <c r="L106" s="204">
        <v>0</v>
      </c>
      <c r="M106" s="204">
        <v>666435</v>
      </c>
      <c r="N106" s="204">
        <f t="shared" si="1"/>
        <v>0</v>
      </c>
      <c r="O106" s="118" t="s">
        <v>3006</v>
      </c>
      <c r="P106" s="98" t="s">
        <v>837</v>
      </c>
      <c r="Q106" s="119" t="s">
        <v>874</v>
      </c>
      <c r="R106" s="28" t="s">
        <v>824</v>
      </c>
      <c r="S106" s="28" t="s">
        <v>824</v>
      </c>
      <c r="T106" s="28" t="s">
        <v>824</v>
      </c>
      <c r="U106" s="101">
        <v>0</v>
      </c>
    </row>
    <row r="107" spans="1:21" ht="21.75" x14ac:dyDescent="0.25">
      <c r="A107" s="201">
        <v>107</v>
      </c>
      <c r="B107" s="202" t="s">
        <v>821</v>
      </c>
      <c r="C107" s="98" t="s">
        <v>79</v>
      </c>
      <c r="D107" s="203">
        <v>45911</v>
      </c>
      <c r="E107" s="98" t="s">
        <v>668</v>
      </c>
      <c r="F107" s="98" t="s">
        <v>664</v>
      </c>
      <c r="G107" s="98" t="s">
        <v>212</v>
      </c>
      <c r="H107" s="98" t="s">
        <v>740</v>
      </c>
      <c r="I107" s="204">
        <f>_xlfn.XLOOKUP(C107,[1]Hoja1!$A:$A,[1]Hoja1!$C:$C,0)</f>
        <v>13888066</v>
      </c>
      <c r="J107" s="204">
        <v>2065650</v>
      </c>
      <c r="K107" s="204">
        <v>2065650</v>
      </c>
      <c r="L107" s="204">
        <v>0</v>
      </c>
      <c r="M107" s="204">
        <v>2065650</v>
      </c>
      <c r="N107" s="204">
        <f t="shared" si="1"/>
        <v>0</v>
      </c>
      <c r="O107" s="118" t="s">
        <v>3006</v>
      </c>
      <c r="P107" s="98" t="s">
        <v>837</v>
      </c>
      <c r="Q107" s="119" t="s">
        <v>840</v>
      </c>
      <c r="R107" s="28" t="s">
        <v>824</v>
      </c>
      <c r="S107" s="28" t="s">
        <v>824</v>
      </c>
      <c r="T107" s="28" t="s">
        <v>824</v>
      </c>
      <c r="U107" s="101">
        <v>0</v>
      </c>
    </row>
    <row r="108" spans="1:21" ht="21.75" x14ac:dyDescent="0.25">
      <c r="A108" s="201">
        <v>108</v>
      </c>
      <c r="B108" s="202" t="s">
        <v>821</v>
      </c>
      <c r="C108" s="98" t="s">
        <v>80</v>
      </c>
      <c r="D108" s="203">
        <v>45914</v>
      </c>
      <c r="E108" s="98" t="s">
        <v>668</v>
      </c>
      <c r="F108" s="98" t="s">
        <v>664</v>
      </c>
      <c r="G108" s="98" t="s">
        <v>201</v>
      </c>
      <c r="H108" s="98" t="s">
        <v>741</v>
      </c>
      <c r="I108" s="204">
        <f>_xlfn.XLOOKUP(C108,[1]Hoja1!$A:$A,[1]Hoja1!$C:$C,0)</f>
        <v>34668018</v>
      </c>
      <c r="J108" s="204">
        <v>3757721</v>
      </c>
      <c r="K108" s="204">
        <v>3757721</v>
      </c>
      <c r="L108" s="204">
        <v>0</v>
      </c>
      <c r="M108" s="204">
        <v>3757721</v>
      </c>
      <c r="N108" s="204">
        <f t="shared" si="1"/>
        <v>0</v>
      </c>
      <c r="O108" s="118" t="s">
        <v>3006</v>
      </c>
      <c r="P108" s="98" t="s">
        <v>837</v>
      </c>
      <c r="Q108" s="119" t="s">
        <v>840</v>
      </c>
      <c r="R108" s="28" t="s">
        <v>824</v>
      </c>
      <c r="S108" s="28" t="s">
        <v>824</v>
      </c>
      <c r="T108" s="28" t="s">
        <v>824</v>
      </c>
      <c r="U108" s="101">
        <v>0</v>
      </c>
    </row>
    <row r="109" spans="1:21" ht="21.75" x14ac:dyDescent="0.25">
      <c r="A109" s="201">
        <v>109</v>
      </c>
      <c r="B109" s="202" t="s">
        <v>821</v>
      </c>
      <c r="C109" s="98" t="s">
        <v>80</v>
      </c>
      <c r="D109" s="203">
        <v>45914</v>
      </c>
      <c r="E109" s="98" t="s">
        <v>668</v>
      </c>
      <c r="F109" s="98" t="s">
        <v>667</v>
      </c>
      <c r="G109" s="98" t="s">
        <v>336</v>
      </c>
      <c r="H109" s="98" t="s">
        <v>742</v>
      </c>
      <c r="I109" s="204">
        <f>_xlfn.XLOOKUP(C109,[1]Hoja1!$A:$A,[1]Hoja1!$C:$C,0)</f>
        <v>34668018</v>
      </c>
      <c r="J109" s="204">
        <v>1206000</v>
      </c>
      <c r="K109" s="204">
        <v>1206000</v>
      </c>
      <c r="L109" s="204">
        <v>0</v>
      </c>
      <c r="M109" s="204">
        <v>1206000</v>
      </c>
      <c r="N109" s="204">
        <f t="shared" si="1"/>
        <v>0</v>
      </c>
      <c r="O109" s="118" t="s">
        <v>3006</v>
      </c>
      <c r="P109" s="98" t="s">
        <v>837</v>
      </c>
      <c r="Q109" s="119" t="s">
        <v>875</v>
      </c>
      <c r="R109" s="28" t="s">
        <v>824</v>
      </c>
      <c r="S109" s="28" t="s">
        <v>824</v>
      </c>
      <c r="T109" s="28" t="s">
        <v>824</v>
      </c>
      <c r="U109" s="101">
        <v>0</v>
      </c>
    </row>
    <row r="110" spans="1:21" ht="21.75" x14ac:dyDescent="0.25">
      <c r="A110" s="201">
        <v>110</v>
      </c>
      <c r="B110" s="202" t="s">
        <v>821</v>
      </c>
      <c r="C110" s="98" t="s">
        <v>80</v>
      </c>
      <c r="D110" s="203">
        <v>45914</v>
      </c>
      <c r="E110" s="98" t="s">
        <v>668</v>
      </c>
      <c r="F110" s="98" t="s">
        <v>667</v>
      </c>
      <c r="G110" s="98" t="s">
        <v>336</v>
      </c>
      <c r="H110" s="98" t="s">
        <v>743</v>
      </c>
      <c r="I110" s="204">
        <f>_xlfn.XLOOKUP(C110,[1]Hoja1!$A:$A,[1]Hoja1!$C:$C,0)</f>
        <v>34668018</v>
      </c>
      <c r="J110" s="204">
        <v>804000</v>
      </c>
      <c r="K110" s="204">
        <v>804000</v>
      </c>
      <c r="L110" s="204">
        <v>0</v>
      </c>
      <c r="M110" s="204">
        <v>804000</v>
      </c>
      <c r="N110" s="204">
        <f t="shared" si="1"/>
        <v>0</v>
      </c>
      <c r="O110" s="118" t="s">
        <v>3006</v>
      </c>
      <c r="P110" s="98" t="s">
        <v>837</v>
      </c>
      <c r="Q110" s="119" t="s">
        <v>875</v>
      </c>
      <c r="R110" s="28" t="s">
        <v>824</v>
      </c>
      <c r="S110" s="28" t="s">
        <v>824</v>
      </c>
      <c r="T110" s="28" t="s">
        <v>824</v>
      </c>
      <c r="U110" s="101">
        <v>0</v>
      </c>
    </row>
    <row r="111" spans="1:21" ht="21.75" x14ac:dyDescent="0.25">
      <c r="A111" s="201">
        <v>111</v>
      </c>
      <c r="B111" s="202" t="s">
        <v>821</v>
      </c>
      <c r="C111" s="98" t="s">
        <v>82</v>
      </c>
      <c r="D111" s="203">
        <v>45904</v>
      </c>
      <c r="E111" s="98" t="s">
        <v>668</v>
      </c>
      <c r="F111" s="98" t="s">
        <v>667</v>
      </c>
      <c r="G111" s="98" t="s">
        <v>303</v>
      </c>
      <c r="H111" s="98" t="s">
        <v>744</v>
      </c>
      <c r="I111" s="204">
        <f>_xlfn.XLOOKUP(C111,[1]Hoja1!$A:$A,[1]Hoja1!$C:$C,0)</f>
        <v>26179912</v>
      </c>
      <c r="J111" s="204">
        <v>257185</v>
      </c>
      <c r="K111" s="204">
        <v>257185</v>
      </c>
      <c r="L111" s="204">
        <v>0</v>
      </c>
      <c r="M111" s="204">
        <v>257185</v>
      </c>
      <c r="N111" s="204">
        <f t="shared" si="1"/>
        <v>0</v>
      </c>
      <c r="O111" s="118" t="s">
        <v>3006</v>
      </c>
      <c r="P111" s="98" t="s">
        <v>837</v>
      </c>
      <c r="Q111" s="119" t="s">
        <v>875</v>
      </c>
      <c r="R111" s="28" t="s">
        <v>824</v>
      </c>
      <c r="S111" s="28" t="s">
        <v>824</v>
      </c>
      <c r="T111" s="28" t="s">
        <v>824</v>
      </c>
      <c r="U111" s="101">
        <v>0</v>
      </c>
    </row>
    <row r="112" spans="1:21" ht="21.75" x14ac:dyDescent="0.25">
      <c r="A112" s="201">
        <v>112</v>
      </c>
      <c r="B112" s="202" t="s">
        <v>821</v>
      </c>
      <c r="C112" s="98" t="s">
        <v>82</v>
      </c>
      <c r="D112" s="203">
        <v>45904</v>
      </c>
      <c r="E112" s="98" t="s">
        <v>668</v>
      </c>
      <c r="F112" s="98" t="s">
        <v>667</v>
      </c>
      <c r="G112" s="98" t="s">
        <v>303</v>
      </c>
      <c r="H112" s="98" t="s">
        <v>745</v>
      </c>
      <c r="I112" s="204">
        <f>_xlfn.XLOOKUP(C112,[1]Hoja1!$A:$A,[1]Hoja1!$C:$C,0)</f>
        <v>26179912</v>
      </c>
      <c r="J112" s="204">
        <v>79000</v>
      </c>
      <c r="K112" s="204">
        <v>79000</v>
      </c>
      <c r="L112" s="204">
        <v>0</v>
      </c>
      <c r="M112" s="204">
        <v>79000</v>
      </c>
      <c r="N112" s="204">
        <f t="shared" si="1"/>
        <v>0</v>
      </c>
      <c r="O112" s="118" t="s">
        <v>3006</v>
      </c>
      <c r="P112" s="98" t="s">
        <v>837</v>
      </c>
      <c r="Q112" s="119" t="s">
        <v>875</v>
      </c>
      <c r="R112" s="28" t="s">
        <v>824</v>
      </c>
      <c r="S112" s="28" t="s">
        <v>824</v>
      </c>
      <c r="T112" s="28" t="s">
        <v>824</v>
      </c>
      <c r="U112" s="101">
        <v>0</v>
      </c>
    </row>
    <row r="113" spans="1:21" ht="21.75" x14ac:dyDescent="0.25">
      <c r="A113" s="201">
        <v>113</v>
      </c>
      <c r="B113" s="202" t="s">
        <v>821</v>
      </c>
      <c r="C113" s="98" t="s">
        <v>83</v>
      </c>
      <c r="D113" s="203">
        <v>45882</v>
      </c>
      <c r="E113" s="98" t="s">
        <v>668</v>
      </c>
      <c r="F113" s="98" t="s">
        <v>667</v>
      </c>
      <c r="G113" s="98" t="s">
        <v>336</v>
      </c>
      <c r="H113" s="98" t="s">
        <v>746</v>
      </c>
      <c r="I113" s="204">
        <f>_xlfn.XLOOKUP(C113,[1]Hoja1!$A:$A,[1]Hoja1!$C:$C,0)</f>
        <v>24829939</v>
      </c>
      <c r="J113" s="204">
        <v>961200</v>
      </c>
      <c r="K113" s="204">
        <v>961200</v>
      </c>
      <c r="L113" s="204">
        <v>961200</v>
      </c>
      <c r="M113" s="204">
        <v>0</v>
      </c>
      <c r="N113" s="204">
        <f t="shared" si="1"/>
        <v>0</v>
      </c>
      <c r="O113" s="118" t="s">
        <v>3006</v>
      </c>
      <c r="P113" s="98" t="s">
        <v>837</v>
      </c>
      <c r="Q113" s="119" t="s">
        <v>876</v>
      </c>
      <c r="R113" s="28" t="s">
        <v>824</v>
      </c>
      <c r="S113" s="28" t="s">
        <v>824</v>
      </c>
      <c r="T113" s="28" t="s">
        <v>824</v>
      </c>
      <c r="U113" s="101">
        <v>0</v>
      </c>
    </row>
    <row r="114" spans="1:21" ht="21.75" x14ac:dyDescent="0.25">
      <c r="A114" s="201">
        <v>114</v>
      </c>
      <c r="B114" s="202" t="s">
        <v>821</v>
      </c>
      <c r="C114" s="98" t="s">
        <v>83</v>
      </c>
      <c r="D114" s="203">
        <v>45882</v>
      </c>
      <c r="E114" s="98" t="s">
        <v>669</v>
      </c>
      <c r="F114" s="98" t="s">
        <v>666</v>
      </c>
      <c r="G114" s="98" t="s">
        <v>194</v>
      </c>
      <c r="H114" s="98" t="s">
        <v>747</v>
      </c>
      <c r="I114" s="204">
        <f>_xlfn.XLOOKUP(C114,[1]Hoja1!$A:$A,[1]Hoja1!$C:$C,0)</f>
        <v>24829939</v>
      </c>
      <c r="J114" s="204">
        <v>2777604</v>
      </c>
      <c r="K114" s="204">
        <v>2777604</v>
      </c>
      <c r="L114" s="204">
        <v>2777604</v>
      </c>
      <c r="M114" s="204">
        <v>0</v>
      </c>
      <c r="N114" s="204">
        <f t="shared" si="1"/>
        <v>0</v>
      </c>
      <c r="O114" s="118" t="s">
        <v>3006</v>
      </c>
      <c r="P114" s="98" t="s">
        <v>839</v>
      </c>
      <c r="Q114" s="119" t="s">
        <v>877</v>
      </c>
      <c r="R114" s="28" t="s">
        <v>824</v>
      </c>
      <c r="S114" s="28" t="s">
        <v>824</v>
      </c>
      <c r="T114" s="28" t="s">
        <v>824</v>
      </c>
      <c r="U114" s="101">
        <v>0</v>
      </c>
    </row>
    <row r="115" spans="1:21" ht="21.75" x14ac:dyDescent="0.25">
      <c r="A115" s="201">
        <v>115</v>
      </c>
      <c r="B115" s="202" t="s">
        <v>821</v>
      </c>
      <c r="C115" s="98" t="s">
        <v>84</v>
      </c>
      <c r="D115" s="203">
        <v>45890</v>
      </c>
      <c r="E115" s="98" t="s">
        <v>668</v>
      </c>
      <c r="F115" s="98" t="s">
        <v>664</v>
      </c>
      <c r="G115" s="98" t="s">
        <v>227</v>
      </c>
      <c r="H115" s="98" t="s">
        <v>748</v>
      </c>
      <c r="I115" s="204">
        <f>_xlfn.XLOOKUP(C115,[1]Hoja1!$A:$A,[1]Hoja1!$C:$C,0)</f>
        <v>101352213</v>
      </c>
      <c r="J115" s="204">
        <v>8947000</v>
      </c>
      <c r="K115" s="204">
        <v>8947000</v>
      </c>
      <c r="L115" s="204">
        <v>895120</v>
      </c>
      <c r="M115" s="204">
        <v>8051880</v>
      </c>
      <c r="N115" s="204">
        <f t="shared" si="1"/>
        <v>0</v>
      </c>
      <c r="O115" s="118" t="s">
        <v>3006</v>
      </c>
      <c r="P115" s="98" t="s">
        <v>837</v>
      </c>
      <c r="Q115" s="119" t="s">
        <v>872</v>
      </c>
      <c r="R115" s="28" t="s">
        <v>824</v>
      </c>
      <c r="S115" s="28" t="s">
        <v>824</v>
      </c>
      <c r="T115" s="28" t="s">
        <v>824</v>
      </c>
      <c r="U115" s="101">
        <v>0</v>
      </c>
    </row>
    <row r="116" spans="1:21" ht="21.75" x14ac:dyDescent="0.25">
      <c r="A116" s="201">
        <v>116</v>
      </c>
      <c r="B116" s="202" t="s">
        <v>821</v>
      </c>
      <c r="C116" s="98" t="s">
        <v>84</v>
      </c>
      <c r="D116" s="203">
        <v>45890</v>
      </c>
      <c r="E116" s="98" t="s">
        <v>668</v>
      </c>
      <c r="F116" s="98" t="s">
        <v>664</v>
      </c>
      <c r="G116" s="98" t="s">
        <v>227</v>
      </c>
      <c r="H116" s="98" t="s">
        <v>748</v>
      </c>
      <c r="I116" s="204">
        <f>_xlfn.XLOOKUP(C116,[1]Hoja1!$A:$A,[1]Hoja1!$C:$C,0)</f>
        <v>101352213</v>
      </c>
      <c r="J116" s="204">
        <v>3507245</v>
      </c>
      <c r="K116" s="204">
        <v>3507245</v>
      </c>
      <c r="L116" s="204">
        <v>140289</v>
      </c>
      <c r="M116" s="204">
        <v>3366956</v>
      </c>
      <c r="N116" s="204">
        <f t="shared" si="1"/>
        <v>0</v>
      </c>
      <c r="O116" s="118" t="s">
        <v>3006</v>
      </c>
      <c r="P116" s="98" t="s">
        <v>837</v>
      </c>
      <c r="Q116" s="119" t="s">
        <v>878</v>
      </c>
      <c r="R116" s="28" t="s">
        <v>824</v>
      </c>
      <c r="S116" s="28" t="s">
        <v>824</v>
      </c>
      <c r="T116" s="28" t="s">
        <v>824</v>
      </c>
      <c r="U116" s="101">
        <v>0</v>
      </c>
    </row>
    <row r="117" spans="1:21" ht="21.75" x14ac:dyDescent="0.25">
      <c r="A117" s="201">
        <v>117</v>
      </c>
      <c r="B117" s="202" t="s">
        <v>821</v>
      </c>
      <c r="C117" s="98" t="s">
        <v>84</v>
      </c>
      <c r="D117" s="203">
        <v>45890</v>
      </c>
      <c r="E117" s="98" t="s">
        <v>668</v>
      </c>
      <c r="F117" s="98" t="s">
        <v>664</v>
      </c>
      <c r="G117" s="98" t="s">
        <v>227</v>
      </c>
      <c r="H117" s="98" t="s">
        <v>748</v>
      </c>
      <c r="I117" s="204">
        <f>_xlfn.XLOOKUP(C117,[1]Hoja1!$A:$A,[1]Hoja1!$C:$C,0)</f>
        <v>101352213</v>
      </c>
      <c r="J117" s="204">
        <v>7031500</v>
      </c>
      <c r="K117" s="204">
        <v>7031500</v>
      </c>
      <c r="L117" s="204">
        <v>703300</v>
      </c>
      <c r="M117" s="204">
        <v>6328200</v>
      </c>
      <c r="N117" s="204">
        <f t="shared" si="1"/>
        <v>0</v>
      </c>
      <c r="O117" s="118" t="s">
        <v>3006</v>
      </c>
      <c r="P117" s="98" t="s">
        <v>837</v>
      </c>
      <c r="Q117" s="119" t="s">
        <v>878</v>
      </c>
      <c r="R117" s="28" t="s">
        <v>824</v>
      </c>
      <c r="S117" s="28" t="s">
        <v>824</v>
      </c>
      <c r="T117" s="28" t="s">
        <v>824</v>
      </c>
      <c r="U117" s="101">
        <v>0</v>
      </c>
    </row>
    <row r="118" spans="1:21" ht="21.75" x14ac:dyDescent="0.25">
      <c r="A118" s="201">
        <v>118</v>
      </c>
      <c r="B118" s="202" t="s">
        <v>821</v>
      </c>
      <c r="C118" s="98" t="s">
        <v>84</v>
      </c>
      <c r="D118" s="203">
        <v>45890</v>
      </c>
      <c r="E118" s="98" t="s">
        <v>668</v>
      </c>
      <c r="F118" s="98" t="s">
        <v>664</v>
      </c>
      <c r="G118" s="98" t="s">
        <v>227</v>
      </c>
      <c r="H118" s="98" t="s">
        <v>748</v>
      </c>
      <c r="I118" s="204">
        <f>_xlfn.XLOOKUP(C118,[1]Hoja1!$A:$A,[1]Hoja1!$C:$C,0)</f>
        <v>101352213</v>
      </c>
      <c r="J118" s="204">
        <v>243795</v>
      </c>
      <c r="K118" s="204">
        <v>243795</v>
      </c>
      <c r="L118" s="204">
        <v>59727</v>
      </c>
      <c r="M118" s="204">
        <v>184068</v>
      </c>
      <c r="N118" s="204">
        <f t="shared" si="1"/>
        <v>0</v>
      </c>
      <c r="O118" s="118" t="s">
        <v>3006</v>
      </c>
      <c r="P118" s="98" t="s">
        <v>837</v>
      </c>
      <c r="Q118" s="119" t="s">
        <v>872</v>
      </c>
      <c r="R118" s="28" t="s">
        <v>824</v>
      </c>
      <c r="S118" s="28" t="s">
        <v>824</v>
      </c>
      <c r="T118" s="28" t="s">
        <v>824</v>
      </c>
      <c r="U118" s="101">
        <v>0</v>
      </c>
    </row>
    <row r="119" spans="1:21" ht="21.75" x14ac:dyDescent="0.25">
      <c r="A119" s="201">
        <v>119</v>
      </c>
      <c r="B119" s="202" t="s">
        <v>821</v>
      </c>
      <c r="C119" s="98" t="s">
        <v>84</v>
      </c>
      <c r="D119" s="203">
        <v>45890</v>
      </c>
      <c r="E119" s="98" t="s">
        <v>669</v>
      </c>
      <c r="F119" s="98" t="s">
        <v>666</v>
      </c>
      <c r="G119" s="98" t="s">
        <v>241</v>
      </c>
      <c r="H119" s="98" t="s">
        <v>749</v>
      </c>
      <c r="I119" s="204">
        <f>_xlfn.XLOOKUP(C119,[1]Hoja1!$A:$A,[1]Hoja1!$C:$C,0)</f>
        <v>101352213</v>
      </c>
      <c r="J119" s="204">
        <v>831144</v>
      </c>
      <c r="K119" s="204">
        <v>831144</v>
      </c>
      <c r="L119" s="204">
        <v>831144</v>
      </c>
      <c r="M119" s="204">
        <v>0</v>
      </c>
      <c r="N119" s="204">
        <f t="shared" si="1"/>
        <v>0</v>
      </c>
      <c r="O119" s="118" t="s">
        <v>3006</v>
      </c>
      <c r="P119" s="98" t="s">
        <v>839</v>
      </c>
      <c r="Q119" s="119" t="s">
        <v>879</v>
      </c>
      <c r="R119" s="28" t="s">
        <v>824</v>
      </c>
      <c r="S119" s="28" t="s">
        <v>824</v>
      </c>
      <c r="T119" s="28" t="s">
        <v>824</v>
      </c>
      <c r="U119" s="101">
        <v>0</v>
      </c>
    </row>
    <row r="120" spans="1:21" ht="21.75" x14ac:dyDescent="0.25">
      <c r="A120" s="201">
        <v>120</v>
      </c>
      <c r="B120" s="202" t="s">
        <v>821</v>
      </c>
      <c r="C120" s="98" t="s">
        <v>84</v>
      </c>
      <c r="D120" s="203">
        <v>45890</v>
      </c>
      <c r="E120" s="98" t="s">
        <v>669</v>
      </c>
      <c r="F120" s="98" t="s">
        <v>666</v>
      </c>
      <c r="G120" s="98" t="s">
        <v>224</v>
      </c>
      <c r="H120" s="98" t="s">
        <v>750</v>
      </c>
      <c r="I120" s="204">
        <f>_xlfn.XLOOKUP(C120,[1]Hoja1!$A:$A,[1]Hoja1!$C:$C,0)</f>
        <v>101352213</v>
      </c>
      <c r="J120" s="204">
        <v>345516</v>
      </c>
      <c r="K120" s="204">
        <v>345516</v>
      </c>
      <c r="L120" s="204">
        <v>0</v>
      </c>
      <c r="M120" s="204">
        <v>345516</v>
      </c>
      <c r="N120" s="204">
        <f t="shared" si="1"/>
        <v>0</v>
      </c>
      <c r="O120" s="118" t="s">
        <v>3006</v>
      </c>
      <c r="P120" s="98" t="s">
        <v>839</v>
      </c>
      <c r="Q120" s="119" t="s">
        <v>880</v>
      </c>
      <c r="R120" s="28" t="s">
        <v>824</v>
      </c>
      <c r="S120" s="28" t="s">
        <v>824</v>
      </c>
      <c r="T120" s="28" t="s">
        <v>824</v>
      </c>
      <c r="U120" s="101">
        <v>0</v>
      </c>
    </row>
    <row r="121" spans="1:21" ht="21.75" x14ac:dyDescent="0.25">
      <c r="A121" s="201">
        <v>121</v>
      </c>
      <c r="B121" s="202" t="s">
        <v>821</v>
      </c>
      <c r="C121" s="98" t="s">
        <v>84</v>
      </c>
      <c r="D121" s="203">
        <v>45890</v>
      </c>
      <c r="E121" s="98" t="s">
        <v>669</v>
      </c>
      <c r="F121" s="98" t="s">
        <v>666</v>
      </c>
      <c r="G121" s="98" t="s">
        <v>224</v>
      </c>
      <c r="H121" s="98" t="s">
        <v>750</v>
      </c>
      <c r="I121" s="204">
        <f>_xlfn.XLOOKUP(C121,[1]Hoja1!$A:$A,[1]Hoja1!$C:$C,0)</f>
        <v>101352213</v>
      </c>
      <c r="J121" s="204">
        <v>345516</v>
      </c>
      <c r="K121" s="204">
        <v>345516</v>
      </c>
      <c r="L121" s="204">
        <v>0</v>
      </c>
      <c r="M121" s="204">
        <v>345516</v>
      </c>
      <c r="N121" s="204">
        <f t="shared" si="1"/>
        <v>0</v>
      </c>
      <c r="O121" s="118" t="s">
        <v>3006</v>
      </c>
      <c r="P121" s="98" t="s">
        <v>839</v>
      </c>
      <c r="Q121" s="119" t="s">
        <v>880</v>
      </c>
      <c r="R121" s="28" t="s">
        <v>824</v>
      </c>
      <c r="S121" s="28" t="s">
        <v>824</v>
      </c>
      <c r="T121" s="28" t="s">
        <v>824</v>
      </c>
      <c r="U121" s="101">
        <v>0</v>
      </c>
    </row>
    <row r="122" spans="1:21" ht="21.75" x14ac:dyDescent="0.25">
      <c r="A122" s="201">
        <v>122</v>
      </c>
      <c r="B122" s="202" t="s">
        <v>821</v>
      </c>
      <c r="C122" s="98" t="s">
        <v>84</v>
      </c>
      <c r="D122" s="203">
        <v>45890</v>
      </c>
      <c r="E122" s="98" t="s">
        <v>669</v>
      </c>
      <c r="F122" s="98" t="s">
        <v>666</v>
      </c>
      <c r="G122" s="98" t="s">
        <v>224</v>
      </c>
      <c r="H122" s="98" t="s">
        <v>750</v>
      </c>
      <c r="I122" s="204">
        <f>_xlfn.XLOOKUP(C122,[1]Hoja1!$A:$A,[1]Hoja1!$C:$C,0)</f>
        <v>101352213</v>
      </c>
      <c r="J122" s="204">
        <v>345516</v>
      </c>
      <c r="K122" s="204">
        <v>345516</v>
      </c>
      <c r="L122" s="204">
        <v>0</v>
      </c>
      <c r="M122" s="204">
        <v>345516</v>
      </c>
      <c r="N122" s="204">
        <f t="shared" si="1"/>
        <v>0</v>
      </c>
      <c r="O122" s="118" t="s">
        <v>3006</v>
      </c>
      <c r="P122" s="98" t="s">
        <v>839</v>
      </c>
      <c r="Q122" s="119" t="s">
        <v>880</v>
      </c>
      <c r="R122" s="28" t="s">
        <v>824</v>
      </c>
      <c r="S122" s="28" t="s">
        <v>824</v>
      </c>
      <c r="T122" s="28" t="s">
        <v>824</v>
      </c>
      <c r="U122" s="101">
        <v>0</v>
      </c>
    </row>
    <row r="123" spans="1:21" ht="21.75" x14ac:dyDescent="0.25">
      <c r="A123" s="201">
        <v>123</v>
      </c>
      <c r="B123" s="202" t="s">
        <v>821</v>
      </c>
      <c r="C123" s="98" t="s">
        <v>84</v>
      </c>
      <c r="D123" s="203">
        <v>45890</v>
      </c>
      <c r="E123" s="98" t="s">
        <v>669</v>
      </c>
      <c r="F123" s="98" t="s">
        <v>666</v>
      </c>
      <c r="G123" s="98" t="s">
        <v>224</v>
      </c>
      <c r="H123" s="98" t="s">
        <v>750</v>
      </c>
      <c r="I123" s="204">
        <f>_xlfn.XLOOKUP(C123,[1]Hoja1!$A:$A,[1]Hoja1!$C:$C,0)</f>
        <v>101352213</v>
      </c>
      <c r="J123" s="204">
        <v>172758</v>
      </c>
      <c r="K123" s="204">
        <v>172758</v>
      </c>
      <c r="L123" s="204">
        <v>0</v>
      </c>
      <c r="M123" s="204">
        <v>172758</v>
      </c>
      <c r="N123" s="204">
        <f t="shared" si="1"/>
        <v>0</v>
      </c>
      <c r="O123" s="118" t="s">
        <v>3006</v>
      </c>
      <c r="P123" s="98" t="s">
        <v>839</v>
      </c>
      <c r="Q123" s="119" t="s">
        <v>880</v>
      </c>
      <c r="R123" s="28" t="s">
        <v>824</v>
      </c>
      <c r="S123" s="28" t="s">
        <v>824</v>
      </c>
      <c r="T123" s="28" t="s">
        <v>824</v>
      </c>
      <c r="U123" s="101">
        <v>0</v>
      </c>
    </row>
    <row r="124" spans="1:21" ht="21.75" x14ac:dyDescent="0.25">
      <c r="A124" s="201">
        <v>124</v>
      </c>
      <c r="B124" s="202" t="s">
        <v>821</v>
      </c>
      <c r="C124" s="98" t="s">
        <v>85</v>
      </c>
      <c r="D124" s="203">
        <v>45932</v>
      </c>
      <c r="E124" s="98" t="s">
        <v>668</v>
      </c>
      <c r="F124" s="98" t="s">
        <v>664</v>
      </c>
      <c r="G124" s="98" t="s">
        <v>215</v>
      </c>
      <c r="H124" s="98" t="s">
        <v>751</v>
      </c>
      <c r="I124" s="204">
        <f>_xlfn.XLOOKUP(C124,[1]Hoja1!$A:$A,[1]Hoja1!$C:$C,0)</f>
        <v>2083997</v>
      </c>
      <c r="J124" s="204">
        <v>1927200</v>
      </c>
      <c r="K124" s="204">
        <v>1927200</v>
      </c>
      <c r="L124" s="204">
        <v>0</v>
      </c>
      <c r="M124" s="204">
        <v>1927200</v>
      </c>
      <c r="N124" s="204">
        <f t="shared" si="1"/>
        <v>0</v>
      </c>
      <c r="O124" s="118" t="s">
        <v>3006</v>
      </c>
      <c r="P124" s="98" t="s">
        <v>837</v>
      </c>
      <c r="Q124" s="119" t="s">
        <v>875</v>
      </c>
      <c r="R124" s="28" t="s">
        <v>824</v>
      </c>
      <c r="S124" s="28" t="s">
        <v>824</v>
      </c>
      <c r="T124" s="28" t="s">
        <v>824</v>
      </c>
      <c r="U124" s="101">
        <v>0</v>
      </c>
    </row>
    <row r="125" spans="1:21" ht="21.75" x14ac:dyDescent="0.25">
      <c r="A125" s="201">
        <v>125</v>
      </c>
      <c r="B125" s="202" t="s">
        <v>821</v>
      </c>
      <c r="C125" s="98" t="s">
        <v>86</v>
      </c>
      <c r="D125" s="203">
        <v>45939</v>
      </c>
      <c r="E125" s="98" t="s">
        <v>668</v>
      </c>
      <c r="F125" s="98" t="s">
        <v>664</v>
      </c>
      <c r="G125" s="98" t="s">
        <v>185</v>
      </c>
      <c r="H125" s="98" t="s">
        <v>752</v>
      </c>
      <c r="I125" s="204">
        <f>_xlfn.XLOOKUP(C125,[1]Hoja1!$A:$A,[1]Hoja1!$C:$C,0)</f>
        <v>82085</v>
      </c>
      <c r="J125" s="204">
        <v>6685</v>
      </c>
      <c r="K125" s="204">
        <v>6685</v>
      </c>
      <c r="L125" s="204">
        <v>0</v>
      </c>
      <c r="M125" s="204">
        <v>6685</v>
      </c>
      <c r="N125" s="204">
        <f t="shared" si="1"/>
        <v>0</v>
      </c>
      <c r="O125" s="118" t="s">
        <v>3006</v>
      </c>
      <c r="P125" s="98" t="s">
        <v>837</v>
      </c>
      <c r="Q125" s="119" t="s">
        <v>840</v>
      </c>
      <c r="R125" s="28" t="s">
        <v>824</v>
      </c>
      <c r="S125" s="28" t="s">
        <v>824</v>
      </c>
      <c r="T125" s="28" t="s">
        <v>824</v>
      </c>
      <c r="U125" s="101">
        <v>0</v>
      </c>
    </row>
    <row r="126" spans="1:21" ht="21.75" x14ac:dyDescent="0.25">
      <c r="A126" s="201">
        <v>126</v>
      </c>
      <c r="B126" s="202" t="s">
        <v>821</v>
      </c>
      <c r="C126" s="98" t="s">
        <v>87</v>
      </c>
      <c r="D126" s="203">
        <v>45939</v>
      </c>
      <c r="E126" s="98" t="s">
        <v>668</v>
      </c>
      <c r="F126" s="98" t="s">
        <v>664</v>
      </c>
      <c r="G126" s="98" t="s">
        <v>185</v>
      </c>
      <c r="H126" s="98" t="s">
        <v>752</v>
      </c>
      <c r="I126" s="204">
        <f>_xlfn.XLOOKUP(C126,[1]Hoja1!$A:$A,[1]Hoja1!$C:$C,0)</f>
        <v>106697</v>
      </c>
      <c r="J126" s="204">
        <v>31297</v>
      </c>
      <c r="K126" s="204">
        <v>31297</v>
      </c>
      <c r="L126" s="204">
        <v>0</v>
      </c>
      <c r="M126" s="204">
        <v>31297</v>
      </c>
      <c r="N126" s="204">
        <f t="shared" si="1"/>
        <v>0</v>
      </c>
      <c r="O126" s="118" t="s">
        <v>3006</v>
      </c>
      <c r="P126" s="98" t="s">
        <v>837</v>
      </c>
      <c r="Q126" s="119" t="s">
        <v>840</v>
      </c>
      <c r="R126" s="28" t="s">
        <v>824</v>
      </c>
      <c r="S126" s="28" t="s">
        <v>824</v>
      </c>
      <c r="T126" s="28" t="s">
        <v>824</v>
      </c>
      <c r="U126" s="101">
        <v>0</v>
      </c>
    </row>
    <row r="127" spans="1:21" ht="21.75" x14ac:dyDescent="0.25">
      <c r="A127" s="201">
        <v>127</v>
      </c>
      <c r="B127" s="202" t="s">
        <v>821</v>
      </c>
      <c r="C127" s="98" t="s">
        <v>88</v>
      </c>
      <c r="D127" s="203">
        <v>45946</v>
      </c>
      <c r="E127" s="98" t="s">
        <v>668</v>
      </c>
      <c r="F127" s="98" t="s">
        <v>664</v>
      </c>
      <c r="G127" s="98" t="s">
        <v>185</v>
      </c>
      <c r="H127" s="98" t="s">
        <v>752</v>
      </c>
      <c r="I127" s="204">
        <f>_xlfn.XLOOKUP(C127,[1]Hoja1!$A:$A,[1]Hoja1!$C:$C,0)</f>
        <v>82085</v>
      </c>
      <c r="J127" s="204">
        <v>6685</v>
      </c>
      <c r="K127" s="204">
        <v>6685</v>
      </c>
      <c r="L127" s="204">
        <v>0</v>
      </c>
      <c r="M127" s="204">
        <v>6685</v>
      </c>
      <c r="N127" s="204">
        <f t="shared" si="1"/>
        <v>0</v>
      </c>
      <c r="O127" s="118" t="s">
        <v>3006</v>
      </c>
      <c r="P127" s="98" t="s">
        <v>837</v>
      </c>
      <c r="Q127" s="119" t="s">
        <v>840</v>
      </c>
      <c r="R127" s="28" t="s">
        <v>824</v>
      </c>
      <c r="S127" s="28" t="s">
        <v>824</v>
      </c>
      <c r="T127" s="28" t="s">
        <v>824</v>
      </c>
      <c r="U127" s="101">
        <v>0</v>
      </c>
    </row>
    <row r="128" spans="1:21" ht="21.75" x14ac:dyDescent="0.25">
      <c r="A128" s="201">
        <v>128</v>
      </c>
      <c r="B128" s="202" t="s">
        <v>821</v>
      </c>
      <c r="C128" s="98" t="s">
        <v>89</v>
      </c>
      <c r="D128" s="203">
        <v>45947</v>
      </c>
      <c r="E128" s="98" t="s">
        <v>668</v>
      </c>
      <c r="F128" s="98" t="s">
        <v>664</v>
      </c>
      <c r="G128" s="98" t="s">
        <v>185</v>
      </c>
      <c r="H128" s="98" t="s">
        <v>752</v>
      </c>
      <c r="I128" s="204">
        <f>_xlfn.XLOOKUP(C128,[1]Hoja1!$A:$A,[1]Hoja1!$C:$C,0)</f>
        <v>106697</v>
      </c>
      <c r="J128" s="204">
        <v>31297</v>
      </c>
      <c r="K128" s="204">
        <v>31297</v>
      </c>
      <c r="L128" s="204">
        <v>0</v>
      </c>
      <c r="M128" s="204">
        <v>31297</v>
      </c>
      <c r="N128" s="204">
        <f t="shared" si="1"/>
        <v>0</v>
      </c>
      <c r="O128" s="118" t="s">
        <v>3006</v>
      </c>
      <c r="P128" s="98" t="s">
        <v>837</v>
      </c>
      <c r="Q128" s="119" t="s">
        <v>840</v>
      </c>
      <c r="R128" s="28" t="s">
        <v>824</v>
      </c>
      <c r="S128" s="28" t="s">
        <v>824</v>
      </c>
      <c r="T128" s="28" t="s">
        <v>824</v>
      </c>
      <c r="U128" s="101">
        <v>0</v>
      </c>
    </row>
    <row r="129" spans="1:21" ht="21.75" x14ac:dyDescent="0.25">
      <c r="A129" s="201">
        <v>129</v>
      </c>
      <c r="B129" s="202" t="s">
        <v>821</v>
      </c>
      <c r="C129" s="98" t="s">
        <v>90</v>
      </c>
      <c r="D129" s="203">
        <v>45947</v>
      </c>
      <c r="E129" s="98" t="s">
        <v>668</v>
      </c>
      <c r="F129" s="98" t="s">
        <v>664</v>
      </c>
      <c r="G129" s="98" t="s">
        <v>185</v>
      </c>
      <c r="H129" s="98" t="s">
        <v>752</v>
      </c>
      <c r="I129" s="204">
        <f>_xlfn.XLOOKUP(C129,[1]Hoja1!$A:$A,[1]Hoja1!$C:$C,0)</f>
        <v>231405</v>
      </c>
      <c r="J129" s="204">
        <v>31297</v>
      </c>
      <c r="K129" s="204">
        <v>31297</v>
      </c>
      <c r="L129" s="204">
        <v>0</v>
      </c>
      <c r="M129" s="204">
        <v>31297</v>
      </c>
      <c r="N129" s="204">
        <f t="shared" si="1"/>
        <v>0</v>
      </c>
      <c r="O129" s="118" t="s">
        <v>3006</v>
      </c>
      <c r="P129" s="98" t="s">
        <v>837</v>
      </c>
      <c r="Q129" s="119" t="s">
        <v>840</v>
      </c>
      <c r="R129" s="28" t="s">
        <v>824</v>
      </c>
      <c r="S129" s="28" t="s">
        <v>824</v>
      </c>
      <c r="T129" s="28" t="s">
        <v>824</v>
      </c>
      <c r="U129" s="101">
        <v>0</v>
      </c>
    </row>
    <row r="130" spans="1:21" ht="21.75" x14ac:dyDescent="0.25">
      <c r="A130" s="201">
        <v>130</v>
      </c>
      <c r="B130" s="202" t="s">
        <v>821</v>
      </c>
      <c r="C130" s="98" t="s">
        <v>91</v>
      </c>
      <c r="D130" s="203">
        <v>45922</v>
      </c>
      <c r="E130" s="98" t="s">
        <v>668</v>
      </c>
      <c r="F130" s="98" t="s">
        <v>665</v>
      </c>
      <c r="G130" s="98" t="s">
        <v>309</v>
      </c>
      <c r="H130" s="98" t="s">
        <v>753</v>
      </c>
      <c r="I130" s="204">
        <f>_xlfn.XLOOKUP(C130,[1]Hoja1!$A:$A,[1]Hoja1!$C:$C,0)</f>
        <v>17268985</v>
      </c>
      <c r="J130" s="204">
        <v>1788600</v>
      </c>
      <c r="K130" s="204">
        <v>1788600</v>
      </c>
      <c r="L130" s="204">
        <v>1125000</v>
      </c>
      <c r="M130" s="204">
        <v>663600</v>
      </c>
      <c r="N130" s="204">
        <f t="shared" ref="N130:N193" si="2">K130-L130-M130</f>
        <v>0</v>
      </c>
      <c r="O130" s="118" t="s">
        <v>3006</v>
      </c>
      <c r="P130" s="98" t="s">
        <v>837</v>
      </c>
      <c r="Q130" s="119" t="s">
        <v>872</v>
      </c>
      <c r="R130" s="28" t="s">
        <v>824</v>
      </c>
      <c r="S130" s="28" t="s">
        <v>824</v>
      </c>
      <c r="T130" s="28" t="s">
        <v>824</v>
      </c>
      <c r="U130" s="101">
        <v>0</v>
      </c>
    </row>
    <row r="131" spans="1:21" ht="21.75" x14ac:dyDescent="0.25">
      <c r="A131" s="201">
        <v>131</v>
      </c>
      <c r="B131" s="202" t="s">
        <v>821</v>
      </c>
      <c r="C131" s="98" t="s">
        <v>91</v>
      </c>
      <c r="D131" s="203">
        <v>45922</v>
      </c>
      <c r="E131" s="98" t="s">
        <v>668</v>
      </c>
      <c r="F131" s="98" t="s">
        <v>665</v>
      </c>
      <c r="G131" s="98" t="s">
        <v>309</v>
      </c>
      <c r="H131" s="98" t="s">
        <v>754</v>
      </c>
      <c r="I131" s="204">
        <f>_xlfn.XLOOKUP(C131,[1]Hoja1!$A:$A,[1]Hoja1!$C:$C,0)</f>
        <v>17268985</v>
      </c>
      <c r="J131" s="204">
        <v>899300</v>
      </c>
      <c r="K131" s="204">
        <v>899300</v>
      </c>
      <c r="L131" s="204">
        <v>479700</v>
      </c>
      <c r="M131" s="204">
        <v>419600</v>
      </c>
      <c r="N131" s="204">
        <f t="shared" si="2"/>
        <v>0</v>
      </c>
      <c r="O131" s="118" t="s">
        <v>3006</v>
      </c>
      <c r="P131" s="98" t="s">
        <v>837</v>
      </c>
      <c r="Q131" s="119" t="s">
        <v>872</v>
      </c>
      <c r="R131" s="28" t="s">
        <v>824</v>
      </c>
      <c r="S131" s="28" t="s">
        <v>824</v>
      </c>
      <c r="T131" s="28" t="s">
        <v>824</v>
      </c>
      <c r="U131" s="101">
        <v>0</v>
      </c>
    </row>
    <row r="132" spans="1:21" ht="21.75" x14ac:dyDescent="0.25">
      <c r="A132" s="201">
        <v>132</v>
      </c>
      <c r="B132" s="202" t="s">
        <v>821</v>
      </c>
      <c r="C132" s="98" t="s">
        <v>91</v>
      </c>
      <c r="D132" s="203">
        <v>45922</v>
      </c>
      <c r="E132" s="98" t="s">
        <v>668</v>
      </c>
      <c r="F132" s="98" t="s">
        <v>665</v>
      </c>
      <c r="G132" s="98" t="s">
        <v>309</v>
      </c>
      <c r="H132" s="98" t="s">
        <v>755</v>
      </c>
      <c r="I132" s="204">
        <f>_xlfn.XLOOKUP(C132,[1]Hoja1!$A:$A,[1]Hoja1!$C:$C,0)</f>
        <v>17268985</v>
      </c>
      <c r="J132" s="204">
        <v>127100</v>
      </c>
      <c r="K132" s="204">
        <v>127100</v>
      </c>
      <c r="L132" s="204">
        <v>79940</v>
      </c>
      <c r="M132" s="204">
        <v>47160</v>
      </c>
      <c r="N132" s="204">
        <f t="shared" si="2"/>
        <v>0</v>
      </c>
      <c r="O132" s="118" t="s">
        <v>3006</v>
      </c>
      <c r="P132" s="98" t="s">
        <v>837</v>
      </c>
      <c r="Q132" s="119" t="s">
        <v>872</v>
      </c>
      <c r="R132" s="28" t="s">
        <v>824</v>
      </c>
      <c r="S132" s="28" t="s">
        <v>824</v>
      </c>
      <c r="T132" s="28" t="s">
        <v>824</v>
      </c>
      <c r="U132" s="101">
        <v>0</v>
      </c>
    </row>
    <row r="133" spans="1:21" ht="21.75" x14ac:dyDescent="0.25">
      <c r="A133" s="201">
        <v>133</v>
      </c>
      <c r="B133" s="202" t="s">
        <v>821</v>
      </c>
      <c r="C133" s="98" t="s">
        <v>92</v>
      </c>
      <c r="D133" s="203">
        <v>45890</v>
      </c>
      <c r="E133" s="98" t="s">
        <v>669</v>
      </c>
      <c r="F133" s="98" t="s">
        <v>666</v>
      </c>
      <c r="G133" s="98" t="s">
        <v>198</v>
      </c>
      <c r="H133" s="98" t="s">
        <v>756</v>
      </c>
      <c r="I133" s="204">
        <f>_xlfn.XLOOKUP(C133,[1]Hoja1!$A:$A,[1]Hoja1!$C:$C,0)</f>
        <v>105004293</v>
      </c>
      <c r="J133" s="204">
        <v>145677</v>
      </c>
      <c r="K133" s="204">
        <v>145677</v>
      </c>
      <c r="L133" s="204">
        <v>64646</v>
      </c>
      <c r="M133" s="204">
        <v>81031</v>
      </c>
      <c r="N133" s="204">
        <f t="shared" si="2"/>
        <v>0</v>
      </c>
      <c r="O133" s="118" t="s">
        <v>3006</v>
      </c>
      <c r="P133" s="98" t="s">
        <v>839</v>
      </c>
      <c r="Q133" s="119" t="s">
        <v>881</v>
      </c>
      <c r="R133" s="28" t="s">
        <v>824</v>
      </c>
      <c r="S133" s="28" t="s">
        <v>824</v>
      </c>
      <c r="T133" s="28" t="s">
        <v>824</v>
      </c>
      <c r="U133" s="101">
        <v>0</v>
      </c>
    </row>
    <row r="134" spans="1:21" ht="21.75" x14ac:dyDescent="0.25">
      <c r="A134" s="201">
        <v>134</v>
      </c>
      <c r="B134" s="202" t="s">
        <v>821</v>
      </c>
      <c r="C134" s="98" t="s">
        <v>92</v>
      </c>
      <c r="D134" s="203">
        <v>45890</v>
      </c>
      <c r="E134" s="98" t="s">
        <v>669</v>
      </c>
      <c r="F134" s="98" t="s">
        <v>666</v>
      </c>
      <c r="G134" s="98" t="s">
        <v>198</v>
      </c>
      <c r="H134" s="98" t="s">
        <v>756</v>
      </c>
      <c r="I134" s="204">
        <f>_xlfn.XLOOKUP(C134,[1]Hoja1!$A:$A,[1]Hoja1!$C:$C,0)</f>
        <v>105004293</v>
      </c>
      <c r="J134" s="204">
        <v>145677</v>
      </c>
      <c r="K134" s="204">
        <v>145677</v>
      </c>
      <c r="L134" s="204">
        <v>64646</v>
      </c>
      <c r="M134" s="204">
        <v>81031</v>
      </c>
      <c r="N134" s="204">
        <f t="shared" si="2"/>
        <v>0</v>
      </c>
      <c r="O134" s="118" t="s">
        <v>3006</v>
      </c>
      <c r="P134" s="98" t="s">
        <v>839</v>
      </c>
      <c r="Q134" s="119" t="s">
        <v>881</v>
      </c>
      <c r="R134" s="28" t="s">
        <v>824</v>
      </c>
      <c r="S134" s="28" t="s">
        <v>824</v>
      </c>
      <c r="T134" s="28" t="s">
        <v>824</v>
      </c>
      <c r="U134" s="101">
        <v>0</v>
      </c>
    </row>
    <row r="135" spans="1:21" ht="21.75" x14ac:dyDescent="0.25">
      <c r="A135" s="201">
        <v>135</v>
      </c>
      <c r="B135" s="202" t="s">
        <v>821</v>
      </c>
      <c r="C135" s="98" t="s">
        <v>92</v>
      </c>
      <c r="D135" s="203">
        <v>45890</v>
      </c>
      <c r="E135" s="98" t="s">
        <v>669</v>
      </c>
      <c r="F135" s="98" t="s">
        <v>666</v>
      </c>
      <c r="G135" s="98" t="s">
        <v>198</v>
      </c>
      <c r="H135" s="98" t="s">
        <v>756</v>
      </c>
      <c r="I135" s="204">
        <f>_xlfn.XLOOKUP(C135,[1]Hoja1!$A:$A,[1]Hoja1!$C:$C,0)</f>
        <v>105004293</v>
      </c>
      <c r="J135" s="204">
        <v>145677</v>
      </c>
      <c r="K135" s="204">
        <v>145677</v>
      </c>
      <c r="L135" s="204">
        <v>64646</v>
      </c>
      <c r="M135" s="204">
        <v>81031</v>
      </c>
      <c r="N135" s="204">
        <f t="shared" si="2"/>
        <v>0</v>
      </c>
      <c r="O135" s="118" t="s">
        <v>3006</v>
      </c>
      <c r="P135" s="98" t="s">
        <v>839</v>
      </c>
      <c r="Q135" s="119" t="s">
        <v>881</v>
      </c>
      <c r="R135" s="28" t="s">
        <v>824</v>
      </c>
      <c r="S135" s="28" t="s">
        <v>824</v>
      </c>
      <c r="T135" s="28" t="s">
        <v>824</v>
      </c>
      <c r="U135" s="101">
        <v>0</v>
      </c>
    </row>
    <row r="136" spans="1:21" ht="21.75" x14ac:dyDescent="0.25">
      <c r="A136" s="201">
        <v>136</v>
      </c>
      <c r="B136" s="202" t="s">
        <v>821</v>
      </c>
      <c r="C136" s="98" t="s">
        <v>92</v>
      </c>
      <c r="D136" s="203">
        <v>45890</v>
      </c>
      <c r="E136" s="98" t="s">
        <v>669</v>
      </c>
      <c r="F136" s="98" t="s">
        <v>666</v>
      </c>
      <c r="G136" s="98" t="s">
        <v>198</v>
      </c>
      <c r="H136" s="98" t="s">
        <v>756</v>
      </c>
      <c r="I136" s="204">
        <f>_xlfn.XLOOKUP(C136,[1]Hoja1!$A:$A,[1]Hoja1!$C:$C,0)</f>
        <v>105004293</v>
      </c>
      <c r="J136" s="204">
        <v>145677</v>
      </c>
      <c r="K136" s="204">
        <v>145677</v>
      </c>
      <c r="L136" s="204">
        <v>64646</v>
      </c>
      <c r="M136" s="204">
        <v>81031</v>
      </c>
      <c r="N136" s="204">
        <f t="shared" si="2"/>
        <v>0</v>
      </c>
      <c r="O136" s="118" t="s">
        <v>3006</v>
      </c>
      <c r="P136" s="98" t="s">
        <v>839</v>
      </c>
      <c r="Q136" s="119" t="s">
        <v>881</v>
      </c>
      <c r="R136" s="28" t="s">
        <v>824</v>
      </c>
      <c r="S136" s="28" t="s">
        <v>824</v>
      </c>
      <c r="T136" s="28" t="s">
        <v>824</v>
      </c>
      <c r="U136" s="101">
        <v>0</v>
      </c>
    </row>
    <row r="137" spans="1:21" ht="21.75" x14ac:dyDescent="0.25">
      <c r="A137" s="201">
        <v>137</v>
      </c>
      <c r="B137" s="202" t="s">
        <v>821</v>
      </c>
      <c r="C137" s="98" t="s">
        <v>92</v>
      </c>
      <c r="D137" s="203">
        <v>45890</v>
      </c>
      <c r="E137" s="98" t="s">
        <v>669</v>
      </c>
      <c r="F137" s="98" t="s">
        <v>666</v>
      </c>
      <c r="G137" s="98" t="s">
        <v>198</v>
      </c>
      <c r="H137" s="98" t="s">
        <v>756</v>
      </c>
      <c r="I137" s="204">
        <f>_xlfn.XLOOKUP(C137,[1]Hoja1!$A:$A,[1]Hoja1!$C:$C,0)</f>
        <v>105004293</v>
      </c>
      <c r="J137" s="204">
        <v>145677</v>
      </c>
      <c r="K137" s="204">
        <v>145677</v>
      </c>
      <c r="L137" s="204">
        <v>64646</v>
      </c>
      <c r="M137" s="204">
        <v>81031</v>
      </c>
      <c r="N137" s="204">
        <f t="shared" si="2"/>
        <v>0</v>
      </c>
      <c r="O137" s="118" t="s">
        <v>3006</v>
      </c>
      <c r="P137" s="98" t="s">
        <v>839</v>
      </c>
      <c r="Q137" s="119" t="s">
        <v>881</v>
      </c>
      <c r="R137" s="28" t="s">
        <v>824</v>
      </c>
      <c r="S137" s="28" t="s">
        <v>824</v>
      </c>
      <c r="T137" s="28" t="s">
        <v>824</v>
      </c>
      <c r="U137" s="101">
        <v>0</v>
      </c>
    </row>
    <row r="138" spans="1:21" ht="21.75" x14ac:dyDescent="0.25">
      <c r="A138" s="201">
        <v>138</v>
      </c>
      <c r="B138" s="202" t="s">
        <v>821</v>
      </c>
      <c r="C138" s="98" t="s">
        <v>92</v>
      </c>
      <c r="D138" s="203">
        <v>45890</v>
      </c>
      <c r="E138" s="98" t="s">
        <v>668</v>
      </c>
      <c r="F138" s="98" t="s">
        <v>667</v>
      </c>
      <c r="G138" s="98" t="s">
        <v>372</v>
      </c>
      <c r="H138" s="98" t="s">
        <v>757</v>
      </c>
      <c r="I138" s="204">
        <f>_xlfn.XLOOKUP(C138,[1]Hoja1!$A:$A,[1]Hoja1!$C:$C,0)</f>
        <v>105004293</v>
      </c>
      <c r="J138" s="204">
        <v>562692</v>
      </c>
      <c r="K138" s="204">
        <v>562692</v>
      </c>
      <c r="L138" s="204">
        <v>0</v>
      </c>
      <c r="M138" s="204">
        <v>562692</v>
      </c>
      <c r="N138" s="204">
        <f t="shared" si="2"/>
        <v>0</v>
      </c>
      <c r="O138" s="118" t="s">
        <v>3006</v>
      </c>
      <c r="P138" s="98" t="s">
        <v>837</v>
      </c>
      <c r="Q138" s="119" t="s">
        <v>882</v>
      </c>
      <c r="R138" s="28" t="s">
        <v>824</v>
      </c>
      <c r="S138" s="28" t="s">
        <v>824</v>
      </c>
      <c r="T138" s="28" t="s">
        <v>824</v>
      </c>
      <c r="U138" s="101">
        <v>0</v>
      </c>
    </row>
    <row r="139" spans="1:21" ht="21.75" x14ac:dyDescent="0.25">
      <c r="A139" s="201">
        <v>139</v>
      </c>
      <c r="B139" s="202" t="s">
        <v>821</v>
      </c>
      <c r="C139" s="98" t="s">
        <v>92</v>
      </c>
      <c r="D139" s="203">
        <v>45890</v>
      </c>
      <c r="E139" s="98" t="s">
        <v>668</v>
      </c>
      <c r="F139" s="98" t="s">
        <v>664</v>
      </c>
      <c r="G139" s="98" t="s">
        <v>208</v>
      </c>
      <c r="H139" s="98" t="s">
        <v>758</v>
      </c>
      <c r="I139" s="204">
        <f>_xlfn.XLOOKUP(C139,[1]Hoja1!$A:$A,[1]Hoja1!$C:$C,0)</f>
        <v>105004293</v>
      </c>
      <c r="J139" s="204">
        <v>611651</v>
      </c>
      <c r="K139" s="204">
        <v>611651</v>
      </c>
      <c r="L139" s="204">
        <v>611651</v>
      </c>
      <c r="M139" s="204">
        <v>0</v>
      </c>
      <c r="N139" s="204">
        <f t="shared" si="2"/>
        <v>0</v>
      </c>
      <c r="O139" s="118" t="s">
        <v>3006</v>
      </c>
      <c r="P139" s="98" t="s">
        <v>837</v>
      </c>
      <c r="Q139" s="119" t="s">
        <v>883</v>
      </c>
      <c r="R139" s="28" t="s">
        <v>824</v>
      </c>
      <c r="S139" s="28" t="s">
        <v>824</v>
      </c>
      <c r="T139" s="28" t="s">
        <v>824</v>
      </c>
      <c r="U139" s="101">
        <v>0</v>
      </c>
    </row>
    <row r="140" spans="1:21" ht="21.75" x14ac:dyDescent="0.25">
      <c r="A140" s="201">
        <v>140</v>
      </c>
      <c r="B140" s="202" t="s">
        <v>821</v>
      </c>
      <c r="C140" s="98" t="s">
        <v>93</v>
      </c>
      <c r="D140" s="203">
        <v>45931</v>
      </c>
      <c r="E140" s="98" t="s">
        <v>669</v>
      </c>
      <c r="F140" s="98" t="s">
        <v>666</v>
      </c>
      <c r="G140" s="98" t="s">
        <v>198</v>
      </c>
      <c r="H140" s="98" t="s">
        <v>759</v>
      </c>
      <c r="I140" s="204">
        <f>_xlfn.XLOOKUP(C140,[1]Hoja1!$A:$A,[1]Hoja1!$C:$C,0)</f>
        <v>21659339</v>
      </c>
      <c r="J140" s="204">
        <v>76988</v>
      </c>
      <c r="K140" s="204">
        <v>76988</v>
      </c>
      <c r="L140" s="204">
        <v>0</v>
      </c>
      <c r="M140" s="204">
        <v>76988</v>
      </c>
      <c r="N140" s="204">
        <f t="shared" si="2"/>
        <v>0</v>
      </c>
      <c r="O140" s="118" t="s">
        <v>3006</v>
      </c>
      <c r="P140" s="98" t="s">
        <v>839</v>
      </c>
      <c r="Q140" s="119" t="s">
        <v>884</v>
      </c>
      <c r="R140" s="28" t="s">
        <v>824</v>
      </c>
      <c r="S140" s="28" t="s">
        <v>824</v>
      </c>
      <c r="T140" s="28" t="s">
        <v>824</v>
      </c>
      <c r="U140" s="101">
        <v>0</v>
      </c>
    </row>
    <row r="141" spans="1:21" ht="21.75" x14ac:dyDescent="0.25">
      <c r="A141" s="201">
        <v>141</v>
      </c>
      <c r="B141" s="202" t="s">
        <v>821</v>
      </c>
      <c r="C141" s="98" t="s">
        <v>93</v>
      </c>
      <c r="D141" s="203">
        <v>45931</v>
      </c>
      <c r="E141" s="98" t="s">
        <v>668</v>
      </c>
      <c r="F141" s="98" t="s">
        <v>664</v>
      </c>
      <c r="G141" s="98" t="s">
        <v>201</v>
      </c>
      <c r="H141" s="98" t="s">
        <v>760</v>
      </c>
      <c r="I141" s="204">
        <f>_xlfn.XLOOKUP(C141,[1]Hoja1!$A:$A,[1]Hoja1!$C:$C,0)</f>
        <v>21659339</v>
      </c>
      <c r="J141" s="204">
        <v>534000</v>
      </c>
      <c r="K141" s="204">
        <v>534000</v>
      </c>
      <c r="L141" s="204">
        <v>0</v>
      </c>
      <c r="M141" s="204">
        <v>534000</v>
      </c>
      <c r="N141" s="204">
        <f t="shared" si="2"/>
        <v>0</v>
      </c>
      <c r="O141" s="118" t="s">
        <v>3006</v>
      </c>
      <c r="P141" s="98" t="s">
        <v>837</v>
      </c>
      <c r="Q141" s="119" t="s">
        <v>840</v>
      </c>
      <c r="R141" s="28" t="s">
        <v>824</v>
      </c>
      <c r="S141" s="28" t="s">
        <v>824</v>
      </c>
      <c r="T141" s="28" t="s">
        <v>824</v>
      </c>
      <c r="U141" s="101">
        <v>0</v>
      </c>
    </row>
    <row r="142" spans="1:21" ht="21.75" x14ac:dyDescent="0.25">
      <c r="A142" s="201">
        <v>142</v>
      </c>
      <c r="B142" s="202" t="s">
        <v>821</v>
      </c>
      <c r="C142" s="98" t="s">
        <v>93</v>
      </c>
      <c r="D142" s="203">
        <v>45931</v>
      </c>
      <c r="E142" s="98" t="s">
        <v>668</v>
      </c>
      <c r="F142" s="98" t="s">
        <v>664</v>
      </c>
      <c r="G142" s="98" t="s">
        <v>212</v>
      </c>
      <c r="H142" s="98" t="s">
        <v>761</v>
      </c>
      <c r="I142" s="204">
        <f>_xlfn.XLOOKUP(C142,[1]Hoja1!$A:$A,[1]Hoja1!$C:$C,0)</f>
        <v>21659339</v>
      </c>
      <c r="J142" s="204">
        <v>131148</v>
      </c>
      <c r="K142" s="204">
        <v>131148</v>
      </c>
      <c r="L142" s="204">
        <v>0</v>
      </c>
      <c r="M142" s="204">
        <v>131148</v>
      </c>
      <c r="N142" s="204">
        <f t="shared" si="2"/>
        <v>0</v>
      </c>
      <c r="O142" s="118" t="s">
        <v>3006</v>
      </c>
      <c r="P142" s="98" t="s">
        <v>837</v>
      </c>
      <c r="Q142" s="119" t="s">
        <v>840</v>
      </c>
      <c r="R142" s="28" t="s">
        <v>824</v>
      </c>
      <c r="S142" s="28" t="s">
        <v>824</v>
      </c>
      <c r="T142" s="28" t="s">
        <v>824</v>
      </c>
      <c r="U142" s="101">
        <v>0</v>
      </c>
    </row>
    <row r="143" spans="1:21" ht="21.75" x14ac:dyDescent="0.25">
      <c r="A143" s="201">
        <v>143</v>
      </c>
      <c r="B143" s="202" t="s">
        <v>821</v>
      </c>
      <c r="C143" s="98" t="s">
        <v>93</v>
      </c>
      <c r="D143" s="203">
        <v>45931</v>
      </c>
      <c r="E143" s="98" t="s">
        <v>668</v>
      </c>
      <c r="F143" s="98" t="s">
        <v>664</v>
      </c>
      <c r="G143" s="98" t="s">
        <v>212</v>
      </c>
      <c r="H143" s="98" t="s">
        <v>761</v>
      </c>
      <c r="I143" s="204">
        <f>_xlfn.XLOOKUP(C143,[1]Hoja1!$A:$A,[1]Hoja1!$C:$C,0)</f>
        <v>21659339</v>
      </c>
      <c r="J143" s="204">
        <v>131148</v>
      </c>
      <c r="K143" s="204">
        <v>131148</v>
      </c>
      <c r="L143" s="204">
        <v>0</v>
      </c>
      <c r="M143" s="204">
        <v>131148</v>
      </c>
      <c r="N143" s="204">
        <f t="shared" si="2"/>
        <v>0</v>
      </c>
      <c r="O143" s="118" t="s">
        <v>3006</v>
      </c>
      <c r="P143" s="98" t="s">
        <v>837</v>
      </c>
      <c r="Q143" s="119" t="s">
        <v>840</v>
      </c>
      <c r="R143" s="28" t="s">
        <v>824</v>
      </c>
      <c r="S143" s="28" t="s">
        <v>824</v>
      </c>
      <c r="T143" s="28" t="s">
        <v>824</v>
      </c>
      <c r="U143" s="101">
        <v>0</v>
      </c>
    </row>
    <row r="144" spans="1:21" ht="21.75" x14ac:dyDescent="0.25">
      <c r="A144" s="201">
        <v>144</v>
      </c>
      <c r="B144" s="202" t="s">
        <v>821</v>
      </c>
      <c r="C144" s="98" t="s">
        <v>94</v>
      </c>
      <c r="D144" s="203">
        <v>45931</v>
      </c>
      <c r="E144" s="98" t="s">
        <v>668</v>
      </c>
      <c r="F144" s="98" t="s">
        <v>664</v>
      </c>
      <c r="G144" s="98" t="s">
        <v>212</v>
      </c>
      <c r="H144" s="98" t="s">
        <v>762</v>
      </c>
      <c r="I144" s="204">
        <f>_xlfn.XLOOKUP(C144,[1]Hoja1!$A:$A,[1]Hoja1!$C:$C,0)</f>
        <v>10128740</v>
      </c>
      <c r="J144" s="204">
        <v>100000</v>
      </c>
      <c r="K144" s="204">
        <v>100000</v>
      </c>
      <c r="L144" s="204">
        <v>0</v>
      </c>
      <c r="M144" s="204">
        <v>100000</v>
      </c>
      <c r="N144" s="204">
        <f t="shared" si="2"/>
        <v>0</v>
      </c>
      <c r="O144" s="118" t="s">
        <v>3006</v>
      </c>
      <c r="P144" s="98" t="s">
        <v>837</v>
      </c>
      <c r="Q144" s="119" t="s">
        <v>840</v>
      </c>
      <c r="R144" s="28" t="s">
        <v>824</v>
      </c>
      <c r="S144" s="28" t="s">
        <v>824</v>
      </c>
      <c r="T144" s="28" t="s">
        <v>824</v>
      </c>
      <c r="U144" s="101">
        <v>0</v>
      </c>
    </row>
    <row r="145" spans="1:21" ht="21.75" x14ac:dyDescent="0.25">
      <c r="A145" s="201">
        <v>145</v>
      </c>
      <c r="B145" s="202" t="s">
        <v>821</v>
      </c>
      <c r="C145" s="98" t="s">
        <v>95</v>
      </c>
      <c r="D145" s="203">
        <v>45920</v>
      </c>
      <c r="E145" s="98" t="s">
        <v>825</v>
      </c>
      <c r="F145" s="98" t="s">
        <v>666</v>
      </c>
      <c r="G145" s="98" t="s">
        <v>194</v>
      </c>
      <c r="H145" s="98" t="s">
        <v>763</v>
      </c>
      <c r="I145" s="204">
        <f>_xlfn.XLOOKUP(C145,[1]Hoja1!$A:$A,[1]Hoja1!$C:$C,0)</f>
        <v>38909145</v>
      </c>
      <c r="J145" s="204">
        <v>3188640</v>
      </c>
      <c r="K145" s="204">
        <v>3188640</v>
      </c>
      <c r="L145" s="204">
        <v>0</v>
      </c>
      <c r="M145" s="204">
        <v>3188640</v>
      </c>
      <c r="N145" s="204">
        <f t="shared" si="2"/>
        <v>0</v>
      </c>
      <c r="O145" s="118" t="s">
        <v>3006</v>
      </c>
      <c r="P145" s="98" t="s">
        <v>838</v>
      </c>
      <c r="Q145" s="119" t="s">
        <v>885</v>
      </c>
      <c r="R145" s="28" t="s">
        <v>824</v>
      </c>
      <c r="S145" s="28" t="s">
        <v>824</v>
      </c>
      <c r="T145" s="28" t="s">
        <v>824</v>
      </c>
      <c r="U145" s="101">
        <v>0</v>
      </c>
    </row>
    <row r="146" spans="1:21" ht="21.75" x14ac:dyDescent="0.25">
      <c r="A146" s="201">
        <v>146</v>
      </c>
      <c r="B146" s="202" t="s">
        <v>821</v>
      </c>
      <c r="C146" s="98" t="s">
        <v>96</v>
      </c>
      <c r="D146" s="203">
        <v>45911</v>
      </c>
      <c r="E146" s="98" t="s">
        <v>668</v>
      </c>
      <c r="F146" s="98" t="s">
        <v>664</v>
      </c>
      <c r="G146" s="98" t="s">
        <v>212</v>
      </c>
      <c r="H146" s="98" t="s">
        <v>764</v>
      </c>
      <c r="I146" s="204">
        <f>_xlfn.XLOOKUP(C146,[1]Hoja1!$A:$A,[1]Hoja1!$C:$C,0)</f>
        <v>134660649</v>
      </c>
      <c r="J146" s="204">
        <v>121948</v>
      </c>
      <c r="K146" s="204">
        <v>121948</v>
      </c>
      <c r="L146" s="204">
        <v>0</v>
      </c>
      <c r="M146" s="204">
        <v>121948</v>
      </c>
      <c r="N146" s="204">
        <f t="shared" si="2"/>
        <v>0</v>
      </c>
      <c r="O146" s="118" t="s">
        <v>3006</v>
      </c>
      <c r="P146" s="98" t="s">
        <v>837</v>
      </c>
      <c r="Q146" s="119" t="s">
        <v>840</v>
      </c>
      <c r="R146" s="28" t="s">
        <v>824</v>
      </c>
      <c r="S146" s="28" t="s">
        <v>824</v>
      </c>
      <c r="T146" s="28" t="s">
        <v>824</v>
      </c>
      <c r="U146" s="101">
        <v>0</v>
      </c>
    </row>
    <row r="147" spans="1:21" ht="21.75" x14ac:dyDescent="0.25">
      <c r="A147" s="201">
        <v>147</v>
      </c>
      <c r="B147" s="202" t="s">
        <v>821</v>
      </c>
      <c r="C147" s="98" t="s">
        <v>96</v>
      </c>
      <c r="D147" s="203">
        <v>45911</v>
      </c>
      <c r="E147" s="98" t="s">
        <v>668</v>
      </c>
      <c r="F147" s="98" t="s">
        <v>664</v>
      </c>
      <c r="G147" s="98" t="s">
        <v>212</v>
      </c>
      <c r="H147" s="98" t="s">
        <v>764</v>
      </c>
      <c r="I147" s="204">
        <f>_xlfn.XLOOKUP(C147,[1]Hoja1!$A:$A,[1]Hoja1!$C:$C,0)</f>
        <v>134660649</v>
      </c>
      <c r="J147" s="204">
        <v>121948</v>
      </c>
      <c r="K147" s="204">
        <v>121948</v>
      </c>
      <c r="L147" s="204">
        <v>0</v>
      </c>
      <c r="M147" s="204">
        <v>121948</v>
      </c>
      <c r="N147" s="204">
        <f t="shared" si="2"/>
        <v>0</v>
      </c>
      <c r="O147" s="118" t="s">
        <v>3006</v>
      </c>
      <c r="P147" s="98" t="s">
        <v>837</v>
      </c>
      <c r="Q147" s="119" t="s">
        <v>840</v>
      </c>
      <c r="R147" s="28" t="s">
        <v>824</v>
      </c>
      <c r="S147" s="28" t="s">
        <v>824</v>
      </c>
      <c r="T147" s="28" t="s">
        <v>824</v>
      </c>
      <c r="U147" s="101">
        <v>0</v>
      </c>
    </row>
    <row r="148" spans="1:21" ht="21.75" x14ac:dyDescent="0.25">
      <c r="A148" s="201">
        <v>148</v>
      </c>
      <c r="B148" s="202" t="s">
        <v>821</v>
      </c>
      <c r="C148" s="98" t="s">
        <v>96</v>
      </c>
      <c r="D148" s="203">
        <v>45911</v>
      </c>
      <c r="E148" s="98" t="s">
        <v>668</v>
      </c>
      <c r="F148" s="98" t="s">
        <v>664</v>
      </c>
      <c r="G148" s="98" t="s">
        <v>212</v>
      </c>
      <c r="H148" s="98" t="s">
        <v>764</v>
      </c>
      <c r="I148" s="204">
        <f>_xlfn.XLOOKUP(C148,[1]Hoja1!$A:$A,[1]Hoja1!$C:$C,0)</f>
        <v>134660649</v>
      </c>
      <c r="J148" s="204">
        <v>121948</v>
      </c>
      <c r="K148" s="204">
        <v>121948</v>
      </c>
      <c r="L148" s="204">
        <v>0</v>
      </c>
      <c r="M148" s="204">
        <v>121948</v>
      </c>
      <c r="N148" s="204">
        <f t="shared" si="2"/>
        <v>0</v>
      </c>
      <c r="O148" s="118" t="s">
        <v>3006</v>
      </c>
      <c r="P148" s="98" t="s">
        <v>837</v>
      </c>
      <c r="Q148" s="119" t="s">
        <v>840</v>
      </c>
      <c r="R148" s="28" t="s">
        <v>824</v>
      </c>
      <c r="S148" s="28" t="s">
        <v>824</v>
      </c>
      <c r="T148" s="28" t="s">
        <v>824</v>
      </c>
      <c r="U148" s="101">
        <v>0</v>
      </c>
    </row>
    <row r="149" spans="1:21" ht="21.75" x14ac:dyDescent="0.25">
      <c r="A149" s="201">
        <v>149</v>
      </c>
      <c r="B149" s="202" t="s">
        <v>821</v>
      </c>
      <c r="C149" s="98" t="s">
        <v>96</v>
      </c>
      <c r="D149" s="203">
        <v>45911</v>
      </c>
      <c r="E149" s="98" t="s">
        <v>668</v>
      </c>
      <c r="F149" s="98" t="s">
        <v>664</v>
      </c>
      <c r="G149" s="98" t="s">
        <v>212</v>
      </c>
      <c r="H149" s="98" t="s">
        <v>764</v>
      </c>
      <c r="I149" s="204">
        <f>_xlfn.XLOOKUP(C149,[1]Hoja1!$A:$A,[1]Hoja1!$C:$C,0)</f>
        <v>134660649</v>
      </c>
      <c r="J149" s="204">
        <v>121948</v>
      </c>
      <c r="K149" s="204">
        <v>121948</v>
      </c>
      <c r="L149" s="204">
        <v>0</v>
      </c>
      <c r="M149" s="204">
        <v>121948</v>
      </c>
      <c r="N149" s="204">
        <f t="shared" si="2"/>
        <v>0</v>
      </c>
      <c r="O149" s="118" t="s">
        <v>3006</v>
      </c>
      <c r="P149" s="98" t="s">
        <v>837</v>
      </c>
      <c r="Q149" s="119" t="s">
        <v>840</v>
      </c>
      <c r="R149" s="28" t="s">
        <v>824</v>
      </c>
      <c r="S149" s="28" t="s">
        <v>824</v>
      </c>
      <c r="T149" s="28" t="s">
        <v>824</v>
      </c>
      <c r="U149" s="101">
        <v>0</v>
      </c>
    </row>
    <row r="150" spans="1:21" ht="21.75" x14ac:dyDescent="0.25">
      <c r="A150" s="201">
        <v>150</v>
      </c>
      <c r="B150" s="202" t="s">
        <v>821</v>
      </c>
      <c r="C150" s="98" t="s">
        <v>96</v>
      </c>
      <c r="D150" s="203">
        <v>45911</v>
      </c>
      <c r="E150" s="98" t="s">
        <v>668</v>
      </c>
      <c r="F150" s="98" t="s">
        <v>664</v>
      </c>
      <c r="G150" s="98" t="s">
        <v>212</v>
      </c>
      <c r="H150" s="98" t="s">
        <v>764</v>
      </c>
      <c r="I150" s="204">
        <f>_xlfn.XLOOKUP(C150,[1]Hoja1!$A:$A,[1]Hoja1!$C:$C,0)</f>
        <v>134660649</v>
      </c>
      <c r="J150" s="204">
        <v>121948</v>
      </c>
      <c r="K150" s="204">
        <v>121948</v>
      </c>
      <c r="L150" s="204">
        <v>0</v>
      </c>
      <c r="M150" s="204">
        <v>121948</v>
      </c>
      <c r="N150" s="204">
        <f t="shared" si="2"/>
        <v>0</v>
      </c>
      <c r="O150" s="118" t="s">
        <v>3006</v>
      </c>
      <c r="P150" s="98" t="s">
        <v>837</v>
      </c>
      <c r="Q150" s="119" t="s">
        <v>840</v>
      </c>
      <c r="R150" s="28" t="s">
        <v>824</v>
      </c>
      <c r="S150" s="28" t="s">
        <v>824</v>
      </c>
      <c r="T150" s="28" t="s">
        <v>824</v>
      </c>
      <c r="U150" s="101">
        <v>0</v>
      </c>
    </row>
    <row r="151" spans="1:21" ht="21.75" x14ac:dyDescent="0.25">
      <c r="A151" s="201">
        <v>151</v>
      </c>
      <c r="B151" s="202" t="s">
        <v>821</v>
      </c>
      <c r="C151" s="109" t="s">
        <v>96</v>
      </c>
      <c r="D151" s="203">
        <v>45911</v>
      </c>
      <c r="E151" s="98" t="s">
        <v>668</v>
      </c>
      <c r="F151" s="98" t="s">
        <v>664</v>
      </c>
      <c r="G151" s="98" t="s">
        <v>212</v>
      </c>
      <c r="H151" s="98" t="s">
        <v>764</v>
      </c>
      <c r="I151" s="204">
        <f>_xlfn.XLOOKUP(C151,[1]Hoja1!$A:$A,[1]Hoja1!$C:$C,0)</f>
        <v>134660649</v>
      </c>
      <c r="J151" s="204">
        <v>121948</v>
      </c>
      <c r="K151" s="204">
        <v>121948</v>
      </c>
      <c r="L151" s="205">
        <v>0</v>
      </c>
      <c r="M151" s="205">
        <v>121948</v>
      </c>
      <c r="N151" s="204">
        <f t="shared" si="2"/>
        <v>0</v>
      </c>
      <c r="O151" s="118" t="s">
        <v>3006</v>
      </c>
      <c r="P151" s="98" t="s">
        <v>837</v>
      </c>
      <c r="Q151" s="119" t="s">
        <v>840</v>
      </c>
      <c r="R151" s="28" t="s">
        <v>824</v>
      </c>
      <c r="S151" s="28" t="s">
        <v>824</v>
      </c>
      <c r="T151" s="28" t="s">
        <v>824</v>
      </c>
      <c r="U151" s="101">
        <v>0</v>
      </c>
    </row>
    <row r="152" spans="1:21" ht="21.75" x14ac:dyDescent="0.25">
      <c r="A152" s="201">
        <v>152</v>
      </c>
      <c r="B152" s="202" t="s">
        <v>821</v>
      </c>
      <c r="C152" s="109" t="s">
        <v>96</v>
      </c>
      <c r="D152" s="203">
        <v>45911</v>
      </c>
      <c r="E152" s="98" t="s">
        <v>668</v>
      </c>
      <c r="F152" s="98" t="s">
        <v>664</v>
      </c>
      <c r="G152" s="98" t="s">
        <v>212</v>
      </c>
      <c r="H152" s="98" t="s">
        <v>765</v>
      </c>
      <c r="I152" s="204">
        <f>_xlfn.XLOOKUP(C152,[1]Hoja1!$A:$A,[1]Hoja1!$C:$C,0)</f>
        <v>134660649</v>
      </c>
      <c r="J152" s="204">
        <v>57426</v>
      </c>
      <c r="K152" s="204">
        <v>57426</v>
      </c>
      <c r="L152" s="205">
        <v>0</v>
      </c>
      <c r="M152" s="205">
        <v>57426</v>
      </c>
      <c r="N152" s="204">
        <f t="shared" si="2"/>
        <v>0</v>
      </c>
      <c r="O152" s="118" t="s">
        <v>3006</v>
      </c>
      <c r="P152" s="98" t="s">
        <v>837</v>
      </c>
      <c r="Q152" s="119" t="s">
        <v>840</v>
      </c>
      <c r="R152" s="28" t="s">
        <v>824</v>
      </c>
      <c r="S152" s="28" t="s">
        <v>824</v>
      </c>
      <c r="T152" s="28" t="s">
        <v>824</v>
      </c>
      <c r="U152" s="101">
        <v>0</v>
      </c>
    </row>
    <row r="153" spans="1:21" ht="21.75" x14ac:dyDescent="0.25">
      <c r="A153" s="201">
        <v>153</v>
      </c>
      <c r="B153" s="202" t="s">
        <v>821</v>
      </c>
      <c r="C153" s="109" t="s">
        <v>97</v>
      </c>
      <c r="D153" s="203">
        <v>45901</v>
      </c>
      <c r="E153" s="98" t="s">
        <v>668</v>
      </c>
      <c r="F153" s="98" t="s">
        <v>667</v>
      </c>
      <c r="G153" s="98" t="s">
        <v>237</v>
      </c>
      <c r="H153" s="98" t="s">
        <v>766</v>
      </c>
      <c r="I153" s="204">
        <f>_xlfn.XLOOKUP(C153,[1]Hoja1!$A:$A,[1]Hoja1!$C:$C,0)</f>
        <v>87702</v>
      </c>
      <c r="J153" s="204">
        <v>87702</v>
      </c>
      <c r="K153" s="204">
        <v>87702</v>
      </c>
      <c r="L153" s="205">
        <v>0</v>
      </c>
      <c r="M153" s="205">
        <v>87702</v>
      </c>
      <c r="N153" s="204">
        <f t="shared" si="2"/>
        <v>0</v>
      </c>
      <c r="O153" s="118" t="s">
        <v>3006</v>
      </c>
      <c r="P153" s="98" t="s">
        <v>837</v>
      </c>
      <c r="Q153" s="119" t="s">
        <v>850</v>
      </c>
      <c r="R153" s="28" t="s">
        <v>824</v>
      </c>
      <c r="S153" s="28" t="s">
        <v>824</v>
      </c>
      <c r="T153" s="28" t="s">
        <v>824</v>
      </c>
      <c r="U153" s="101">
        <v>0</v>
      </c>
    </row>
    <row r="154" spans="1:21" ht="21.75" x14ac:dyDescent="0.25">
      <c r="A154" s="201">
        <v>154</v>
      </c>
      <c r="B154" s="202" t="s">
        <v>821</v>
      </c>
      <c r="C154" s="109" t="s">
        <v>98</v>
      </c>
      <c r="D154" s="203">
        <v>45938</v>
      </c>
      <c r="E154" s="98" t="s">
        <v>668</v>
      </c>
      <c r="F154" s="98" t="s">
        <v>664</v>
      </c>
      <c r="G154" s="98" t="s">
        <v>212</v>
      </c>
      <c r="H154" s="98" t="s">
        <v>671</v>
      </c>
      <c r="I154" s="204">
        <f>_xlfn.XLOOKUP(C154,[1]Hoja1!$A:$A,[1]Hoja1!$C:$C,0)</f>
        <v>401149</v>
      </c>
      <c r="J154" s="204">
        <v>65926</v>
      </c>
      <c r="K154" s="204">
        <v>65926</v>
      </c>
      <c r="L154" s="205">
        <v>0</v>
      </c>
      <c r="M154" s="205">
        <v>65926</v>
      </c>
      <c r="N154" s="204">
        <f t="shared" si="2"/>
        <v>0</v>
      </c>
      <c r="O154" s="118" t="s">
        <v>3006</v>
      </c>
      <c r="P154" s="98" t="s">
        <v>837</v>
      </c>
      <c r="Q154" s="119" t="s">
        <v>850</v>
      </c>
      <c r="R154" s="28" t="s">
        <v>824</v>
      </c>
      <c r="S154" s="28" t="s">
        <v>824</v>
      </c>
      <c r="T154" s="28" t="s">
        <v>824</v>
      </c>
      <c r="U154" s="101">
        <v>0</v>
      </c>
    </row>
    <row r="155" spans="1:21" ht="21.75" x14ac:dyDescent="0.25">
      <c r="A155" s="201">
        <v>155</v>
      </c>
      <c r="B155" s="202" t="s">
        <v>821</v>
      </c>
      <c r="C155" s="109" t="s">
        <v>99</v>
      </c>
      <c r="D155" s="203">
        <v>45932</v>
      </c>
      <c r="E155" s="98" t="s">
        <v>668</v>
      </c>
      <c r="F155" s="98" t="s">
        <v>667</v>
      </c>
      <c r="G155" s="98" t="s">
        <v>303</v>
      </c>
      <c r="H155" s="98" t="s">
        <v>767</v>
      </c>
      <c r="I155" s="204">
        <f>_xlfn.XLOOKUP(C155,[1]Hoja1!$A:$A,[1]Hoja1!$C:$C,0)</f>
        <v>9298784</v>
      </c>
      <c r="J155" s="204">
        <v>309000</v>
      </c>
      <c r="K155" s="204">
        <v>309000</v>
      </c>
      <c r="L155" s="205">
        <v>309000</v>
      </c>
      <c r="M155" s="205">
        <v>0</v>
      </c>
      <c r="N155" s="204">
        <f t="shared" si="2"/>
        <v>0</v>
      </c>
      <c r="O155" s="118" t="s">
        <v>3006</v>
      </c>
      <c r="P155" s="98" t="s">
        <v>837</v>
      </c>
      <c r="Q155" s="119" t="s">
        <v>846</v>
      </c>
      <c r="R155" s="28" t="s">
        <v>824</v>
      </c>
      <c r="S155" s="28" t="s">
        <v>824</v>
      </c>
      <c r="T155" s="28" t="s">
        <v>824</v>
      </c>
      <c r="U155" s="101">
        <v>0</v>
      </c>
    </row>
    <row r="156" spans="1:21" ht="21.75" x14ac:dyDescent="0.25">
      <c r="A156" s="201">
        <v>156</v>
      </c>
      <c r="B156" s="202" t="s">
        <v>821</v>
      </c>
      <c r="C156" s="109" t="s">
        <v>99</v>
      </c>
      <c r="D156" s="203">
        <v>45932</v>
      </c>
      <c r="E156" s="98" t="s">
        <v>668</v>
      </c>
      <c r="F156" s="98" t="s">
        <v>667</v>
      </c>
      <c r="G156" s="98" t="s">
        <v>303</v>
      </c>
      <c r="H156" s="98" t="s">
        <v>767</v>
      </c>
      <c r="I156" s="204">
        <f>_xlfn.XLOOKUP(C156,[1]Hoja1!$A:$A,[1]Hoja1!$C:$C,0)</f>
        <v>9298784</v>
      </c>
      <c r="J156" s="204">
        <v>30200</v>
      </c>
      <c r="K156" s="204">
        <v>30200</v>
      </c>
      <c r="L156" s="205">
        <v>30200</v>
      </c>
      <c r="M156" s="205">
        <v>0</v>
      </c>
      <c r="N156" s="204">
        <f t="shared" si="2"/>
        <v>0</v>
      </c>
      <c r="O156" s="118" t="s">
        <v>3006</v>
      </c>
      <c r="P156" s="98" t="s">
        <v>837</v>
      </c>
      <c r="Q156" s="119" t="s">
        <v>846</v>
      </c>
      <c r="R156" s="28" t="s">
        <v>824</v>
      </c>
      <c r="S156" s="28" t="s">
        <v>824</v>
      </c>
      <c r="T156" s="28" t="s">
        <v>824</v>
      </c>
      <c r="U156" s="101">
        <v>0</v>
      </c>
    </row>
    <row r="157" spans="1:21" ht="21.75" x14ac:dyDescent="0.25">
      <c r="A157" s="201">
        <v>157</v>
      </c>
      <c r="B157" s="202" t="s">
        <v>821</v>
      </c>
      <c r="C157" s="109" t="s">
        <v>100</v>
      </c>
      <c r="D157" s="203">
        <v>45908</v>
      </c>
      <c r="E157" s="98" t="s">
        <v>668</v>
      </c>
      <c r="F157" s="98" t="s">
        <v>665</v>
      </c>
      <c r="G157" s="98" t="s">
        <v>260</v>
      </c>
      <c r="H157" s="98" t="s">
        <v>768</v>
      </c>
      <c r="I157" s="204">
        <f>_xlfn.XLOOKUP(C157,[1]Hoja1!$A:$A,[1]Hoja1!$C:$C,0)</f>
        <v>110200305</v>
      </c>
      <c r="J157" s="204">
        <v>108024</v>
      </c>
      <c r="K157" s="204">
        <v>108024</v>
      </c>
      <c r="L157" s="205">
        <v>108024</v>
      </c>
      <c r="M157" s="205">
        <v>0</v>
      </c>
      <c r="N157" s="204">
        <f t="shared" si="2"/>
        <v>0</v>
      </c>
      <c r="O157" s="118" t="s">
        <v>3006</v>
      </c>
      <c r="P157" s="98" t="s">
        <v>837</v>
      </c>
      <c r="Q157" s="119" t="s">
        <v>846</v>
      </c>
      <c r="R157" s="28" t="s">
        <v>824</v>
      </c>
      <c r="S157" s="28" t="s">
        <v>824</v>
      </c>
      <c r="T157" s="28" t="s">
        <v>824</v>
      </c>
      <c r="U157" s="101">
        <v>0</v>
      </c>
    </row>
    <row r="158" spans="1:21" ht="21.75" x14ac:dyDescent="0.25">
      <c r="A158" s="201">
        <v>158</v>
      </c>
      <c r="B158" s="202" t="s">
        <v>821</v>
      </c>
      <c r="C158" s="109" t="s">
        <v>100</v>
      </c>
      <c r="D158" s="203">
        <v>45908</v>
      </c>
      <c r="E158" s="98" t="s">
        <v>668</v>
      </c>
      <c r="F158" s="98" t="s">
        <v>665</v>
      </c>
      <c r="G158" s="98" t="s">
        <v>383</v>
      </c>
      <c r="H158" s="98" t="s">
        <v>769</v>
      </c>
      <c r="I158" s="204">
        <f>_xlfn.XLOOKUP(C158,[1]Hoja1!$A:$A,[1]Hoja1!$C:$C,0)</f>
        <v>110200305</v>
      </c>
      <c r="J158" s="204">
        <v>2727142</v>
      </c>
      <c r="K158" s="204">
        <v>2727142</v>
      </c>
      <c r="L158" s="205">
        <v>0</v>
      </c>
      <c r="M158" s="205">
        <v>2727142</v>
      </c>
      <c r="N158" s="204">
        <f t="shared" si="2"/>
        <v>0</v>
      </c>
      <c r="O158" s="118" t="s">
        <v>3006</v>
      </c>
      <c r="P158" s="98" t="s">
        <v>837</v>
      </c>
      <c r="Q158" s="119" t="s">
        <v>875</v>
      </c>
      <c r="R158" s="28" t="s">
        <v>824</v>
      </c>
      <c r="S158" s="28" t="s">
        <v>824</v>
      </c>
      <c r="T158" s="28" t="s">
        <v>824</v>
      </c>
      <c r="U158" s="101">
        <v>0</v>
      </c>
    </row>
    <row r="159" spans="1:21" ht="21.75" x14ac:dyDescent="0.25">
      <c r="A159" s="201">
        <v>159</v>
      </c>
      <c r="B159" s="202" t="s">
        <v>821</v>
      </c>
      <c r="C159" s="109" t="s">
        <v>100</v>
      </c>
      <c r="D159" s="203">
        <v>45908</v>
      </c>
      <c r="E159" s="98" t="s">
        <v>668</v>
      </c>
      <c r="F159" s="98" t="s">
        <v>665</v>
      </c>
      <c r="G159" s="98" t="s">
        <v>260</v>
      </c>
      <c r="H159" s="98" t="s">
        <v>768</v>
      </c>
      <c r="I159" s="204">
        <f>_xlfn.XLOOKUP(C159,[1]Hoja1!$A:$A,[1]Hoja1!$C:$C,0)</f>
        <v>110200305</v>
      </c>
      <c r="J159" s="204">
        <v>108024</v>
      </c>
      <c r="K159" s="204">
        <v>108024</v>
      </c>
      <c r="L159" s="205">
        <v>108024</v>
      </c>
      <c r="M159" s="205">
        <v>0</v>
      </c>
      <c r="N159" s="204">
        <f t="shared" si="2"/>
        <v>0</v>
      </c>
      <c r="O159" s="118" t="s">
        <v>3006</v>
      </c>
      <c r="P159" s="98" t="s">
        <v>837</v>
      </c>
      <c r="Q159" s="119" t="s">
        <v>846</v>
      </c>
      <c r="R159" s="28" t="s">
        <v>824</v>
      </c>
      <c r="S159" s="28" t="s">
        <v>824</v>
      </c>
      <c r="T159" s="28" t="s">
        <v>824</v>
      </c>
      <c r="U159" s="101">
        <v>0</v>
      </c>
    </row>
    <row r="160" spans="1:21" ht="21.75" x14ac:dyDescent="0.25">
      <c r="A160" s="201">
        <v>160</v>
      </c>
      <c r="B160" s="202" t="s">
        <v>821</v>
      </c>
      <c r="C160" s="109" t="s">
        <v>100</v>
      </c>
      <c r="D160" s="203">
        <v>45908</v>
      </c>
      <c r="E160" s="98" t="s">
        <v>668</v>
      </c>
      <c r="F160" s="98" t="s">
        <v>665</v>
      </c>
      <c r="G160" s="98" t="s">
        <v>260</v>
      </c>
      <c r="H160" s="98" t="s">
        <v>768</v>
      </c>
      <c r="I160" s="204">
        <f>_xlfn.XLOOKUP(C160,[1]Hoja1!$A:$A,[1]Hoja1!$C:$C,0)</f>
        <v>110200305</v>
      </c>
      <c r="J160" s="204">
        <v>108024</v>
      </c>
      <c r="K160" s="204">
        <v>108024</v>
      </c>
      <c r="L160" s="205">
        <v>108024</v>
      </c>
      <c r="M160" s="205">
        <v>0</v>
      </c>
      <c r="N160" s="204">
        <f t="shared" si="2"/>
        <v>0</v>
      </c>
      <c r="O160" s="118" t="s">
        <v>3006</v>
      </c>
      <c r="P160" s="98" t="s">
        <v>837</v>
      </c>
      <c r="Q160" s="119" t="s">
        <v>846</v>
      </c>
      <c r="R160" s="28" t="s">
        <v>824</v>
      </c>
      <c r="S160" s="28" t="s">
        <v>824</v>
      </c>
      <c r="T160" s="28" t="s">
        <v>824</v>
      </c>
      <c r="U160" s="101">
        <v>0</v>
      </c>
    </row>
    <row r="161" spans="1:21" ht="21.75" x14ac:dyDescent="0.25">
      <c r="A161" s="201">
        <v>161</v>
      </c>
      <c r="B161" s="202" t="s">
        <v>821</v>
      </c>
      <c r="C161" s="109" t="s">
        <v>100</v>
      </c>
      <c r="D161" s="203">
        <v>45908</v>
      </c>
      <c r="E161" s="98" t="s">
        <v>668</v>
      </c>
      <c r="F161" s="98" t="s">
        <v>665</v>
      </c>
      <c r="G161" s="98" t="s">
        <v>260</v>
      </c>
      <c r="H161" s="98" t="s">
        <v>768</v>
      </c>
      <c r="I161" s="204">
        <f>_xlfn.XLOOKUP(C161,[1]Hoja1!$A:$A,[1]Hoja1!$C:$C,0)</f>
        <v>110200305</v>
      </c>
      <c r="J161" s="204">
        <v>61268</v>
      </c>
      <c r="K161" s="204">
        <v>61268</v>
      </c>
      <c r="L161" s="205">
        <v>61268</v>
      </c>
      <c r="M161" s="205">
        <v>0</v>
      </c>
      <c r="N161" s="204">
        <f t="shared" si="2"/>
        <v>0</v>
      </c>
      <c r="O161" s="118" t="s">
        <v>3006</v>
      </c>
      <c r="P161" s="98" t="s">
        <v>837</v>
      </c>
      <c r="Q161" s="119" t="s">
        <v>846</v>
      </c>
      <c r="R161" s="28" t="s">
        <v>824</v>
      </c>
      <c r="S161" s="28" t="s">
        <v>824</v>
      </c>
      <c r="T161" s="28" t="s">
        <v>824</v>
      </c>
      <c r="U161" s="101">
        <v>0</v>
      </c>
    </row>
    <row r="162" spans="1:21" ht="21.75" x14ac:dyDescent="0.25">
      <c r="A162" s="201">
        <v>162</v>
      </c>
      <c r="B162" s="202" t="s">
        <v>821</v>
      </c>
      <c r="C162" s="109" t="s">
        <v>100</v>
      </c>
      <c r="D162" s="203">
        <v>45908</v>
      </c>
      <c r="E162" s="98" t="s">
        <v>668</v>
      </c>
      <c r="F162" s="98" t="s">
        <v>665</v>
      </c>
      <c r="G162" s="98" t="s">
        <v>260</v>
      </c>
      <c r="H162" s="98" t="s">
        <v>768</v>
      </c>
      <c r="I162" s="204">
        <f>_xlfn.XLOOKUP(C162,[1]Hoja1!$A:$A,[1]Hoja1!$C:$C,0)</f>
        <v>110200305</v>
      </c>
      <c r="J162" s="204">
        <v>61268</v>
      </c>
      <c r="K162" s="204">
        <v>61268</v>
      </c>
      <c r="L162" s="205">
        <v>61268</v>
      </c>
      <c r="M162" s="205">
        <v>0</v>
      </c>
      <c r="N162" s="204">
        <f t="shared" si="2"/>
        <v>0</v>
      </c>
      <c r="O162" s="118" t="s">
        <v>3006</v>
      </c>
      <c r="P162" s="98" t="s">
        <v>837</v>
      </c>
      <c r="Q162" s="119" t="s">
        <v>846</v>
      </c>
      <c r="R162" s="28" t="s">
        <v>824</v>
      </c>
      <c r="S162" s="28" t="s">
        <v>824</v>
      </c>
      <c r="T162" s="28" t="s">
        <v>824</v>
      </c>
      <c r="U162" s="101">
        <v>0</v>
      </c>
    </row>
    <row r="163" spans="1:21" ht="21.75" x14ac:dyDescent="0.25">
      <c r="A163" s="201">
        <v>163</v>
      </c>
      <c r="B163" s="202" t="s">
        <v>821</v>
      </c>
      <c r="C163" s="109" t="s">
        <v>100</v>
      </c>
      <c r="D163" s="203">
        <v>45908</v>
      </c>
      <c r="E163" s="98" t="s">
        <v>668</v>
      </c>
      <c r="F163" s="98" t="s">
        <v>665</v>
      </c>
      <c r="G163" s="98" t="s">
        <v>260</v>
      </c>
      <c r="H163" s="98" t="s">
        <v>768</v>
      </c>
      <c r="I163" s="204">
        <f>_xlfn.XLOOKUP(C163,[1]Hoja1!$A:$A,[1]Hoja1!$C:$C,0)</f>
        <v>110200305</v>
      </c>
      <c r="J163" s="204">
        <v>61268</v>
      </c>
      <c r="K163" s="204">
        <v>61268</v>
      </c>
      <c r="L163" s="205">
        <v>61268</v>
      </c>
      <c r="M163" s="205">
        <v>0</v>
      </c>
      <c r="N163" s="204">
        <f t="shared" si="2"/>
        <v>0</v>
      </c>
      <c r="O163" s="118" t="s">
        <v>3006</v>
      </c>
      <c r="P163" s="98" t="s">
        <v>837</v>
      </c>
      <c r="Q163" s="119" t="s">
        <v>846</v>
      </c>
      <c r="R163" s="28" t="s">
        <v>824</v>
      </c>
      <c r="S163" s="28" t="s">
        <v>824</v>
      </c>
      <c r="T163" s="28" t="s">
        <v>824</v>
      </c>
      <c r="U163" s="101">
        <v>0</v>
      </c>
    </row>
    <row r="164" spans="1:21" ht="21.75" x14ac:dyDescent="0.25">
      <c r="A164" s="201">
        <v>164</v>
      </c>
      <c r="B164" s="202" t="s">
        <v>821</v>
      </c>
      <c r="C164" s="109" t="s">
        <v>100</v>
      </c>
      <c r="D164" s="203">
        <v>45908</v>
      </c>
      <c r="E164" s="98" t="s">
        <v>668</v>
      </c>
      <c r="F164" s="98" t="s">
        <v>665</v>
      </c>
      <c r="G164" s="98" t="s">
        <v>260</v>
      </c>
      <c r="H164" s="98" t="s">
        <v>768</v>
      </c>
      <c r="I164" s="204">
        <f>_xlfn.XLOOKUP(C164,[1]Hoja1!$A:$A,[1]Hoja1!$C:$C,0)</f>
        <v>110200305</v>
      </c>
      <c r="J164" s="204">
        <v>61268</v>
      </c>
      <c r="K164" s="204">
        <v>61268</v>
      </c>
      <c r="L164" s="205">
        <v>61268</v>
      </c>
      <c r="M164" s="205">
        <v>0</v>
      </c>
      <c r="N164" s="204">
        <f t="shared" si="2"/>
        <v>0</v>
      </c>
      <c r="O164" s="118" t="s">
        <v>3006</v>
      </c>
      <c r="P164" s="98" t="s">
        <v>837</v>
      </c>
      <c r="Q164" s="119" t="s">
        <v>846</v>
      </c>
      <c r="R164" s="28" t="s">
        <v>824</v>
      </c>
      <c r="S164" s="28" t="s">
        <v>824</v>
      </c>
      <c r="T164" s="28" t="s">
        <v>824</v>
      </c>
      <c r="U164" s="101">
        <v>0</v>
      </c>
    </row>
    <row r="165" spans="1:21" ht="21.75" x14ac:dyDescent="0.25">
      <c r="A165" s="201">
        <v>165</v>
      </c>
      <c r="B165" s="202" t="s">
        <v>821</v>
      </c>
      <c r="C165" s="109" t="s">
        <v>100</v>
      </c>
      <c r="D165" s="203">
        <v>45908</v>
      </c>
      <c r="E165" s="98" t="s">
        <v>668</v>
      </c>
      <c r="F165" s="98" t="s">
        <v>665</v>
      </c>
      <c r="G165" s="98" t="s">
        <v>260</v>
      </c>
      <c r="H165" s="98" t="s">
        <v>768</v>
      </c>
      <c r="I165" s="204">
        <f>_xlfn.XLOOKUP(C165,[1]Hoja1!$A:$A,[1]Hoja1!$C:$C,0)</f>
        <v>110200305</v>
      </c>
      <c r="J165" s="204">
        <v>108024</v>
      </c>
      <c r="K165" s="204">
        <v>108024</v>
      </c>
      <c r="L165" s="205">
        <v>108024</v>
      </c>
      <c r="M165" s="205">
        <v>0</v>
      </c>
      <c r="N165" s="204">
        <f t="shared" si="2"/>
        <v>0</v>
      </c>
      <c r="O165" s="118" t="s">
        <v>3006</v>
      </c>
      <c r="P165" s="98" t="s">
        <v>837</v>
      </c>
      <c r="Q165" s="119" t="s">
        <v>846</v>
      </c>
      <c r="R165" s="28" t="s">
        <v>824</v>
      </c>
      <c r="S165" s="28" t="s">
        <v>824</v>
      </c>
      <c r="T165" s="28" t="s">
        <v>824</v>
      </c>
      <c r="U165" s="101">
        <v>0</v>
      </c>
    </row>
    <row r="166" spans="1:21" ht="21.75" x14ac:dyDescent="0.25">
      <c r="A166" s="201">
        <v>166</v>
      </c>
      <c r="B166" s="202" t="s">
        <v>821</v>
      </c>
      <c r="C166" s="109" t="s">
        <v>100</v>
      </c>
      <c r="D166" s="203">
        <v>45908</v>
      </c>
      <c r="E166" s="98" t="s">
        <v>668</v>
      </c>
      <c r="F166" s="98" t="s">
        <v>665</v>
      </c>
      <c r="G166" s="98" t="s">
        <v>383</v>
      </c>
      <c r="H166" s="98" t="s">
        <v>770</v>
      </c>
      <c r="I166" s="204">
        <f>_xlfn.XLOOKUP(C166,[1]Hoja1!$A:$A,[1]Hoja1!$C:$C,0)</f>
        <v>110200305</v>
      </c>
      <c r="J166" s="204">
        <v>2727142</v>
      </c>
      <c r="K166" s="204">
        <v>2727142</v>
      </c>
      <c r="L166" s="205">
        <v>0</v>
      </c>
      <c r="M166" s="205">
        <v>2727142</v>
      </c>
      <c r="N166" s="204">
        <f t="shared" si="2"/>
        <v>0</v>
      </c>
      <c r="O166" s="118" t="s">
        <v>3006</v>
      </c>
      <c r="P166" s="98" t="s">
        <v>837</v>
      </c>
      <c r="Q166" s="119" t="s">
        <v>875</v>
      </c>
      <c r="R166" s="28" t="s">
        <v>824</v>
      </c>
      <c r="S166" s="28" t="s">
        <v>824</v>
      </c>
      <c r="T166" s="28" t="s">
        <v>824</v>
      </c>
      <c r="U166" s="101">
        <v>0</v>
      </c>
    </row>
    <row r="167" spans="1:21" ht="21.75" x14ac:dyDescent="0.25">
      <c r="A167" s="201">
        <v>167</v>
      </c>
      <c r="B167" s="202" t="s">
        <v>821</v>
      </c>
      <c r="C167" s="109" t="s">
        <v>100</v>
      </c>
      <c r="D167" s="203">
        <v>45908</v>
      </c>
      <c r="E167" s="98" t="s">
        <v>668</v>
      </c>
      <c r="F167" s="98" t="s">
        <v>665</v>
      </c>
      <c r="G167" s="98" t="s">
        <v>383</v>
      </c>
      <c r="H167" s="98" t="s">
        <v>770</v>
      </c>
      <c r="I167" s="204">
        <f>_xlfn.XLOOKUP(C167,[1]Hoja1!$A:$A,[1]Hoja1!$C:$C,0)</f>
        <v>110200305</v>
      </c>
      <c r="J167" s="204">
        <v>1068175</v>
      </c>
      <c r="K167" s="204">
        <v>1068175</v>
      </c>
      <c r="L167" s="205">
        <v>0</v>
      </c>
      <c r="M167" s="205">
        <v>1068175</v>
      </c>
      <c r="N167" s="204">
        <f t="shared" si="2"/>
        <v>0</v>
      </c>
      <c r="O167" s="118" t="s">
        <v>3006</v>
      </c>
      <c r="P167" s="98" t="s">
        <v>837</v>
      </c>
      <c r="Q167" s="119" t="s">
        <v>875</v>
      </c>
      <c r="R167" s="28" t="s">
        <v>824</v>
      </c>
      <c r="S167" s="28" t="s">
        <v>824</v>
      </c>
      <c r="T167" s="28" t="s">
        <v>824</v>
      </c>
      <c r="U167" s="101">
        <v>0</v>
      </c>
    </row>
    <row r="168" spans="1:21" ht="21.75" x14ac:dyDescent="0.25">
      <c r="A168" s="201">
        <v>168</v>
      </c>
      <c r="B168" s="202" t="s">
        <v>821</v>
      </c>
      <c r="C168" s="109" t="s">
        <v>100</v>
      </c>
      <c r="D168" s="203">
        <v>45908</v>
      </c>
      <c r="E168" s="98" t="s">
        <v>668</v>
      </c>
      <c r="F168" s="98" t="s">
        <v>665</v>
      </c>
      <c r="G168" s="98" t="s">
        <v>383</v>
      </c>
      <c r="H168" s="98" t="s">
        <v>770</v>
      </c>
      <c r="I168" s="204">
        <f>_xlfn.XLOOKUP(C168,[1]Hoja1!$A:$A,[1]Hoja1!$C:$C,0)</f>
        <v>110200305</v>
      </c>
      <c r="J168" s="204">
        <v>1068175</v>
      </c>
      <c r="K168" s="204">
        <v>1068175</v>
      </c>
      <c r="L168" s="205">
        <v>0</v>
      </c>
      <c r="M168" s="205">
        <v>1068175</v>
      </c>
      <c r="N168" s="204">
        <f t="shared" si="2"/>
        <v>0</v>
      </c>
      <c r="O168" s="118" t="s">
        <v>3006</v>
      </c>
      <c r="P168" s="98" t="s">
        <v>837</v>
      </c>
      <c r="Q168" s="119" t="s">
        <v>875</v>
      </c>
      <c r="R168" s="28" t="s">
        <v>824</v>
      </c>
      <c r="S168" s="28" t="s">
        <v>824</v>
      </c>
      <c r="T168" s="28" t="s">
        <v>824</v>
      </c>
      <c r="U168" s="101">
        <v>0</v>
      </c>
    </row>
    <row r="169" spans="1:21" ht="21.75" x14ac:dyDescent="0.25">
      <c r="A169" s="201">
        <v>169</v>
      </c>
      <c r="B169" s="202" t="s">
        <v>821</v>
      </c>
      <c r="C169" s="109" t="s">
        <v>101</v>
      </c>
      <c r="D169" s="203">
        <v>45909</v>
      </c>
      <c r="E169" s="98" t="s">
        <v>668</v>
      </c>
      <c r="F169" s="98" t="s">
        <v>665</v>
      </c>
      <c r="G169" s="98" t="s">
        <v>260</v>
      </c>
      <c r="H169" s="98" t="s">
        <v>771</v>
      </c>
      <c r="I169" s="204">
        <f>_xlfn.XLOOKUP(C169,[1]Hoja1!$A:$A,[1]Hoja1!$C:$C,0)</f>
        <v>68409212</v>
      </c>
      <c r="J169" s="204">
        <v>108024</v>
      </c>
      <c r="K169" s="204">
        <v>108024</v>
      </c>
      <c r="L169" s="205">
        <v>108024</v>
      </c>
      <c r="M169" s="205">
        <v>0</v>
      </c>
      <c r="N169" s="204">
        <f t="shared" si="2"/>
        <v>0</v>
      </c>
      <c r="O169" s="118" t="s">
        <v>3006</v>
      </c>
      <c r="P169" s="98" t="s">
        <v>837</v>
      </c>
      <c r="Q169" s="119" t="s">
        <v>846</v>
      </c>
      <c r="R169" s="28" t="s">
        <v>824</v>
      </c>
      <c r="S169" s="28" t="s">
        <v>824</v>
      </c>
      <c r="T169" s="28" t="s">
        <v>824</v>
      </c>
      <c r="U169" s="101">
        <v>0</v>
      </c>
    </row>
    <row r="170" spans="1:21" ht="21.75" x14ac:dyDescent="0.25">
      <c r="A170" s="201">
        <v>170</v>
      </c>
      <c r="B170" s="202" t="s">
        <v>821</v>
      </c>
      <c r="C170" s="109" t="s">
        <v>101</v>
      </c>
      <c r="D170" s="203">
        <v>45909</v>
      </c>
      <c r="E170" s="98" t="s">
        <v>668</v>
      </c>
      <c r="F170" s="98" t="s">
        <v>665</v>
      </c>
      <c r="G170" s="98" t="s">
        <v>260</v>
      </c>
      <c r="H170" s="98" t="s">
        <v>771</v>
      </c>
      <c r="I170" s="204">
        <f>_xlfn.XLOOKUP(C170,[1]Hoja1!$A:$A,[1]Hoja1!$C:$C,0)</f>
        <v>68409212</v>
      </c>
      <c r="J170" s="204">
        <v>61268</v>
      </c>
      <c r="K170" s="204">
        <v>61268</v>
      </c>
      <c r="L170" s="205">
        <v>61268</v>
      </c>
      <c r="M170" s="205">
        <v>0</v>
      </c>
      <c r="N170" s="204">
        <f t="shared" si="2"/>
        <v>0</v>
      </c>
      <c r="O170" s="118" t="s">
        <v>3006</v>
      </c>
      <c r="P170" s="98" t="s">
        <v>837</v>
      </c>
      <c r="Q170" s="119" t="s">
        <v>846</v>
      </c>
      <c r="R170" s="28" t="s">
        <v>824</v>
      </c>
      <c r="S170" s="28" t="s">
        <v>824</v>
      </c>
      <c r="T170" s="28" t="s">
        <v>824</v>
      </c>
      <c r="U170" s="101">
        <v>0</v>
      </c>
    </row>
    <row r="171" spans="1:21" ht="21.75" x14ac:dyDescent="0.25">
      <c r="A171" s="201">
        <v>171</v>
      </c>
      <c r="B171" s="202" t="s">
        <v>821</v>
      </c>
      <c r="C171" s="109" t="s">
        <v>101</v>
      </c>
      <c r="D171" s="203">
        <v>45909</v>
      </c>
      <c r="E171" s="98" t="s">
        <v>668</v>
      </c>
      <c r="F171" s="98" t="s">
        <v>665</v>
      </c>
      <c r="G171" s="98" t="s">
        <v>260</v>
      </c>
      <c r="H171" s="98" t="s">
        <v>771</v>
      </c>
      <c r="I171" s="204">
        <f>_xlfn.XLOOKUP(C171,[1]Hoja1!$A:$A,[1]Hoja1!$C:$C,0)</f>
        <v>68409212</v>
      </c>
      <c r="J171" s="204">
        <v>108024</v>
      </c>
      <c r="K171" s="204">
        <v>108024</v>
      </c>
      <c r="L171" s="205">
        <v>108024</v>
      </c>
      <c r="M171" s="205">
        <v>0</v>
      </c>
      <c r="N171" s="204">
        <f t="shared" si="2"/>
        <v>0</v>
      </c>
      <c r="O171" s="118" t="s">
        <v>3006</v>
      </c>
      <c r="P171" s="98" t="s">
        <v>837</v>
      </c>
      <c r="Q171" s="119" t="s">
        <v>846</v>
      </c>
      <c r="R171" s="28" t="s">
        <v>824</v>
      </c>
      <c r="S171" s="28" t="s">
        <v>824</v>
      </c>
      <c r="T171" s="28" t="s">
        <v>824</v>
      </c>
      <c r="U171" s="101">
        <v>0</v>
      </c>
    </row>
    <row r="172" spans="1:21" ht="21.75" x14ac:dyDescent="0.25">
      <c r="A172" s="201">
        <v>172</v>
      </c>
      <c r="B172" s="202" t="s">
        <v>821</v>
      </c>
      <c r="C172" s="109" t="s">
        <v>101</v>
      </c>
      <c r="D172" s="203">
        <v>45909</v>
      </c>
      <c r="E172" s="98" t="s">
        <v>668</v>
      </c>
      <c r="F172" s="98" t="s">
        <v>665</v>
      </c>
      <c r="G172" s="98" t="s">
        <v>260</v>
      </c>
      <c r="H172" s="98" t="s">
        <v>771</v>
      </c>
      <c r="I172" s="204">
        <f>_xlfn.XLOOKUP(C172,[1]Hoja1!$A:$A,[1]Hoja1!$C:$C,0)</f>
        <v>68409212</v>
      </c>
      <c r="J172" s="204">
        <v>108024</v>
      </c>
      <c r="K172" s="204">
        <v>108024</v>
      </c>
      <c r="L172" s="205">
        <v>108024</v>
      </c>
      <c r="M172" s="205">
        <v>0</v>
      </c>
      <c r="N172" s="204">
        <f t="shared" si="2"/>
        <v>0</v>
      </c>
      <c r="O172" s="118" t="s">
        <v>3006</v>
      </c>
      <c r="P172" s="98" t="s">
        <v>837</v>
      </c>
      <c r="Q172" s="119" t="s">
        <v>846</v>
      </c>
      <c r="R172" s="28" t="s">
        <v>824</v>
      </c>
      <c r="S172" s="28" t="s">
        <v>824</v>
      </c>
      <c r="T172" s="28" t="s">
        <v>824</v>
      </c>
      <c r="U172" s="101">
        <v>0</v>
      </c>
    </row>
    <row r="173" spans="1:21" ht="21.75" x14ac:dyDescent="0.25">
      <c r="A173" s="201">
        <v>173</v>
      </c>
      <c r="B173" s="202" t="s">
        <v>821</v>
      </c>
      <c r="C173" s="109" t="s">
        <v>101</v>
      </c>
      <c r="D173" s="203">
        <v>45909</v>
      </c>
      <c r="E173" s="98" t="s">
        <v>668</v>
      </c>
      <c r="F173" s="98" t="s">
        <v>665</v>
      </c>
      <c r="G173" s="98" t="s">
        <v>260</v>
      </c>
      <c r="H173" s="98" t="s">
        <v>771</v>
      </c>
      <c r="I173" s="204">
        <f>_xlfn.XLOOKUP(C173,[1]Hoja1!$A:$A,[1]Hoja1!$C:$C,0)</f>
        <v>68409212</v>
      </c>
      <c r="J173" s="204">
        <v>108024</v>
      </c>
      <c r="K173" s="204">
        <v>108024</v>
      </c>
      <c r="L173" s="205">
        <v>108024</v>
      </c>
      <c r="M173" s="205">
        <v>0</v>
      </c>
      <c r="N173" s="204">
        <f t="shared" si="2"/>
        <v>0</v>
      </c>
      <c r="O173" s="118" t="s">
        <v>3006</v>
      </c>
      <c r="P173" s="98" t="s">
        <v>837</v>
      </c>
      <c r="Q173" s="119" t="s">
        <v>846</v>
      </c>
      <c r="R173" s="28" t="s">
        <v>824</v>
      </c>
      <c r="S173" s="28" t="s">
        <v>824</v>
      </c>
      <c r="T173" s="28" t="s">
        <v>824</v>
      </c>
      <c r="U173" s="101">
        <v>0</v>
      </c>
    </row>
    <row r="174" spans="1:21" ht="21.75" x14ac:dyDescent="0.25">
      <c r="A174" s="201">
        <v>174</v>
      </c>
      <c r="B174" s="202" t="s">
        <v>821</v>
      </c>
      <c r="C174" s="109" t="s">
        <v>101</v>
      </c>
      <c r="D174" s="203">
        <v>45909</v>
      </c>
      <c r="E174" s="98" t="s">
        <v>668</v>
      </c>
      <c r="F174" s="98" t="s">
        <v>665</v>
      </c>
      <c r="G174" s="98" t="s">
        <v>260</v>
      </c>
      <c r="H174" s="98" t="s">
        <v>771</v>
      </c>
      <c r="I174" s="204">
        <f>_xlfn.XLOOKUP(C174,[1]Hoja1!$A:$A,[1]Hoja1!$C:$C,0)</f>
        <v>68409212</v>
      </c>
      <c r="J174" s="204">
        <v>61268</v>
      </c>
      <c r="K174" s="204">
        <v>61268</v>
      </c>
      <c r="L174" s="205">
        <v>61268</v>
      </c>
      <c r="M174" s="205">
        <v>0</v>
      </c>
      <c r="N174" s="204">
        <f t="shared" si="2"/>
        <v>0</v>
      </c>
      <c r="O174" s="118" t="s">
        <v>3006</v>
      </c>
      <c r="P174" s="98" t="s">
        <v>837</v>
      </c>
      <c r="Q174" s="119" t="s">
        <v>846</v>
      </c>
      <c r="R174" s="28" t="s">
        <v>824</v>
      </c>
      <c r="S174" s="28" t="s">
        <v>824</v>
      </c>
      <c r="T174" s="28" t="s">
        <v>824</v>
      </c>
      <c r="U174" s="101">
        <v>0</v>
      </c>
    </row>
    <row r="175" spans="1:21" ht="21.75" x14ac:dyDescent="0.25">
      <c r="A175" s="201">
        <v>175</v>
      </c>
      <c r="B175" s="202" t="s">
        <v>821</v>
      </c>
      <c r="C175" s="109" t="s">
        <v>101</v>
      </c>
      <c r="D175" s="203">
        <v>45909</v>
      </c>
      <c r="E175" s="98" t="s">
        <v>668</v>
      </c>
      <c r="F175" s="98" t="s">
        <v>665</v>
      </c>
      <c r="G175" s="98" t="s">
        <v>260</v>
      </c>
      <c r="H175" s="98" t="s">
        <v>771</v>
      </c>
      <c r="I175" s="204">
        <f>_xlfn.XLOOKUP(C175,[1]Hoja1!$A:$A,[1]Hoja1!$C:$C,0)</f>
        <v>68409212</v>
      </c>
      <c r="J175" s="204">
        <v>108024</v>
      </c>
      <c r="K175" s="204">
        <v>108024</v>
      </c>
      <c r="L175" s="205">
        <v>108024</v>
      </c>
      <c r="M175" s="205">
        <v>0</v>
      </c>
      <c r="N175" s="204">
        <f t="shared" si="2"/>
        <v>0</v>
      </c>
      <c r="O175" s="118" t="s">
        <v>3006</v>
      </c>
      <c r="P175" s="98" t="s">
        <v>837</v>
      </c>
      <c r="Q175" s="119" t="s">
        <v>846</v>
      </c>
      <c r="R175" s="28" t="s">
        <v>824</v>
      </c>
      <c r="S175" s="28" t="s">
        <v>824</v>
      </c>
      <c r="T175" s="28" t="s">
        <v>824</v>
      </c>
      <c r="U175" s="101">
        <v>0</v>
      </c>
    </row>
    <row r="176" spans="1:21" ht="21.75" x14ac:dyDescent="0.25">
      <c r="A176" s="201">
        <v>176</v>
      </c>
      <c r="B176" s="202" t="s">
        <v>821</v>
      </c>
      <c r="C176" s="109" t="s">
        <v>101</v>
      </c>
      <c r="D176" s="203">
        <v>45909</v>
      </c>
      <c r="E176" s="98" t="s">
        <v>668</v>
      </c>
      <c r="F176" s="98" t="s">
        <v>665</v>
      </c>
      <c r="G176" s="98" t="s">
        <v>260</v>
      </c>
      <c r="H176" s="98" t="s">
        <v>771</v>
      </c>
      <c r="I176" s="204">
        <f>_xlfn.XLOOKUP(C176,[1]Hoja1!$A:$A,[1]Hoja1!$C:$C,0)</f>
        <v>68409212</v>
      </c>
      <c r="J176" s="204">
        <v>108024</v>
      </c>
      <c r="K176" s="204">
        <v>108024</v>
      </c>
      <c r="L176" s="205">
        <v>108024</v>
      </c>
      <c r="M176" s="205">
        <v>0</v>
      </c>
      <c r="N176" s="204">
        <f t="shared" si="2"/>
        <v>0</v>
      </c>
      <c r="O176" s="118" t="s">
        <v>3006</v>
      </c>
      <c r="P176" s="98" t="s">
        <v>837</v>
      </c>
      <c r="Q176" s="119" t="s">
        <v>846</v>
      </c>
      <c r="R176" s="28" t="s">
        <v>824</v>
      </c>
      <c r="S176" s="28" t="s">
        <v>824</v>
      </c>
      <c r="T176" s="28" t="s">
        <v>824</v>
      </c>
      <c r="U176" s="101">
        <v>0</v>
      </c>
    </row>
    <row r="177" spans="1:21" ht="21.75" x14ac:dyDescent="0.25">
      <c r="A177" s="201">
        <v>177</v>
      </c>
      <c r="B177" s="202" t="s">
        <v>821</v>
      </c>
      <c r="C177" s="109" t="s">
        <v>101</v>
      </c>
      <c r="D177" s="203">
        <v>45909</v>
      </c>
      <c r="E177" s="98" t="s">
        <v>668</v>
      </c>
      <c r="F177" s="98" t="s">
        <v>665</v>
      </c>
      <c r="G177" s="98" t="s">
        <v>260</v>
      </c>
      <c r="H177" s="98" t="s">
        <v>771</v>
      </c>
      <c r="I177" s="204">
        <f>_xlfn.XLOOKUP(C177,[1]Hoja1!$A:$A,[1]Hoja1!$C:$C,0)</f>
        <v>68409212</v>
      </c>
      <c r="J177" s="204">
        <v>108024</v>
      </c>
      <c r="K177" s="204">
        <v>108024</v>
      </c>
      <c r="L177" s="205">
        <v>108024</v>
      </c>
      <c r="M177" s="205">
        <v>0</v>
      </c>
      <c r="N177" s="204">
        <f t="shared" si="2"/>
        <v>0</v>
      </c>
      <c r="O177" s="118" t="s">
        <v>3006</v>
      </c>
      <c r="P177" s="98" t="s">
        <v>837</v>
      </c>
      <c r="Q177" s="119" t="s">
        <v>846</v>
      </c>
      <c r="R177" s="28" t="s">
        <v>824</v>
      </c>
      <c r="S177" s="28" t="s">
        <v>824</v>
      </c>
      <c r="T177" s="28" t="s">
        <v>824</v>
      </c>
      <c r="U177" s="101">
        <v>0</v>
      </c>
    </row>
    <row r="178" spans="1:21" ht="21.75" x14ac:dyDescent="0.25">
      <c r="A178" s="201">
        <v>178</v>
      </c>
      <c r="B178" s="202" t="s">
        <v>821</v>
      </c>
      <c r="C178" s="109" t="s">
        <v>101</v>
      </c>
      <c r="D178" s="203">
        <v>45909</v>
      </c>
      <c r="E178" s="98" t="s">
        <v>669</v>
      </c>
      <c r="F178" s="98" t="s">
        <v>666</v>
      </c>
      <c r="G178" s="98" t="s">
        <v>194</v>
      </c>
      <c r="H178" s="98" t="s">
        <v>772</v>
      </c>
      <c r="I178" s="204">
        <f>_xlfn.XLOOKUP(C178,[1]Hoja1!$A:$A,[1]Hoja1!$C:$C,0)</f>
        <v>68409212</v>
      </c>
      <c r="J178" s="204">
        <v>3058255</v>
      </c>
      <c r="K178" s="204">
        <v>3058255</v>
      </c>
      <c r="L178" s="205">
        <v>0</v>
      </c>
      <c r="M178" s="205">
        <v>3058255</v>
      </c>
      <c r="N178" s="204">
        <f t="shared" si="2"/>
        <v>0</v>
      </c>
      <c r="O178" s="118" t="s">
        <v>3006</v>
      </c>
      <c r="P178" s="98" t="s">
        <v>839</v>
      </c>
      <c r="Q178" s="119" t="s">
        <v>886</v>
      </c>
      <c r="R178" s="28" t="s">
        <v>824</v>
      </c>
      <c r="S178" s="28" t="s">
        <v>824</v>
      </c>
      <c r="T178" s="28" t="s">
        <v>824</v>
      </c>
      <c r="U178" s="101">
        <v>0</v>
      </c>
    </row>
    <row r="179" spans="1:21" ht="21.75" x14ac:dyDescent="0.25">
      <c r="A179" s="201">
        <v>179</v>
      </c>
      <c r="B179" s="202" t="s">
        <v>821</v>
      </c>
      <c r="C179" s="109" t="s">
        <v>102</v>
      </c>
      <c r="D179" s="203">
        <v>45942</v>
      </c>
      <c r="E179" s="98" t="s">
        <v>669</v>
      </c>
      <c r="F179" s="98" t="s">
        <v>666</v>
      </c>
      <c r="G179" s="98" t="s">
        <v>271</v>
      </c>
      <c r="H179" s="98" t="s">
        <v>773</v>
      </c>
      <c r="I179" s="204">
        <f>_xlfn.XLOOKUP(C179,[1]Hoja1!$A:$A,[1]Hoja1!$C:$C,0)</f>
        <v>1263205</v>
      </c>
      <c r="J179" s="204">
        <v>3700</v>
      </c>
      <c r="K179" s="204">
        <v>3700</v>
      </c>
      <c r="L179" s="205">
        <v>3700</v>
      </c>
      <c r="M179" s="205">
        <v>0</v>
      </c>
      <c r="N179" s="204">
        <f t="shared" si="2"/>
        <v>0</v>
      </c>
      <c r="O179" s="118" t="s">
        <v>3006</v>
      </c>
      <c r="P179" s="98" t="s">
        <v>839</v>
      </c>
      <c r="Q179" s="119" t="s">
        <v>887</v>
      </c>
      <c r="R179" s="28" t="s">
        <v>824</v>
      </c>
      <c r="S179" s="28" t="s">
        <v>824</v>
      </c>
      <c r="T179" s="28" t="s">
        <v>824</v>
      </c>
      <c r="U179" s="101">
        <v>0</v>
      </c>
    </row>
    <row r="180" spans="1:21" ht="21.75" x14ac:dyDescent="0.25">
      <c r="A180" s="201">
        <v>180</v>
      </c>
      <c r="B180" s="202" t="s">
        <v>821</v>
      </c>
      <c r="C180" s="109" t="s">
        <v>103</v>
      </c>
      <c r="D180" s="203">
        <v>45952</v>
      </c>
      <c r="E180" s="98" t="s">
        <v>668</v>
      </c>
      <c r="F180" s="98" t="s">
        <v>664</v>
      </c>
      <c r="G180" s="98" t="s">
        <v>185</v>
      </c>
      <c r="H180" s="98" t="s">
        <v>671</v>
      </c>
      <c r="I180" s="204">
        <f>_xlfn.XLOOKUP(C180,[1]Hoja1!$A:$A,[1]Hoja1!$C:$C,0)</f>
        <v>106697</v>
      </c>
      <c r="J180" s="204">
        <v>31297</v>
      </c>
      <c r="K180" s="204">
        <v>31297</v>
      </c>
      <c r="L180" s="205">
        <v>0</v>
      </c>
      <c r="M180" s="205">
        <v>31297</v>
      </c>
      <c r="N180" s="204">
        <f t="shared" si="2"/>
        <v>0</v>
      </c>
      <c r="O180" s="118" t="s">
        <v>3006</v>
      </c>
      <c r="P180" s="98" t="s">
        <v>837</v>
      </c>
      <c r="Q180" s="119" t="s">
        <v>840</v>
      </c>
      <c r="R180" s="28" t="s">
        <v>824</v>
      </c>
      <c r="S180" s="28" t="s">
        <v>824</v>
      </c>
      <c r="T180" s="28" t="s">
        <v>824</v>
      </c>
      <c r="U180" s="101">
        <v>0</v>
      </c>
    </row>
    <row r="181" spans="1:21" ht="21.75" x14ac:dyDescent="0.25">
      <c r="A181" s="201">
        <v>181</v>
      </c>
      <c r="B181" s="202" t="s">
        <v>821</v>
      </c>
      <c r="C181" s="109" t="s">
        <v>104</v>
      </c>
      <c r="D181" s="203">
        <v>45957</v>
      </c>
      <c r="E181" s="98" t="s">
        <v>668</v>
      </c>
      <c r="F181" s="98" t="s">
        <v>664</v>
      </c>
      <c r="G181" s="98" t="s">
        <v>185</v>
      </c>
      <c r="H181" s="98" t="s">
        <v>671</v>
      </c>
      <c r="I181" s="204">
        <f>_xlfn.XLOOKUP(C181,[1]Hoja1!$A:$A,[1]Hoja1!$C:$C,0)</f>
        <v>82085</v>
      </c>
      <c r="J181" s="204">
        <v>6685</v>
      </c>
      <c r="K181" s="204">
        <v>6685</v>
      </c>
      <c r="L181" s="205">
        <v>0</v>
      </c>
      <c r="M181" s="205">
        <v>6685</v>
      </c>
      <c r="N181" s="204">
        <f t="shared" si="2"/>
        <v>0</v>
      </c>
      <c r="O181" s="118" t="s">
        <v>3006</v>
      </c>
      <c r="P181" s="98" t="s">
        <v>837</v>
      </c>
      <c r="Q181" s="119" t="s">
        <v>840</v>
      </c>
      <c r="R181" s="28" t="s">
        <v>824</v>
      </c>
      <c r="S181" s="28" t="s">
        <v>824</v>
      </c>
      <c r="T181" s="28" t="s">
        <v>824</v>
      </c>
      <c r="U181" s="101">
        <v>0</v>
      </c>
    </row>
    <row r="182" spans="1:21" ht="21.75" x14ac:dyDescent="0.25">
      <c r="A182" s="201">
        <v>182</v>
      </c>
      <c r="B182" s="202" t="s">
        <v>821</v>
      </c>
      <c r="C182" s="109" t="s">
        <v>105</v>
      </c>
      <c r="D182" s="203">
        <v>45910</v>
      </c>
      <c r="E182" s="98" t="s">
        <v>668</v>
      </c>
      <c r="F182" s="98" t="s">
        <v>667</v>
      </c>
      <c r="G182" s="98" t="s">
        <v>303</v>
      </c>
      <c r="H182" s="98" t="s">
        <v>774</v>
      </c>
      <c r="I182" s="204">
        <f>_xlfn.XLOOKUP(C182,[1]Hoja1!$A:$A,[1]Hoja1!$C:$C,0)</f>
        <v>1112776</v>
      </c>
      <c r="J182" s="204">
        <v>1112776</v>
      </c>
      <c r="K182" s="204">
        <v>1112776</v>
      </c>
      <c r="L182" s="205">
        <v>0</v>
      </c>
      <c r="M182" s="205">
        <v>1112776</v>
      </c>
      <c r="N182" s="204">
        <f t="shared" si="2"/>
        <v>0</v>
      </c>
      <c r="O182" s="118" t="s">
        <v>3006</v>
      </c>
      <c r="P182" s="98" t="s">
        <v>837</v>
      </c>
      <c r="Q182" s="119" t="s">
        <v>840</v>
      </c>
      <c r="R182" s="28" t="s">
        <v>824</v>
      </c>
      <c r="S182" s="28" t="s">
        <v>824</v>
      </c>
      <c r="T182" s="28" t="s">
        <v>824</v>
      </c>
      <c r="U182" s="101">
        <v>0</v>
      </c>
    </row>
    <row r="183" spans="1:21" ht="21.75" x14ac:dyDescent="0.25">
      <c r="A183" s="201">
        <v>183</v>
      </c>
      <c r="B183" s="202" t="s">
        <v>821</v>
      </c>
      <c r="C183" s="109" t="s">
        <v>106</v>
      </c>
      <c r="D183" s="203">
        <v>45938</v>
      </c>
      <c r="E183" s="98" t="s">
        <v>668</v>
      </c>
      <c r="F183" s="98" t="s">
        <v>667</v>
      </c>
      <c r="G183" s="98" t="s">
        <v>303</v>
      </c>
      <c r="H183" s="98" t="s">
        <v>774</v>
      </c>
      <c r="I183" s="204">
        <f>_xlfn.XLOOKUP(C183,[1]Hoja1!$A:$A,[1]Hoja1!$C:$C,0)</f>
        <v>1701716</v>
      </c>
      <c r="J183" s="204">
        <v>1617070</v>
      </c>
      <c r="K183" s="204">
        <v>1617070</v>
      </c>
      <c r="L183" s="205">
        <v>0</v>
      </c>
      <c r="M183" s="205">
        <v>1617070</v>
      </c>
      <c r="N183" s="204">
        <f t="shared" si="2"/>
        <v>0</v>
      </c>
      <c r="O183" s="118" t="s">
        <v>3006</v>
      </c>
      <c r="P183" s="98" t="s">
        <v>837</v>
      </c>
      <c r="Q183" s="119" t="s">
        <v>840</v>
      </c>
      <c r="R183" s="28" t="s">
        <v>824</v>
      </c>
      <c r="S183" s="28" t="s">
        <v>824</v>
      </c>
      <c r="T183" s="28" t="s">
        <v>824</v>
      </c>
      <c r="U183" s="101">
        <v>0</v>
      </c>
    </row>
    <row r="184" spans="1:21" ht="21.75" x14ac:dyDescent="0.25">
      <c r="A184" s="201">
        <v>184</v>
      </c>
      <c r="B184" s="202" t="s">
        <v>821</v>
      </c>
      <c r="C184" s="109" t="s">
        <v>107</v>
      </c>
      <c r="D184" s="203">
        <v>45919</v>
      </c>
      <c r="E184" s="98" t="s">
        <v>668</v>
      </c>
      <c r="F184" s="98" t="s">
        <v>667</v>
      </c>
      <c r="G184" s="98" t="s">
        <v>303</v>
      </c>
      <c r="H184" s="98" t="s">
        <v>774</v>
      </c>
      <c r="I184" s="204">
        <f>_xlfn.XLOOKUP(C184,[1]Hoja1!$A:$A,[1]Hoja1!$C:$C,0)</f>
        <v>556388</v>
      </c>
      <c r="J184" s="204">
        <v>556388</v>
      </c>
      <c r="K184" s="204">
        <v>556388</v>
      </c>
      <c r="L184" s="205">
        <v>0</v>
      </c>
      <c r="M184" s="205">
        <v>556388</v>
      </c>
      <c r="N184" s="204">
        <f t="shared" si="2"/>
        <v>0</v>
      </c>
      <c r="O184" s="118" t="s">
        <v>3006</v>
      </c>
      <c r="P184" s="98" t="s">
        <v>837</v>
      </c>
      <c r="Q184" s="119" t="s">
        <v>840</v>
      </c>
      <c r="R184" s="28" t="s">
        <v>824</v>
      </c>
      <c r="S184" s="28" t="s">
        <v>824</v>
      </c>
      <c r="T184" s="28" t="s">
        <v>824</v>
      </c>
      <c r="U184" s="101">
        <v>0</v>
      </c>
    </row>
    <row r="185" spans="1:21" ht="21.75" x14ac:dyDescent="0.25">
      <c r="A185" s="201">
        <v>185</v>
      </c>
      <c r="B185" s="202" t="s">
        <v>821</v>
      </c>
      <c r="C185" s="109" t="s">
        <v>108</v>
      </c>
      <c r="D185" s="203">
        <v>45941</v>
      </c>
      <c r="E185" s="98" t="s">
        <v>668</v>
      </c>
      <c r="F185" s="98" t="s">
        <v>667</v>
      </c>
      <c r="G185" s="98" t="s">
        <v>303</v>
      </c>
      <c r="H185" s="98" t="s">
        <v>774</v>
      </c>
      <c r="I185" s="204">
        <f>_xlfn.XLOOKUP(C185,[1]Hoja1!$A:$A,[1]Hoja1!$C:$C,0)</f>
        <v>1894348</v>
      </c>
      <c r="J185" s="204">
        <v>1689585</v>
      </c>
      <c r="K185" s="204">
        <v>1689585</v>
      </c>
      <c r="L185" s="205">
        <v>0</v>
      </c>
      <c r="M185" s="205">
        <v>1689585</v>
      </c>
      <c r="N185" s="204">
        <f t="shared" si="2"/>
        <v>0</v>
      </c>
      <c r="O185" s="118" t="s">
        <v>3006</v>
      </c>
      <c r="P185" s="98" t="s">
        <v>837</v>
      </c>
      <c r="Q185" s="119" t="s">
        <v>840</v>
      </c>
      <c r="R185" s="28" t="s">
        <v>824</v>
      </c>
      <c r="S185" s="28" t="s">
        <v>824</v>
      </c>
      <c r="T185" s="28" t="s">
        <v>824</v>
      </c>
      <c r="U185" s="101">
        <v>0</v>
      </c>
    </row>
    <row r="186" spans="1:21" ht="21.75" x14ac:dyDescent="0.25">
      <c r="A186" s="201">
        <v>186</v>
      </c>
      <c r="B186" s="202" t="s">
        <v>822</v>
      </c>
      <c r="C186" s="109" t="s">
        <v>109</v>
      </c>
      <c r="D186" s="203">
        <v>45856</v>
      </c>
      <c r="E186" s="98" t="s">
        <v>669</v>
      </c>
      <c r="F186" s="98" t="s">
        <v>666</v>
      </c>
      <c r="G186" s="98" t="s">
        <v>275</v>
      </c>
      <c r="H186" s="98" t="s">
        <v>775</v>
      </c>
      <c r="I186" s="204">
        <f>_xlfn.XLOOKUP(C186,[1]Hoja1!$A:$A,[1]Hoja1!$C:$C,0)</f>
        <v>11941644</v>
      </c>
      <c r="J186" s="204">
        <v>547500</v>
      </c>
      <c r="K186" s="204">
        <v>547500</v>
      </c>
      <c r="L186" s="205">
        <v>238614</v>
      </c>
      <c r="M186" s="205">
        <v>308886</v>
      </c>
      <c r="N186" s="204">
        <f t="shared" si="2"/>
        <v>0</v>
      </c>
      <c r="O186" s="118" t="s">
        <v>3006</v>
      </c>
      <c r="P186" s="98" t="s">
        <v>839</v>
      </c>
      <c r="Q186" s="119" t="s">
        <v>888</v>
      </c>
      <c r="R186" s="28" t="s">
        <v>824</v>
      </c>
      <c r="S186" s="28" t="s">
        <v>824</v>
      </c>
      <c r="T186" s="28" t="s">
        <v>824</v>
      </c>
      <c r="U186" s="101">
        <v>0</v>
      </c>
    </row>
    <row r="187" spans="1:21" ht="21.75" x14ac:dyDescent="0.25">
      <c r="A187" s="201">
        <v>187</v>
      </c>
      <c r="B187" s="202" t="s">
        <v>823</v>
      </c>
      <c r="C187" s="120" t="s">
        <v>110</v>
      </c>
      <c r="D187" s="203">
        <v>45790</v>
      </c>
      <c r="E187" s="98" t="s">
        <v>668</v>
      </c>
      <c r="F187" s="98" t="s">
        <v>670</v>
      </c>
      <c r="G187" s="98" t="s">
        <v>826</v>
      </c>
      <c r="H187" s="98" t="s">
        <v>776</v>
      </c>
      <c r="I187" s="204">
        <f>_xlfn.XLOOKUP(C187,[1]Hoja1!$A:$A,[1]Hoja1!$C:$C,0)</f>
        <v>63687</v>
      </c>
      <c r="J187" s="204">
        <v>19</v>
      </c>
      <c r="K187" s="204">
        <v>19</v>
      </c>
      <c r="L187" s="205">
        <v>19</v>
      </c>
      <c r="M187" s="205">
        <v>0</v>
      </c>
      <c r="N187" s="204">
        <f t="shared" si="2"/>
        <v>0</v>
      </c>
      <c r="O187" s="118" t="s">
        <v>3006</v>
      </c>
      <c r="P187" s="98" t="s">
        <v>837</v>
      </c>
      <c r="Q187" s="119" t="s">
        <v>846</v>
      </c>
      <c r="R187" s="28" t="s">
        <v>824</v>
      </c>
      <c r="S187" s="28" t="s">
        <v>824</v>
      </c>
      <c r="T187" s="28" t="s">
        <v>824</v>
      </c>
      <c r="U187" s="101">
        <v>0</v>
      </c>
    </row>
    <row r="188" spans="1:21" ht="21.75" x14ac:dyDescent="0.25">
      <c r="A188" s="201">
        <v>188</v>
      </c>
      <c r="B188" s="202" t="s">
        <v>823</v>
      </c>
      <c r="C188" s="109" t="s">
        <v>111</v>
      </c>
      <c r="D188" s="203">
        <v>45833</v>
      </c>
      <c r="E188" s="98" t="s">
        <v>668</v>
      </c>
      <c r="F188" s="98" t="s">
        <v>670</v>
      </c>
      <c r="G188" s="98" t="s">
        <v>826</v>
      </c>
      <c r="H188" s="98" t="s">
        <v>777</v>
      </c>
      <c r="I188" s="204">
        <f>_xlfn.XLOOKUP(C188,[1]Hoja1!$A:$A,[1]Hoja1!$C:$C,0)</f>
        <v>665028</v>
      </c>
      <c r="J188" s="204">
        <v>401</v>
      </c>
      <c r="K188" s="204">
        <v>401</v>
      </c>
      <c r="L188" s="205">
        <v>401</v>
      </c>
      <c r="M188" s="205">
        <v>0</v>
      </c>
      <c r="N188" s="204">
        <f t="shared" si="2"/>
        <v>0</v>
      </c>
      <c r="O188" s="118" t="s">
        <v>3006</v>
      </c>
      <c r="P188" s="98" t="s">
        <v>837</v>
      </c>
      <c r="Q188" s="119" t="s">
        <v>846</v>
      </c>
      <c r="R188" s="28" t="s">
        <v>824</v>
      </c>
      <c r="S188" s="28" t="s">
        <v>824</v>
      </c>
      <c r="T188" s="28" t="s">
        <v>824</v>
      </c>
      <c r="U188" s="101">
        <v>0</v>
      </c>
    </row>
    <row r="189" spans="1:21" ht="21.75" x14ac:dyDescent="0.25">
      <c r="A189" s="201">
        <v>189</v>
      </c>
      <c r="B189" s="202" t="s">
        <v>823</v>
      </c>
      <c r="C189" s="109" t="s">
        <v>111</v>
      </c>
      <c r="D189" s="203">
        <v>45833</v>
      </c>
      <c r="E189" s="98" t="s">
        <v>668</v>
      </c>
      <c r="F189" s="98" t="s">
        <v>670</v>
      </c>
      <c r="G189" s="98" t="s">
        <v>826</v>
      </c>
      <c r="H189" s="98" t="s">
        <v>777</v>
      </c>
      <c r="I189" s="204">
        <f>_xlfn.XLOOKUP(C189,[1]Hoja1!$A:$A,[1]Hoja1!$C:$C,0)</f>
        <v>665028</v>
      </c>
      <c r="J189" s="204">
        <v>49</v>
      </c>
      <c r="K189" s="204">
        <v>49</v>
      </c>
      <c r="L189" s="205">
        <v>49</v>
      </c>
      <c r="M189" s="205">
        <v>0</v>
      </c>
      <c r="N189" s="204">
        <f t="shared" si="2"/>
        <v>0</v>
      </c>
      <c r="O189" s="118" t="s">
        <v>3006</v>
      </c>
      <c r="P189" s="98" t="s">
        <v>837</v>
      </c>
      <c r="Q189" s="119" t="s">
        <v>846</v>
      </c>
      <c r="R189" s="28" t="s">
        <v>824</v>
      </c>
      <c r="S189" s="28" t="s">
        <v>824</v>
      </c>
      <c r="T189" s="28" t="s">
        <v>824</v>
      </c>
      <c r="U189" s="101">
        <v>0</v>
      </c>
    </row>
    <row r="190" spans="1:21" ht="21.75" x14ac:dyDescent="0.25">
      <c r="A190" s="201">
        <v>190</v>
      </c>
      <c r="B190" s="202" t="s">
        <v>821</v>
      </c>
      <c r="C190" s="109" t="s">
        <v>112</v>
      </c>
      <c r="D190" s="203">
        <v>45910</v>
      </c>
      <c r="E190" s="98" t="s">
        <v>668</v>
      </c>
      <c r="F190" s="98" t="s">
        <v>664</v>
      </c>
      <c r="G190" s="98" t="s">
        <v>215</v>
      </c>
      <c r="H190" s="98" t="s">
        <v>778</v>
      </c>
      <c r="I190" s="204">
        <f>_xlfn.XLOOKUP(C190,[1]Hoja1!$A:$A,[1]Hoja1!$C:$C,0)</f>
        <v>65992644</v>
      </c>
      <c r="J190" s="204">
        <v>2736898</v>
      </c>
      <c r="K190" s="204">
        <v>2736898</v>
      </c>
      <c r="L190" s="205">
        <v>0</v>
      </c>
      <c r="M190" s="205">
        <v>2736898</v>
      </c>
      <c r="N190" s="204">
        <f t="shared" si="2"/>
        <v>0</v>
      </c>
      <c r="O190" s="118" t="s">
        <v>3006</v>
      </c>
      <c r="P190" s="98" t="s">
        <v>837</v>
      </c>
      <c r="Q190" s="119" t="s">
        <v>840</v>
      </c>
      <c r="R190" s="28" t="s">
        <v>824</v>
      </c>
      <c r="S190" s="28" t="s">
        <v>824</v>
      </c>
      <c r="T190" s="28" t="s">
        <v>824</v>
      </c>
      <c r="U190" s="101">
        <v>0</v>
      </c>
    </row>
    <row r="191" spans="1:21" ht="21.75" x14ac:dyDescent="0.25">
      <c r="A191" s="201">
        <v>191</v>
      </c>
      <c r="B191" s="202" t="s">
        <v>821</v>
      </c>
      <c r="C191" s="109" t="s">
        <v>112</v>
      </c>
      <c r="D191" s="203">
        <v>45910</v>
      </c>
      <c r="E191" s="98" t="s">
        <v>668</v>
      </c>
      <c r="F191" s="98" t="s">
        <v>664</v>
      </c>
      <c r="G191" s="98" t="s">
        <v>215</v>
      </c>
      <c r="H191" s="98" t="s">
        <v>778</v>
      </c>
      <c r="I191" s="204">
        <f>_xlfn.XLOOKUP(C191,[1]Hoja1!$A:$A,[1]Hoja1!$C:$C,0)</f>
        <v>65992644</v>
      </c>
      <c r="J191" s="204">
        <v>2736898</v>
      </c>
      <c r="K191" s="204">
        <v>2736898</v>
      </c>
      <c r="L191" s="205">
        <v>0</v>
      </c>
      <c r="M191" s="205">
        <v>2736898</v>
      </c>
      <c r="N191" s="204">
        <f t="shared" si="2"/>
        <v>0</v>
      </c>
      <c r="O191" s="118" t="s">
        <v>3006</v>
      </c>
      <c r="P191" s="98" t="s">
        <v>837</v>
      </c>
      <c r="Q191" s="119" t="s">
        <v>840</v>
      </c>
      <c r="R191" s="28" t="s">
        <v>824</v>
      </c>
      <c r="S191" s="28" t="s">
        <v>824</v>
      </c>
      <c r="T191" s="28" t="s">
        <v>824</v>
      </c>
      <c r="U191" s="101">
        <v>0</v>
      </c>
    </row>
    <row r="192" spans="1:21" ht="21.75" x14ac:dyDescent="0.25">
      <c r="A192" s="201">
        <v>192</v>
      </c>
      <c r="B192" s="202" t="s">
        <v>821</v>
      </c>
      <c r="C192" s="109" t="s">
        <v>112</v>
      </c>
      <c r="D192" s="203">
        <v>45910</v>
      </c>
      <c r="E192" s="98" t="s">
        <v>668</v>
      </c>
      <c r="F192" s="98" t="s">
        <v>664</v>
      </c>
      <c r="G192" s="98" t="s">
        <v>215</v>
      </c>
      <c r="H192" s="98" t="s">
        <v>778</v>
      </c>
      <c r="I192" s="204">
        <f>_xlfn.XLOOKUP(C192,[1]Hoja1!$A:$A,[1]Hoja1!$C:$C,0)</f>
        <v>65992644</v>
      </c>
      <c r="J192" s="204">
        <v>2736898</v>
      </c>
      <c r="K192" s="204">
        <v>2736898</v>
      </c>
      <c r="L192" s="205">
        <v>0</v>
      </c>
      <c r="M192" s="205">
        <v>2736898</v>
      </c>
      <c r="N192" s="204">
        <f t="shared" si="2"/>
        <v>0</v>
      </c>
      <c r="O192" s="118" t="s">
        <v>3006</v>
      </c>
      <c r="P192" s="98" t="s">
        <v>837</v>
      </c>
      <c r="Q192" s="119" t="s">
        <v>840</v>
      </c>
      <c r="R192" s="28" t="s">
        <v>824</v>
      </c>
      <c r="S192" s="28" t="s">
        <v>824</v>
      </c>
      <c r="T192" s="28" t="s">
        <v>824</v>
      </c>
      <c r="U192" s="101">
        <v>0</v>
      </c>
    </row>
    <row r="193" spans="1:21" ht="21.75" x14ac:dyDescent="0.25">
      <c r="A193" s="201">
        <v>193</v>
      </c>
      <c r="B193" s="202" t="s">
        <v>821</v>
      </c>
      <c r="C193" s="109" t="s">
        <v>112</v>
      </c>
      <c r="D193" s="203">
        <v>45910</v>
      </c>
      <c r="E193" s="98" t="s">
        <v>668</v>
      </c>
      <c r="F193" s="98" t="s">
        <v>664</v>
      </c>
      <c r="G193" s="98" t="s">
        <v>215</v>
      </c>
      <c r="H193" s="98" t="s">
        <v>779</v>
      </c>
      <c r="I193" s="204">
        <f>_xlfn.XLOOKUP(C193,[1]Hoja1!$A:$A,[1]Hoja1!$C:$C,0)</f>
        <v>65992644</v>
      </c>
      <c r="J193" s="204">
        <v>2499104</v>
      </c>
      <c r="K193" s="204">
        <v>2499104</v>
      </c>
      <c r="L193" s="205">
        <v>0</v>
      </c>
      <c r="M193" s="205">
        <v>2499104</v>
      </c>
      <c r="N193" s="204">
        <f t="shared" si="2"/>
        <v>0</v>
      </c>
      <c r="O193" s="118" t="s">
        <v>3006</v>
      </c>
      <c r="P193" s="98" t="s">
        <v>837</v>
      </c>
      <c r="Q193" s="119" t="s">
        <v>840</v>
      </c>
      <c r="R193" s="28" t="s">
        <v>824</v>
      </c>
      <c r="S193" s="28" t="s">
        <v>824</v>
      </c>
      <c r="T193" s="28" t="s">
        <v>824</v>
      </c>
      <c r="U193" s="101">
        <v>0</v>
      </c>
    </row>
    <row r="194" spans="1:21" ht="21.75" x14ac:dyDescent="0.25">
      <c r="A194" s="201">
        <v>194</v>
      </c>
      <c r="B194" s="202" t="s">
        <v>821</v>
      </c>
      <c r="C194" s="109" t="s">
        <v>113</v>
      </c>
      <c r="D194" s="203">
        <v>45890</v>
      </c>
      <c r="E194" s="98" t="s">
        <v>669</v>
      </c>
      <c r="F194" s="98" t="s">
        <v>666</v>
      </c>
      <c r="G194" s="98" t="s">
        <v>194</v>
      </c>
      <c r="H194" s="98" t="s">
        <v>780</v>
      </c>
      <c r="I194" s="204">
        <f>_xlfn.XLOOKUP(C194,[1]Hoja1!$A:$A,[1]Hoja1!$C:$C,0)</f>
        <v>88888445</v>
      </c>
      <c r="J194" s="204">
        <v>929898</v>
      </c>
      <c r="K194" s="204">
        <v>929898</v>
      </c>
      <c r="L194" s="205">
        <v>929898</v>
      </c>
      <c r="M194" s="205">
        <v>0</v>
      </c>
      <c r="N194" s="204">
        <f t="shared" ref="N194:N257" si="3">K194-L194-M194</f>
        <v>0</v>
      </c>
      <c r="O194" s="118" t="s">
        <v>3006</v>
      </c>
      <c r="P194" s="98" t="s">
        <v>839</v>
      </c>
      <c r="Q194" s="119" t="s">
        <v>889</v>
      </c>
      <c r="R194" s="28" t="s">
        <v>824</v>
      </c>
      <c r="S194" s="28" t="s">
        <v>824</v>
      </c>
      <c r="T194" s="28" t="s">
        <v>824</v>
      </c>
      <c r="U194" s="101">
        <v>0</v>
      </c>
    </row>
    <row r="195" spans="1:21" ht="21.75" x14ac:dyDescent="0.25">
      <c r="A195" s="201">
        <v>195</v>
      </c>
      <c r="B195" s="202" t="s">
        <v>821</v>
      </c>
      <c r="C195" s="109" t="s">
        <v>113</v>
      </c>
      <c r="D195" s="203">
        <v>45890</v>
      </c>
      <c r="E195" s="98" t="s">
        <v>668</v>
      </c>
      <c r="F195" s="98" t="s">
        <v>664</v>
      </c>
      <c r="G195" s="98" t="s">
        <v>212</v>
      </c>
      <c r="H195" s="98" t="s">
        <v>781</v>
      </c>
      <c r="I195" s="204">
        <f>_xlfn.XLOOKUP(C195,[1]Hoja1!$A:$A,[1]Hoja1!$C:$C,0)</f>
        <v>88888445</v>
      </c>
      <c r="J195" s="204">
        <v>131148</v>
      </c>
      <c r="K195" s="204">
        <v>131148</v>
      </c>
      <c r="L195" s="205">
        <v>0</v>
      </c>
      <c r="M195" s="205">
        <v>131148</v>
      </c>
      <c r="N195" s="204">
        <f t="shared" si="3"/>
        <v>0</v>
      </c>
      <c r="O195" s="118" t="s">
        <v>3006</v>
      </c>
      <c r="P195" s="98" t="s">
        <v>837</v>
      </c>
      <c r="Q195" s="119" t="s">
        <v>840</v>
      </c>
      <c r="R195" s="28" t="s">
        <v>824</v>
      </c>
      <c r="S195" s="28" t="s">
        <v>824</v>
      </c>
      <c r="T195" s="28" t="s">
        <v>824</v>
      </c>
      <c r="U195" s="101">
        <v>0</v>
      </c>
    </row>
    <row r="196" spans="1:21" ht="21.75" x14ac:dyDescent="0.25">
      <c r="A196" s="201">
        <v>196</v>
      </c>
      <c r="B196" s="202" t="s">
        <v>821</v>
      </c>
      <c r="C196" s="109" t="s">
        <v>113</v>
      </c>
      <c r="D196" s="203">
        <v>45890</v>
      </c>
      <c r="E196" s="98" t="s">
        <v>668</v>
      </c>
      <c r="F196" s="98" t="s">
        <v>664</v>
      </c>
      <c r="G196" s="98" t="s">
        <v>212</v>
      </c>
      <c r="H196" s="98" t="s">
        <v>781</v>
      </c>
      <c r="I196" s="204">
        <f>_xlfn.XLOOKUP(C196,[1]Hoja1!$A:$A,[1]Hoja1!$C:$C,0)</f>
        <v>88888445</v>
      </c>
      <c r="J196" s="204">
        <v>131148</v>
      </c>
      <c r="K196" s="204">
        <v>131148</v>
      </c>
      <c r="L196" s="205">
        <v>0</v>
      </c>
      <c r="M196" s="205">
        <v>131148</v>
      </c>
      <c r="N196" s="204">
        <f t="shared" si="3"/>
        <v>0</v>
      </c>
      <c r="O196" s="118" t="s">
        <v>3006</v>
      </c>
      <c r="P196" s="98" t="s">
        <v>837</v>
      </c>
      <c r="Q196" s="119" t="s">
        <v>840</v>
      </c>
      <c r="R196" s="28" t="s">
        <v>824</v>
      </c>
      <c r="S196" s="28" t="s">
        <v>824</v>
      </c>
      <c r="T196" s="28" t="s">
        <v>824</v>
      </c>
      <c r="U196" s="101">
        <v>0</v>
      </c>
    </row>
    <row r="197" spans="1:21" ht="21.75" x14ac:dyDescent="0.25">
      <c r="A197" s="201">
        <v>197</v>
      </c>
      <c r="B197" s="202" t="s">
        <v>821</v>
      </c>
      <c r="C197" s="109" t="s">
        <v>113</v>
      </c>
      <c r="D197" s="203">
        <v>45890</v>
      </c>
      <c r="E197" s="98" t="s">
        <v>668</v>
      </c>
      <c r="F197" s="98" t="s">
        <v>664</v>
      </c>
      <c r="G197" s="98" t="s">
        <v>212</v>
      </c>
      <c r="H197" s="98" t="s">
        <v>781</v>
      </c>
      <c r="I197" s="204">
        <f>_xlfn.XLOOKUP(C197,[1]Hoja1!$A:$A,[1]Hoja1!$C:$C,0)</f>
        <v>88888445</v>
      </c>
      <c r="J197" s="204">
        <v>131148</v>
      </c>
      <c r="K197" s="204">
        <v>131148</v>
      </c>
      <c r="L197" s="205">
        <v>0</v>
      </c>
      <c r="M197" s="205">
        <v>131148</v>
      </c>
      <c r="N197" s="204">
        <f t="shared" si="3"/>
        <v>0</v>
      </c>
      <c r="O197" s="118" t="s">
        <v>3006</v>
      </c>
      <c r="P197" s="98" t="s">
        <v>837</v>
      </c>
      <c r="Q197" s="119" t="s">
        <v>840</v>
      </c>
      <c r="R197" s="28" t="s">
        <v>824</v>
      </c>
      <c r="S197" s="28" t="s">
        <v>824</v>
      </c>
      <c r="T197" s="28" t="s">
        <v>824</v>
      </c>
      <c r="U197" s="101">
        <v>0</v>
      </c>
    </row>
    <row r="198" spans="1:21" ht="21.75" x14ac:dyDescent="0.25">
      <c r="A198" s="201">
        <v>198</v>
      </c>
      <c r="B198" s="202" t="s">
        <v>821</v>
      </c>
      <c r="C198" s="109" t="s">
        <v>113</v>
      </c>
      <c r="D198" s="203">
        <v>45890</v>
      </c>
      <c r="E198" s="98" t="s">
        <v>668</v>
      </c>
      <c r="F198" s="98" t="s">
        <v>664</v>
      </c>
      <c r="G198" s="98" t="s">
        <v>212</v>
      </c>
      <c r="H198" s="98" t="s">
        <v>781</v>
      </c>
      <c r="I198" s="204">
        <f>_xlfn.XLOOKUP(C198,[1]Hoja1!$A:$A,[1]Hoja1!$C:$C,0)</f>
        <v>88888445</v>
      </c>
      <c r="J198" s="204">
        <v>131148</v>
      </c>
      <c r="K198" s="204">
        <v>131148</v>
      </c>
      <c r="L198" s="205">
        <v>0</v>
      </c>
      <c r="M198" s="205">
        <v>131148</v>
      </c>
      <c r="N198" s="204">
        <f t="shared" si="3"/>
        <v>0</v>
      </c>
      <c r="O198" s="118" t="s">
        <v>3006</v>
      </c>
      <c r="P198" s="98" t="s">
        <v>837</v>
      </c>
      <c r="Q198" s="119" t="s">
        <v>840</v>
      </c>
      <c r="R198" s="28" t="s">
        <v>824</v>
      </c>
      <c r="S198" s="28" t="s">
        <v>824</v>
      </c>
      <c r="T198" s="28" t="s">
        <v>824</v>
      </c>
      <c r="U198" s="101">
        <v>0</v>
      </c>
    </row>
    <row r="199" spans="1:21" ht="21.75" x14ac:dyDescent="0.25">
      <c r="A199" s="201">
        <v>199</v>
      </c>
      <c r="B199" s="202" t="s">
        <v>821</v>
      </c>
      <c r="C199" s="109" t="s">
        <v>113</v>
      </c>
      <c r="D199" s="203">
        <v>45890</v>
      </c>
      <c r="E199" s="98" t="s">
        <v>669</v>
      </c>
      <c r="F199" s="98" t="s">
        <v>666</v>
      </c>
      <c r="G199" s="98" t="s">
        <v>194</v>
      </c>
      <c r="H199" s="98" t="s">
        <v>782</v>
      </c>
      <c r="I199" s="204">
        <f>_xlfn.XLOOKUP(C199,[1]Hoja1!$A:$A,[1]Hoja1!$C:$C,0)</f>
        <v>88888445</v>
      </c>
      <c r="J199" s="204">
        <v>4295188</v>
      </c>
      <c r="K199" s="204">
        <v>4295188</v>
      </c>
      <c r="L199" s="205">
        <v>4295188</v>
      </c>
      <c r="M199" s="205">
        <v>0</v>
      </c>
      <c r="N199" s="204">
        <f t="shared" si="3"/>
        <v>0</v>
      </c>
      <c r="O199" s="118" t="s">
        <v>3006</v>
      </c>
      <c r="P199" s="98" t="s">
        <v>839</v>
      </c>
      <c r="Q199" s="119" t="s">
        <v>889</v>
      </c>
      <c r="R199" s="28" t="s">
        <v>824</v>
      </c>
      <c r="S199" s="28" t="s">
        <v>824</v>
      </c>
      <c r="T199" s="28" t="s">
        <v>824</v>
      </c>
      <c r="U199" s="101">
        <v>0</v>
      </c>
    </row>
    <row r="200" spans="1:21" ht="21.75" x14ac:dyDescent="0.25">
      <c r="A200" s="201">
        <v>200</v>
      </c>
      <c r="B200" s="202" t="s">
        <v>821</v>
      </c>
      <c r="C200" s="109" t="s">
        <v>114</v>
      </c>
      <c r="D200" s="203">
        <v>45922</v>
      </c>
      <c r="E200" s="98" t="s">
        <v>825</v>
      </c>
      <c r="F200" s="98" t="s">
        <v>666</v>
      </c>
      <c r="G200" s="98" t="s">
        <v>194</v>
      </c>
      <c r="H200" s="98" t="s">
        <v>783</v>
      </c>
      <c r="I200" s="204">
        <f>_xlfn.XLOOKUP(C200,[1]Hoja1!$A:$A,[1]Hoja1!$C:$C,0)</f>
        <v>29422665</v>
      </c>
      <c r="J200" s="204">
        <v>2790060</v>
      </c>
      <c r="K200" s="204">
        <v>2790060</v>
      </c>
      <c r="L200" s="205">
        <v>1195740</v>
      </c>
      <c r="M200" s="205">
        <v>1594320</v>
      </c>
      <c r="N200" s="204">
        <f t="shared" si="3"/>
        <v>0</v>
      </c>
      <c r="O200" s="118" t="s">
        <v>3006</v>
      </c>
      <c r="P200" s="98" t="s">
        <v>838</v>
      </c>
      <c r="Q200" s="119" t="s">
        <v>890</v>
      </c>
      <c r="R200" s="28" t="s">
        <v>824</v>
      </c>
      <c r="S200" s="28" t="s">
        <v>824</v>
      </c>
      <c r="T200" s="28" t="s">
        <v>824</v>
      </c>
      <c r="U200" s="101">
        <v>0</v>
      </c>
    </row>
    <row r="201" spans="1:21" ht="21.75" x14ac:dyDescent="0.25">
      <c r="A201" s="201">
        <v>201</v>
      </c>
      <c r="B201" s="202" t="s">
        <v>821</v>
      </c>
      <c r="C201" s="109" t="s">
        <v>115</v>
      </c>
      <c r="D201" s="203">
        <v>45927</v>
      </c>
      <c r="E201" s="98" t="s">
        <v>825</v>
      </c>
      <c r="F201" s="98" t="s">
        <v>666</v>
      </c>
      <c r="G201" s="98" t="s">
        <v>194</v>
      </c>
      <c r="H201" s="98" t="s">
        <v>784</v>
      </c>
      <c r="I201" s="204">
        <f>_xlfn.XLOOKUP(C201,[1]Hoja1!$A:$A,[1]Hoja1!$C:$C,0)</f>
        <v>27622810</v>
      </c>
      <c r="J201" s="204">
        <v>1594320</v>
      </c>
      <c r="K201" s="204">
        <v>1594320</v>
      </c>
      <c r="L201" s="205">
        <v>797160</v>
      </c>
      <c r="M201" s="205">
        <v>797160</v>
      </c>
      <c r="N201" s="204">
        <f t="shared" si="3"/>
        <v>0</v>
      </c>
      <c r="O201" s="118" t="s">
        <v>3006</v>
      </c>
      <c r="P201" s="98" t="s">
        <v>838</v>
      </c>
      <c r="Q201" s="119" t="s">
        <v>891</v>
      </c>
      <c r="R201" s="28" t="s">
        <v>824</v>
      </c>
      <c r="S201" s="28" t="s">
        <v>824</v>
      </c>
      <c r="T201" s="28" t="s">
        <v>824</v>
      </c>
      <c r="U201" s="101">
        <v>0</v>
      </c>
    </row>
    <row r="202" spans="1:21" ht="21.75" x14ac:dyDescent="0.25">
      <c r="A202" s="201">
        <v>202</v>
      </c>
      <c r="B202" s="202" t="s">
        <v>821</v>
      </c>
      <c r="C202" s="109" t="s">
        <v>116</v>
      </c>
      <c r="D202" s="203">
        <v>45943</v>
      </c>
      <c r="E202" s="98" t="s">
        <v>825</v>
      </c>
      <c r="F202" s="98" t="s">
        <v>666</v>
      </c>
      <c r="G202" s="98" t="s">
        <v>241</v>
      </c>
      <c r="H202" s="98" t="s">
        <v>785</v>
      </c>
      <c r="I202" s="204">
        <f>_xlfn.XLOOKUP(C202,[1]Hoja1!$A:$A,[1]Hoja1!$C:$C,0)</f>
        <v>11859085</v>
      </c>
      <c r="J202" s="204">
        <v>1195740</v>
      </c>
      <c r="K202" s="204">
        <v>1195740</v>
      </c>
      <c r="L202" s="205">
        <v>1195740</v>
      </c>
      <c r="M202" s="205">
        <v>0</v>
      </c>
      <c r="N202" s="204">
        <f t="shared" si="3"/>
        <v>0</v>
      </c>
      <c r="O202" s="118" t="s">
        <v>3006</v>
      </c>
      <c r="P202" s="98" t="s">
        <v>838</v>
      </c>
      <c r="Q202" s="119" t="s">
        <v>892</v>
      </c>
      <c r="R202" s="28" t="s">
        <v>824</v>
      </c>
      <c r="S202" s="28" t="s">
        <v>824</v>
      </c>
      <c r="T202" s="28" t="s">
        <v>824</v>
      </c>
      <c r="U202" s="101">
        <v>0</v>
      </c>
    </row>
    <row r="203" spans="1:21" ht="21.75" x14ac:dyDescent="0.25">
      <c r="A203" s="201">
        <v>203</v>
      </c>
      <c r="B203" s="202" t="s">
        <v>821</v>
      </c>
      <c r="C203" s="109" t="s">
        <v>117</v>
      </c>
      <c r="D203" s="203">
        <v>45952</v>
      </c>
      <c r="E203" s="98" t="s">
        <v>825</v>
      </c>
      <c r="F203" s="98" t="s">
        <v>666</v>
      </c>
      <c r="G203" s="98" t="s">
        <v>241</v>
      </c>
      <c r="H203" s="98" t="s">
        <v>786</v>
      </c>
      <c r="I203" s="204">
        <f>_xlfn.XLOOKUP(C203,[1]Hoja1!$A:$A,[1]Hoja1!$C:$C,0)</f>
        <v>3267725</v>
      </c>
      <c r="J203" s="204">
        <v>106010</v>
      </c>
      <c r="K203" s="204">
        <v>106010</v>
      </c>
      <c r="L203" s="205">
        <v>0</v>
      </c>
      <c r="M203" s="205">
        <v>106010</v>
      </c>
      <c r="N203" s="204">
        <f t="shared" si="3"/>
        <v>0</v>
      </c>
      <c r="O203" s="118" t="s">
        <v>3006</v>
      </c>
      <c r="P203" s="98" t="s">
        <v>838</v>
      </c>
      <c r="Q203" s="119" t="s">
        <v>893</v>
      </c>
      <c r="R203" s="28" t="s">
        <v>824</v>
      </c>
      <c r="S203" s="28" t="s">
        <v>824</v>
      </c>
      <c r="T203" s="28" t="s">
        <v>824</v>
      </c>
      <c r="U203" s="101">
        <v>0</v>
      </c>
    </row>
    <row r="204" spans="1:21" ht="21.75" x14ac:dyDescent="0.25">
      <c r="A204" s="201">
        <v>204</v>
      </c>
      <c r="B204" s="202" t="s">
        <v>821</v>
      </c>
      <c r="C204" s="109" t="s">
        <v>117</v>
      </c>
      <c r="D204" s="203">
        <v>45952</v>
      </c>
      <c r="E204" s="98" t="s">
        <v>825</v>
      </c>
      <c r="F204" s="98" t="s">
        <v>666</v>
      </c>
      <c r="G204" s="98" t="s">
        <v>241</v>
      </c>
      <c r="H204" s="98" t="s">
        <v>786</v>
      </c>
      <c r="I204" s="204">
        <f>_xlfn.XLOOKUP(C204,[1]Hoja1!$A:$A,[1]Hoja1!$C:$C,0)</f>
        <v>3267725</v>
      </c>
      <c r="J204" s="204">
        <v>80616</v>
      </c>
      <c r="K204" s="204">
        <v>80616</v>
      </c>
      <c r="L204" s="205">
        <v>0</v>
      </c>
      <c r="M204" s="205">
        <v>80616</v>
      </c>
      <c r="N204" s="204">
        <f t="shared" si="3"/>
        <v>0</v>
      </c>
      <c r="O204" s="118" t="s">
        <v>3006</v>
      </c>
      <c r="P204" s="98" t="s">
        <v>838</v>
      </c>
      <c r="Q204" s="119" t="s">
        <v>893</v>
      </c>
      <c r="R204" s="28" t="s">
        <v>824</v>
      </c>
      <c r="S204" s="28" t="s">
        <v>824</v>
      </c>
      <c r="T204" s="28" t="s">
        <v>824</v>
      </c>
      <c r="U204" s="101">
        <v>0</v>
      </c>
    </row>
    <row r="205" spans="1:21" ht="21.75" x14ac:dyDescent="0.25">
      <c r="A205" s="201">
        <v>205</v>
      </c>
      <c r="B205" s="98" t="s">
        <v>821</v>
      </c>
      <c r="C205" s="109" t="s">
        <v>118</v>
      </c>
      <c r="D205" s="203">
        <v>45932</v>
      </c>
      <c r="E205" s="98" t="s">
        <v>825</v>
      </c>
      <c r="F205" s="98" t="s">
        <v>666</v>
      </c>
      <c r="G205" s="206" t="s">
        <v>241</v>
      </c>
      <c r="H205" s="111" t="s">
        <v>787</v>
      </c>
      <c r="I205" s="204">
        <f>_xlfn.XLOOKUP(C205,[1]Hoja1!$A:$A,[1]Hoja1!$C:$C,0)</f>
        <v>27102523</v>
      </c>
      <c r="J205" s="204">
        <v>68120</v>
      </c>
      <c r="K205" s="204">
        <v>68120</v>
      </c>
      <c r="L205" s="205">
        <v>68120</v>
      </c>
      <c r="M205" s="205">
        <v>0</v>
      </c>
      <c r="N205" s="204">
        <f t="shared" si="3"/>
        <v>0</v>
      </c>
      <c r="O205" s="118" t="s">
        <v>3006</v>
      </c>
      <c r="P205" s="98" t="s">
        <v>838</v>
      </c>
      <c r="Q205" s="119" t="s">
        <v>894</v>
      </c>
      <c r="R205" s="28" t="s">
        <v>824</v>
      </c>
      <c r="S205" s="28" t="s">
        <v>824</v>
      </c>
      <c r="T205" s="28" t="s">
        <v>824</v>
      </c>
      <c r="U205" s="101">
        <v>0</v>
      </c>
    </row>
    <row r="206" spans="1:21" ht="21.75" x14ac:dyDescent="0.25">
      <c r="A206" s="201">
        <v>206</v>
      </c>
      <c r="B206" s="98" t="s">
        <v>821</v>
      </c>
      <c r="C206" s="109" t="s">
        <v>118</v>
      </c>
      <c r="D206" s="203">
        <v>45932</v>
      </c>
      <c r="E206" s="98" t="s">
        <v>825</v>
      </c>
      <c r="F206" s="98" t="s">
        <v>666</v>
      </c>
      <c r="G206" s="206" t="s">
        <v>194</v>
      </c>
      <c r="H206" s="111" t="s">
        <v>788</v>
      </c>
      <c r="I206" s="204">
        <f>_xlfn.XLOOKUP(C206,[1]Hoja1!$A:$A,[1]Hoja1!$C:$C,0)</f>
        <v>27102523</v>
      </c>
      <c r="J206" s="204">
        <v>1594320</v>
      </c>
      <c r="K206" s="204">
        <v>1594320</v>
      </c>
      <c r="L206" s="205">
        <v>1594320</v>
      </c>
      <c r="M206" s="205">
        <v>0</v>
      </c>
      <c r="N206" s="204">
        <f t="shared" si="3"/>
        <v>0</v>
      </c>
      <c r="O206" s="118" t="s">
        <v>3006</v>
      </c>
      <c r="P206" s="98" t="s">
        <v>838</v>
      </c>
      <c r="Q206" s="119" t="s">
        <v>894</v>
      </c>
      <c r="R206" s="28" t="s">
        <v>824</v>
      </c>
      <c r="S206" s="28" t="s">
        <v>824</v>
      </c>
      <c r="T206" s="28" t="s">
        <v>824</v>
      </c>
      <c r="U206" s="101">
        <v>0</v>
      </c>
    </row>
    <row r="207" spans="1:21" ht="21.75" x14ac:dyDescent="0.25">
      <c r="A207" s="201">
        <v>207</v>
      </c>
      <c r="B207" s="98" t="s">
        <v>821</v>
      </c>
      <c r="C207" s="109" t="s">
        <v>119</v>
      </c>
      <c r="D207" s="203">
        <v>45931</v>
      </c>
      <c r="E207" s="98" t="s">
        <v>825</v>
      </c>
      <c r="F207" s="98" t="s">
        <v>666</v>
      </c>
      <c r="G207" s="206" t="s">
        <v>241</v>
      </c>
      <c r="H207" s="111" t="s">
        <v>789</v>
      </c>
      <c r="I207" s="204">
        <f>_xlfn.XLOOKUP(C207,[1]Hoja1!$A:$A,[1]Hoja1!$C:$C,0)</f>
        <v>25704353</v>
      </c>
      <c r="J207" s="204">
        <v>68120</v>
      </c>
      <c r="K207" s="204">
        <v>68120</v>
      </c>
      <c r="L207" s="205">
        <v>68120</v>
      </c>
      <c r="M207" s="205">
        <v>0</v>
      </c>
      <c r="N207" s="204">
        <f t="shared" si="3"/>
        <v>0</v>
      </c>
      <c r="O207" s="118" t="s">
        <v>3006</v>
      </c>
      <c r="P207" s="98" t="s">
        <v>838</v>
      </c>
      <c r="Q207" s="119" t="s">
        <v>895</v>
      </c>
      <c r="R207" s="28" t="s">
        <v>824</v>
      </c>
      <c r="S207" s="28" t="s">
        <v>824</v>
      </c>
      <c r="T207" s="28" t="s">
        <v>824</v>
      </c>
      <c r="U207" s="101">
        <v>0</v>
      </c>
    </row>
    <row r="208" spans="1:21" ht="21.75" x14ac:dyDescent="0.25">
      <c r="A208" s="201">
        <v>208</v>
      </c>
      <c r="B208" s="98" t="s">
        <v>821</v>
      </c>
      <c r="C208" s="109" t="s">
        <v>120</v>
      </c>
      <c r="D208" s="203">
        <v>45947</v>
      </c>
      <c r="E208" s="98" t="s">
        <v>668</v>
      </c>
      <c r="F208" s="98" t="s">
        <v>664</v>
      </c>
      <c r="G208" s="206" t="s">
        <v>185</v>
      </c>
      <c r="H208" s="111" t="s">
        <v>752</v>
      </c>
      <c r="I208" s="204">
        <f>_xlfn.XLOOKUP(C208,[1]Hoja1!$A:$A,[1]Hoja1!$C:$C,0)</f>
        <v>82085</v>
      </c>
      <c r="J208" s="204">
        <v>6685</v>
      </c>
      <c r="K208" s="204">
        <v>6685</v>
      </c>
      <c r="L208" s="205">
        <v>0</v>
      </c>
      <c r="M208" s="205">
        <v>6685</v>
      </c>
      <c r="N208" s="204">
        <f t="shared" si="3"/>
        <v>0</v>
      </c>
      <c r="O208" s="118" t="s">
        <v>3006</v>
      </c>
      <c r="P208" s="98" t="s">
        <v>837</v>
      </c>
      <c r="Q208" s="119" t="s">
        <v>840</v>
      </c>
      <c r="R208" s="28" t="s">
        <v>824</v>
      </c>
      <c r="S208" s="28" t="s">
        <v>824</v>
      </c>
      <c r="T208" s="28" t="s">
        <v>824</v>
      </c>
      <c r="U208" s="101">
        <v>0</v>
      </c>
    </row>
    <row r="209" spans="1:21" ht="21.75" x14ac:dyDescent="0.25">
      <c r="A209" s="201">
        <v>209</v>
      </c>
      <c r="B209" s="98" t="s">
        <v>821</v>
      </c>
      <c r="C209" s="109" t="s">
        <v>121</v>
      </c>
      <c r="D209" s="203">
        <v>45947</v>
      </c>
      <c r="E209" s="98" t="s">
        <v>668</v>
      </c>
      <c r="F209" s="98" t="s">
        <v>664</v>
      </c>
      <c r="G209" s="206" t="s">
        <v>185</v>
      </c>
      <c r="H209" s="111" t="s">
        <v>752</v>
      </c>
      <c r="I209" s="204">
        <f>_xlfn.XLOOKUP(C209,[1]Hoja1!$A:$A,[1]Hoja1!$C:$C,0)</f>
        <v>106697</v>
      </c>
      <c r="J209" s="204">
        <v>31297</v>
      </c>
      <c r="K209" s="204">
        <v>31297</v>
      </c>
      <c r="L209" s="205">
        <v>0</v>
      </c>
      <c r="M209" s="205">
        <v>31297</v>
      </c>
      <c r="N209" s="204">
        <f t="shared" si="3"/>
        <v>0</v>
      </c>
      <c r="O209" s="118" t="s">
        <v>3006</v>
      </c>
      <c r="P209" s="98" t="s">
        <v>837</v>
      </c>
      <c r="Q209" s="119" t="s">
        <v>840</v>
      </c>
      <c r="R209" s="28" t="s">
        <v>824</v>
      </c>
      <c r="S209" s="28" t="s">
        <v>824</v>
      </c>
      <c r="T209" s="28" t="s">
        <v>824</v>
      </c>
      <c r="U209" s="101">
        <v>0</v>
      </c>
    </row>
    <row r="210" spans="1:21" ht="21.75" x14ac:dyDescent="0.25">
      <c r="A210" s="201">
        <v>210</v>
      </c>
      <c r="B210" s="98" t="s">
        <v>821</v>
      </c>
      <c r="C210" s="109" t="s">
        <v>122</v>
      </c>
      <c r="D210" s="203">
        <v>45950</v>
      </c>
      <c r="E210" s="98" t="s">
        <v>668</v>
      </c>
      <c r="F210" s="98" t="s">
        <v>664</v>
      </c>
      <c r="G210" s="206" t="s">
        <v>185</v>
      </c>
      <c r="H210" s="111" t="s">
        <v>752</v>
      </c>
      <c r="I210" s="204">
        <f>_xlfn.XLOOKUP(C210,[1]Hoja1!$A:$A,[1]Hoja1!$C:$C,0)</f>
        <v>82085</v>
      </c>
      <c r="J210" s="204">
        <v>6685</v>
      </c>
      <c r="K210" s="204">
        <v>6685</v>
      </c>
      <c r="L210" s="205">
        <v>0</v>
      </c>
      <c r="M210" s="205">
        <v>6685</v>
      </c>
      <c r="N210" s="204">
        <f t="shared" si="3"/>
        <v>0</v>
      </c>
      <c r="O210" s="118" t="s">
        <v>3006</v>
      </c>
      <c r="P210" s="98" t="s">
        <v>837</v>
      </c>
      <c r="Q210" s="119" t="s">
        <v>840</v>
      </c>
      <c r="R210" s="28" t="s">
        <v>824</v>
      </c>
      <c r="S210" s="28" t="s">
        <v>824</v>
      </c>
      <c r="T210" s="28" t="s">
        <v>824</v>
      </c>
      <c r="U210" s="101">
        <v>0</v>
      </c>
    </row>
    <row r="211" spans="1:21" ht="21.75" x14ac:dyDescent="0.25">
      <c r="A211" s="201">
        <v>211</v>
      </c>
      <c r="B211" s="98" t="s">
        <v>821</v>
      </c>
      <c r="C211" s="109" t="s">
        <v>123</v>
      </c>
      <c r="D211" s="203">
        <v>45952</v>
      </c>
      <c r="E211" s="98" t="s">
        <v>825</v>
      </c>
      <c r="F211" s="98" t="s">
        <v>666</v>
      </c>
      <c r="G211" s="206" t="s">
        <v>279</v>
      </c>
      <c r="H211" s="111" t="s">
        <v>790</v>
      </c>
      <c r="I211" s="204">
        <f>_xlfn.XLOOKUP(C211,[1]Hoja1!$A:$A,[1]Hoja1!$C:$C,0)</f>
        <v>5935091</v>
      </c>
      <c r="J211" s="204">
        <v>2249605</v>
      </c>
      <c r="K211" s="204">
        <v>2249605</v>
      </c>
      <c r="L211" s="205">
        <v>1269690</v>
      </c>
      <c r="M211" s="205">
        <v>979915</v>
      </c>
      <c r="N211" s="204">
        <f t="shared" si="3"/>
        <v>0</v>
      </c>
      <c r="O211" s="118" t="s">
        <v>3006</v>
      </c>
      <c r="P211" s="98" t="s">
        <v>838</v>
      </c>
      <c r="Q211" s="119" t="s">
        <v>896</v>
      </c>
      <c r="R211" s="28" t="s">
        <v>824</v>
      </c>
      <c r="S211" s="28" t="s">
        <v>824</v>
      </c>
      <c r="T211" s="28" t="s">
        <v>824</v>
      </c>
      <c r="U211" s="101">
        <v>0</v>
      </c>
    </row>
    <row r="212" spans="1:21" ht="21.75" x14ac:dyDescent="0.25">
      <c r="A212" s="201">
        <v>212</v>
      </c>
      <c r="B212" s="98" t="s">
        <v>821</v>
      </c>
      <c r="C212" s="109" t="s">
        <v>124</v>
      </c>
      <c r="D212" s="203">
        <v>45966</v>
      </c>
      <c r="E212" s="98" t="s">
        <v>825</v>
      </c>
      <c r="F212" s="98" t="s">
        <v>666</v>
      </c>
      <c r="G212" s="206" t="s">
        <v>275</v>
      </c>
      <c r="H212" s="111" t="s">
        <v>791</v>
      </c>
      <c r="I212" s="204">
        <f>_xlfn.XLOOKUP(C212,[1]Hoja1!$A:$A,[1]Hoja1!$C:$C,0)</f>
        <v>8895762</v>
      </c>
      <c r="J212" s="204">
        <v>336171</v>
      </c>
      <c r="K212" s="204">
        <v>336171</v>
      </c>
      <c r="L212" s="205">
        <v>336171</v>
      </c>
      <c r="M212" s="205">
        <v>0</v>
      </c>
      <c r="N212" s="204">
        <f t="shared" si="3"/>
        <v>0</v>
      </c>
      <c r="O212" s="118" t="s">
        <v>3006</v>
      </c>
      <c r="P212" s="98" t="s">
        <v>838</v>
      </c>
      <c r="Q212" s="119" t="s">
        <v>897</v>
      </c>
      <c r="R212" s="28" t="s">
        <v>824</v>
      </c>
      <c r="S212" s="28" t="s">
        <v>824</v>
      </c>
      <c r="T212" s="28" t="s">
        <v>824</v>
      </c>
      <c r="U212" s="101">
        <v>0</v>
      </c>
    </row>
    <row r="213" spans="1:21" ht="21.75" x14ac:dyDescent="0.25">
      <c r="A213" s="201">
        <v>213</v>
      </c>
      <c r="B213" s="98" t="s">
        <v>821</v>
      </c>
      <c r="C213" s="109" t="s">
        <v>124</v>
      </c>
      <c r="D213" s="203">
        <v>45966</v>
      </c>
      <c r="E213" s="98" t="s">
        <v>825</v>
      </c>
      <c r="F213" s="98" t="s">
        <v>666</v>
      </c>
      <c r="G213" s="206" t="s">
        <v>275</v>
      </c>
      <c r="H213" s="111" t="s">
        <v>792</v>
      </c>
      <c r="I213" s="204">
        <f>_xlfn.XLOOKUP(C213,[1]Hoja1!$A:$A,[1]Hoja1!$C:$C,0)</f>
        <v>8895762</v>
      </c>
      <c r="J213" s="204">
        <v>336171</v>
      </c>
      <c r="K213" s="204">
        <v>336171</v>
      </c>
      <c r="L213" s="205">
        <v>336171</v>
      </c>
      <c r="M213" s="205">
        <v>0</v>
      </c>
      <c r="N213" s="204">
        <f t="shared" si="3"/>
        <v>0</v>
      </c>
      <c r="O213" s="118" t="s">
        <v>3006</v>
      </c>
      <c r="P213" s="98" t="s">
        <v>838</v>
      </c>
      <c r="Q213" s="119" t="s">
        <v>897</v>
      </c>
      <c r="R213" s="28" t="s">
        <v>824</v>
      </c>
      <c r="S213" s="28" t="s">
        <v>824</v>
      </c>
      <c r="T213" s="28" t="s">
        <v>824</v>
      </c>
      <c r="U213" s="101">
        <v>0</v>
      </c>
    </row>
    <row r="214" spans="1:21" ht="21.75" x14ac:dyDescent="0.25">
      <c r="A214" s="201">
        <v>214</v>
      </c>
      <c r="B214" s="98" t="s">
        <v>821</v>
      </c>
      <c r="C214" s="109" t="s">
        <v>125</v>
      </c>
      <c r="D214" s="203">
        <v>45952</v>
      </c>
      <c r="E214" s="98" t="s">
        <v>668</v>
      </c>
      <c r="F214" s="98" t="s">
        <v>667</v>
      </c>
      <c r="G214" s="206" t="s">
        <v>237</v>
      </c>
      <c r="H214" s="111" t="s">
        <v>793</v>
      </c>
      <c r="I214" s="204">
        <f>_xlfn.XLOOKUP(C214,[1]Hoja1!$A:$A,[1]Hoja1!$C:$C,0)</f>
        <v>3677286</v>
      </c>
      <c r="J214" s="204">
        <v>4700</v>
      </c>
      <c r="K214" s="204">
        <v>4700</v>
      </c>
      <c r="L214" s="205">
        <v>4700</v>
      </c>
      <c r="M214" s="205">
        <v>0</v>
      </c>
      <c r="N214" s="204">
        <f t="shared" si="3"/>
        <v>0</v>
      </c>
      <c r="O214" s="118" t="s">
        <v>3006</v>
      </c>
      <c r="P214" s="98" t="s">
        <v>837</v>
      </c>
      <c r="Q214" s="119" t="s">
        <v>846</v>
      </c>
      <c r="R214" s="28" t="s">
        <v>824</v>
      </c>
      <c r="S214" s="28" t="s">
        <v>824</v>
      </c>
      <c r="T214" s="28" t="s">
        <v>824</v>
      </c>
      <c r="U214" s="101">
        <v>0</v>
      </c>
    </row>
    <row r="215" spans="1:21" ht="21.75" x14ac:dyDescent="0.25">
      <c r="A215" s="201">
        <v>215</v>
      </c>
      <c r="B215" s="98" t="s">
        <v>821</v>
      </c>
      <c r="C215" s="109" t="s">
        <v>125</v>
      </c>
      <c r="D215" s="203">
        <v>45952</v>
      </c>
      <c r="E215" s="98" t="s">
        <v>668</v>
      </c>
      <c r="F215" s="98" t="s">
        <v>667</v>
      </c>
      <c r="G215" s="206" t="s">
        <v>237</v>
      </c>
      <c r="H215" s="111" t="s">
        <v>793</v>
      </c>
      <c r="I215" s="204">
        <f>_xlfn.XLOOKUP(C215,[1]Hoja1!$A:$A,[1]Hoja1!$C:$C,0)</f>
        <v>3677286</v>
      </c>
      <c r="J215" s="204">
        <v>4700</v>
      </c>
      <c r="K215" s="204">
        <v>4700</v>
      </c>
      <c r="L215" s="205">
        <v>4700</v>
      </c>
      <c r="M215" s="205">
        <v>0</v>
      </c>
      <c r="N215" s="204">
        <f t="shared" si="3"/>
        <v>0</v>
      </c>
      <c r="O215" s="118" t="s">
        <v>3006</v>
      </c>
      <c r="P215" s="98" t="s">
        <v>837</v>
      </c>
      <c r="Q215" s="119" t="s">
        <v>846</v>
      </c>
      <c r="R215" s="28" t="s">
        <v>824</v>
      </c>
      <c r="S215" s="28" t="s">
        <v>824</v>
      </c>
      <c r="T215" s="28" t="s">
        <v>824</v>
      </c>
      <c r="U215" s="101">
        <v>0</v>
      </c>
    </row>
    <row r="216" spans="1:21" ht="21.75" x14ac:dyDescent="0.25">
      <c r="A216" s="201">
        <v>216</v>
      </c>
      <c r="B216" s="98" t="s">
        <v>821</v>
      </c>
      <c r="C216" s="109" t="s">
        <v>126</v>
      </c>
      <c r="D216" s="203">
        <v>45957</v>
      </c>
      <c r="E216" s="98" t="s">
        <v>668</v>
      </c>
      <c r="F216" s="98" t="s">
        <v>667</v>
      </c>
      <c r="G216" s="206" t="s">
        <v>237</v>
      </c>
      <c r="H216" s="111" t="s">
        <v>793</v>
      </c>
      <c r="I216" s="204">
        <f>_xlfn.XLOOKUP(C216,[1]Hoja1!$A:$A,[1]Hoja1!$C:$C,0)</f>
        <v>3795799</v>
      </c>
      <c r="J216" s="204">
        <v>4700</v>
      </c>
      <c r="K216" s="204">
        <v>4700</v>
      </c>
      <c r="L216" s="205">
        <v>4700</v>
      </c>
      <c r="M216" s="205">
        <v>0</v>
      </c>
      <c r="N216" s="204">
        <f t="shared" si="3"/>
        <v>0</v>
      </c>
      <c r="O216" s="118" t="s">
        <v>3006</v>
      </c>
      <c r="P216" s="98" t="s">
        <v>837</v>
      </c>
      <c r="Q216" s="119" t="s">
        <v>846</v>
      </c>
      <c r="R216" s="28" t="s">
        <v>824</v>
      </c>
      <c r="S216" s="28" t="s">
        <v>824</v>
      </c>
      <c r="T216" s="28" t="s">
        <v>824</v>
      </c>
      <c r="U216" s="101">
        <v>0</v>
      </c>
    </row>
    <row r="217" spans="1:21" ht="21.75" x14ac:dyDescent="0.25">
      <c r="A217" s="201">
        <v>217</v>
      </c>
      <c r="B217" s="98" t="s">
        <v>821</v>
      </c>
      <c r="C217" s="109" t="s">
        <v>127</v>
      </c>
      <c r="D217" s="203">
        <v>45967</v>
      </c>
      <c r="E217" s="98" t="s">
        <v>668</v>
      </c>
      <c r="F217" s="98" t="s">
        <v>664</v>
      </c>
      <c r="G217" s="206" t="s">
        <v>185</v>
      </c>
      <c r="H217" s="111" t="s">
        <v>794</v>
      </c>
      <c r="I217" s="204">
        <f>_xlfn.XLOOKUP(C217,[1]Hoja1!$A:$A,[1]Hoja1!$C:$C,0)</f>
        <v>106697</v>
      </c>
      <c r="J217" s="204">
        <v>31297</v>
      </c>
      <c r="K217" s="204">
        <v>31297</v>
      </c>
      <c r="L217" s="205">
        <v>0</v>
      </c>
      <c r="M217" s="205">
        <v>31297</v>
      </c>
      <c r="N217" s="204">
        <f t="shared" si="3"/>
        <v>0</v>
      </c>
      <c r="O217" s="118" t="s">
        <v>3006</v>
      </c>
      <c r="P217" s="98" t="s">
        <v>837</v>
      </c>
      <c r="Q217" s="119" t="s">
        <v>840</v>
      </c>
      <c r="R217" s="28" t="s">
        <v>824</v>
      </c>
      <c r="S217" s="28" t="s">
        <v>824</v>
      </c>
      <c r="T217" s="28" t="s">
        <v>824</v>
      </c>
      <c r="U217" s="101">
        <v>0</v>
      </c>
    </row>
    <row r="218" spans="1:21" ht="21.75" x14ac:dyDescent="0.25">
      <c r="A218" s="201">
        <v>218</v>
      </c>
      <c r="B218" s="98" t="s">
        <v>821</v>
      </c>
      <c r="C218" s="109" t="s">
        <v>128</v>
      </c>
      <c r="D218" s="203">
        <v>45967</v>
      </c>
      <c r="E218" s="98" t="s">
        <v>668</v>
      </c>
      <c r="F218" s="98" t="s">
        <v>664</v>
      </c>
      <c r="G218" s="206" t="s">
        <v>185</v>
      </c>
      <c r="H218" s="111" t="s">
        <v>795</v>
      </c>
      <c r="I218" s="204">
        <f>_xlfn.XLOOKUP(C218,[1]Hoja1!$A:$A,[1]Hoja1!$C:$C,0)</f>
        <v>82085</v>
      </c>
      <c r="J218" s="204">
        <v>6685</v>
      </c>
      <c r="K218" s="204">
        <v>6685</v>
      </c>
      <c r="L218" s="205">
        <v>0</v>
      </c>
      <c r="M218" s="205">
        <v>6685</v>
      </c>
      <c r="N218" s="204">
        <f t="shared" si="3"/>
        <v>0</v>
      </c>
      <c r="O218" s="118" t="s">
        <v>3006</v>
      </c>
      <c r="P218" s="98" t="s">
        <v>837</v>
      </c>
      <c r="Q218" s="119" t="s">
        <v>840</v>
      </c>
      <c r="R218" s="28" t="s">
        <v>824</v>
      </c>
      <c r="S218" s="28" t="s">
        <v>824</v>
      </c>
      <c r="T218" s="28" t="s">
        <v>824</v>
      </c>
      <c r="U218" s="101">
        <v>0</v>
      </c>
    </row>
    <row r="219" spans="1:21" ht="21.75" x14ac:dyDescent="0.25">
      <c r="A219" s="201">
        <v>219</v>
      </c>
      <c r="B219" s="98" t="s">
        <v>821</v>
      </c>
      <c r="C219" s="109" t="s">
        <v>129</v>
      </c>
      <c r="D219" s="203">
        <v>45967</v>
      </c>
      <c r="E219" s="98" t="s">
        <v>668</v>
      </c>
      <c r="F219" s="98" t="s">
        <v>664</v>
      </c>
      <c r="G219" s="206" t="s">
        <v>185</v>
      </c>
      <c r="H219" s="111" t="s">
        <v>794</v>
      </c>
      <c r="I219" s="204">
        <f>_xlfn.XLOOKUP(C219,[1]Hoja1!$A:$A,[1]Hoja1!$C:$C,0)</f>
        <v>106697</v>
      </c>
      <c r="J219" s="204">
        <v>31297</v>
      </c>
      <c r="K219" s="204">
        <v>31297</v>
      </c>
      <c r="L219" s="205">
        <v>0</v>
      </c>
      <c r="M219" s="205">
        <v>31297</v>
      </c>
      <c r="N219" s="204">
        <f t="shared" si="3"/>
        <v>0</v>
      </c>
      <c r="O219" s="118" t="s">
        <v>3006</v>
      </c>
      <c r="P219" s="98" t="s">
        <v>837</v>
      </c>
      <c r="Q219" s="119" t="s">
        <v>840</v>
      </c>
      <c r="R219" s="28" t="s">
        <v>824</v>
      </c>
      <c r="S219" s="28" t="s">
        <v>824</v>
      </c>
      <c r="T219" s="28" t="s">
        <v>824</v>
      </c>
      <c r="U219" s="101">
        <v>0</v>
      </c>
    </row>
    <row r="220" spans="1:21" ht="21.75" x14ac:dyDescent="0.25">
      <c r="A220" s="201">
        <v>220</v>
      </c>
      <c r="B220" s="98" t="s">
        <v>821</v>
      </c>
      <c r="C220" s="109" t="s">
        <v>130</v>
      </c>
      <c r="D220" s="203">
        <v>45967</v>
      </c>
      <c r="E220" s="98" t="s">
        <v>668</v>
      </c>
      <c r="F220" s="98" t="s">
        <v>664</v>
      </c>
      <c r="G220" s="206" t="s">
        <v>185</v>
      </c>
      <c r="H220" s="111" t="s">
        <v>794</v>
      </c>
      <c r="I220" s="204">
        <f>_xlfn.XLOOKUP(C220,[1]Hoja1!$A:$A,[1]Hoja1!$C:$C,0)</f>
        <v>106697</v>
      </c>
      <c r="J220" s="204">
        <v>31297</v>
      </c>
      <c r="K220" s="204">
        <v>31297</v>
      </c>
      <c r="L220" s="205">
        <v>0</v>
      </c>
      <c r="M220" s="205">
        <v>31297</v>
      </c>
      <c r="N220" s="204">
        <f t="shared" si="3"/>
        <v>0</v>
      </c>
      <c r="O220" s="118" t="s">
        <v>3006</v>
      </c>
      <c r="P220" s="98" t="s">
        <v>837</v>
      </c>
      <c r="Q220" s="119" t="s">
        <v>840</v>
      </c>
      <c r="R220" s="28" t="s">
        <v>824</v>
      </c>
      <c r="S220" s="28" t="s">
        <v>824</v>
      </c>
      <c r="T220" s="28" t="s">
        <v>824</v>
      </c>
      <c r="U220" s="101">
        <v>0</v>
      </c>
    </row>
    <row r="221" spans="1:21" ht="21.75" x14ac:dyDescent="0.25">
      <c r="A221" s="201">
        <v>221</v>
      </c>
      <c r="B221" s="98" t="s">
        <v>822</v>
      </c>
      <c r="C221" s="109" t="s">
        <v>132</v>
      </c>
      <c r="D221" s="203">
        <v>45945</v>
      </c>
      <c r="E221" s="98" t="s">
        <v>825</v>
      </c>
      <c r="F221" s="98" t="s">
        <v>666</v>
      </c>
      <c r="G221" s="206" t="s">
        <v>194</v>
      </c>
      <c r="H221" s="111" t="s">
        <v>796</v>
      </c>
      <c r="I221" s="204">
        <f>_xlfn.XLOOKUP(C221,[1]Hoja1!$A:$A,[1]Hoja1!$C:$C,0)</f>
        <v>24970048</v>
      </c>
      <c r="J221" s="204">
        <v>797160</v>
      </c>
      <c r="K221" s="204">
        <v>797160</v>
      </c>
      <c r="L221" s="205">
        <v>797160</v>
      </c>
      <c r="M221" s="205">
        <v>0</v>
      </c>
      <c r="N221" s="204">
        <f t="shared" si="3"/>
        <v>0</v>
      </c>
      <c r="O221" s="118" t="s">
        <v>3006</v>
      </c>
      <c r="P221" s="98" t="s">
        <v>838</v>
      </c>
      <c r="Q221" s="119" t="s">
        <v>898</v>
      </c>
      <c r="R221" s="28" t="s">
        <v>824</v>
      </c>
      <c r="S221" s="28" t="s">
        <v>824</v>
      </c>
      <c r="T221" s="28" t="s">
        <v>824</v>
      </c>
      <c r="U221" s="101">
        <v>0</v>
      </c>
    </row>
    <row r="222" spans="1:21" ht="21.75" x14ac:dyDescent="0.25">
      <c r="A222" s="201">
        <v>222</v>
      </c>
      <c r="B222" s="98" t="s">
        <v>822</v>
      </c>
      <c r="C222" s="109" t="s">
        <v>133</v>
      </c>
      <c r="D222" s="203">
        <v>45943</v>
      </c>
      <c r="E222" s="98" t="s">
        <v>668</v>
      </c>
      <c r="F222" s="98" t="s">
        <v>667</v>
      </c>
      <c r="G222" s="206" t="s">
        <v>237</v>
      </c>
      <c r="H222" s="111" t="s">
        <v>797</v>
      </c>
      <c r="I222" s="204">
        <f>_xlfn.XLOOKUP(C222,[1]Hoja1!$A:$A,[1]Hoja1!$C:$C,0)</f>
        <v>43568239</v>
      </c>
      <c r="J222" s="204">
        <v>389016</v>
      </c>
      <c r="K222" s="204">
        <v>389016</v>
      </c>
      <c r="L222" s="205">
        <v>0</v>
      </c>
      <c r="M222" s="205">
        <v>389016</v>
      </c>
      <c r="N222" s="204">
        <f t="shared" si="3"/>
        <v>0</v>
      </c>
      <c r="O222" s="118" t="s">
        <v>3006</v>
      </c>
      <c r="P222" s="98" t="s">
        <v>837</v>
      </c>
      <c r="Q222" s="119" t="s">
        <v>850</v>
      </c>
      <c r="R222" s="28" t="s">
        <v>824</v>
      </c>
      <c r="S222" s="28" t="s">
        <v>824</v>
      </c>
      <c r="T222" s="28" t="s">
        <v>824</v>
      </c>
      <c r="U222" s="101">
        <v>0</v>
      </c>
    </row>
    <row r="223" spans="1:21" ht="21.75" x14ac:dyDescent="0.25">
      <c r="A223" s="201">
        <v>223</v>
      </c>
      <c r="B223" s="98" t="s">
        <v>822</v>
      </c>
      <c r="C223" s="109" t="s">
        <v>133</v>
      </c>
      <c r="D223" s="203">
        <v>45943</v>
      </c>
      <c r="E223" s="98" t="s">
        <v>669</v>
      </c>
      <c r="F223" s="98" t="s">
        <v>666</v>
      </c>
      <c r="G223" s="206" t="s">
        <v>194</v>
      </c>
      <c r="H223" s="111" t="s">
        <v>798</v>
      </c>
      <c r="I223" s="204">
        <f>_xlfn.XLOOKUP(C223,[1]Hoja1!$A:$A,[1]Hoja1!$C:$C,0)</f>
        <v>43568239</v>
      </c>
      <c r="J223" s="204">
        <v>1223302</v>
      </c>
      <c r="K223" s="204">
        <v>1223302</v>
      </c>
      <c r="L223" s="205">
        <v>1223302</v>
      </c>
      <c r="M223" s="205">
        <v>0</v>
      </c>
      <c r="N223" s="204">
        <f t="shared" si="3"/>
        <v>0</v>
      </c>
      <c r="O223" s="118" t="s">
        <v>3006</v>
      </c>
      <c r="P223" s="98" t="s">
        <v>839</v>
      </c>
      <c r="Q223" s="119" t="s">
        <v>899</v>
      </c>
      <c r="R223" s="28" t="s">
        <v>824</v>
      </c>
      <c r="S223" s="28" t="s">
        <v>824</v>
      </c>
      <c r="T223" s="28" t="s">
        <v>824</v>
      </c>
      <c r="U223" s="101">
        <v>0</v>
      </c>
    </row>
    <row r="224" spans="1:21" ht="21.75" x14ac:dyDescent="0.25">
      <c r="A224" s="201">
        <v>224</v>
      </c>
      <c r="B224" s="98" t="s">
        <v>821</v>
      </c>
      <c r="C224" s="109" t="s">
        <v>134</v>
      </c>
      <c r="D224" s="203">
        <v>45931</v>
      </c>
      <c r="E224" s="98" t="s">
        <v>668</v>
      </c>
      <c r="F224" s="98" t="s">
        <v>664</v>
      </c>
      <c r="G224" s="206" t="s">
        <v>201</v>
      </c>
      <c r="H224" s="111" t="s">
        <v>799</v>
      </c>
      <c r="I224" s="204">
        <f>_xlfn.XLOOKUP(C224,[1]Hoja1!$A:$A,[1]Hoja1!$C:$C,0)</f>
        <v>110245982</v>
      </c>
      <c r="J224" s="204">
        <v>1288699</v>
      </c>
      <c r="K224" s="204">
        <v>1288699</v>
      </c>
      <c r="L224" s="205">
        <v>1288699</v>
      </c>
      <c r="M224" s="205">
        <v>0</v>
      </c>
      <c r="N224" s="204">
        <f t="shared" si="3"/>
        <v>0</v>
      </c>
      <c r="O224" s="118" t="s">
        <v>3006</v>
      </c>
      <c r="P224" s="98" t="s">
        <v>837</v>
      </c>
      <c r="Q224" s="119" t="s">
        <v>846</v>
      </c>
      <c r="R224" s="28" t="s">
        <v>824</v>
      </c>
      <c r="S224" s="28" t="s">
        <v>824</v>
      </c>
      <c r="T224" s="28" t="s">
        <v>824</v>
      </c>
      <c r="U224" s="101">
        <v>0</v>
      </c>
    </row>
    <row r="225" spans="1:21" ht="21.75" x14ac:dyDescent="0.25">
      <c r="A225" s="201">
        <v>225</v>
      </c>
      <c r="B225" s="98" t="s">
        <v>821</v>
      </c>
      <c r="C225" s="109" t="s">
        <v>134</v>
      </c>
      <c r="D225" s="203">
        <v>45931</v>
      </c>
      <c r="E225" s="98" t="s">
        <v>669</v>
      </c>
      <c r="F225" s="98" t="s">
        <v>666</v>
      </c>
      <c r="G225" s="206" t="s">
        <v>194</v>
      </c>
      <c r="H225" s="111" t="s">
        <v>800</v>
      </c>
      <c r="I225" s="204">
        <f>_xlfn.XLOOKUP(C225,[1]Hoja1!$A:$A,[1]Hoja1!$C:$C,0)</f>
        <v>110245982</v>
      </c>
      <c r="J225" s="204">
        <v>2790060</v>
      </c>
      <c r="K225" s="204">
        <v>2790060</v>
      </c>
      <c r="L225" s="205">
        <v>1594320</v>
      </c>
      <c r="M225" s="205">
        <v>1195740</v>
      </c>
      <c r="N225" s="204">
        <f t="shared" si="3"/>
        <v>0</v>
      </c>
      <c r="O225" s="118" t="s">
        <v>3006</v>
      </c>
      <c r="P225" s="98" t="s">
        <v>839</v>
      </c>
      <c r="Q225" s="119" t="s">
        <v>900</v>
      </c>
      <c r="R225" s="28" t="s">
        <v>824</v>
      </c>
      <c r="S225" s="28" t="s">
        <v>824</v>
      </c>
      <c r="T225" s="28" t="s">
        <v>824</v>
      </c>
      <c r="U225" s="101">
        <v>0</v>
      </c>
    </row>
    <row r="226" spans="1:21" ht="21.75" x14ac:dyDescent="0.25">
      <c r="A226" s="201">
        <v>226</v>
      </c>
      <c r="B226" s="98" t="s">
        <v>821</v>
      </c>
      <c r="C226" s="109" t="s">
        <v>134</v>
      </c>
      <c r="D226" s="203">
        <v>45931</v>
      </c>
      <c r="E226" s="98" t="s">
        <v>668</v>
      </c>
      <c r="F226" s="98" t="s">
        <v>667</v>
      </c>
      <c r="G226" s="206" t="s">
        <v>303</v>
      </c>
      <c r="H226" s="111" t="s">
        <v>801</v>
      </c>
      <c r="I226" s="204">
        <f>_xlfn.XLOOKUP(C226,[1]Hoja1!$A:$A,[1]Hoja1!$C:$C,0)</f>
        <v>110245982</v>
      </c>
      <c r="J226" s="204">
        <v>3469000</v>
      </c>
      <c r="K226" s="204">
        <v>3469000</v>
      </c>
      <c r="L226" s="205">
        <v>555400</v>
      </c>
      <c r="M226" s="205">
        <v>2913600</v>
      </c>
      <c r="N226" s="204">
        <f t="shared" si="3"/>
        <v>0</v>
      </c>
      <c r="O226" s="118" t="s">
        <v>3006</v>
      </c>
      <c r="P226" s="98" t="s">
        <v>837</v>
      </c>
      <c r="Q226" s="119" t="s">
        <v>872</v>
      </c>
      <c r="R226" s="28" t="s">
        <v>824</v>
      </c>
      <c r="S226" s="28" t="s">
        <v>824</v>
      </c>
      <c r="T226" s="28" t="s">
        <v>824</v>
      </c>
      <c r="U226" s="101">
        <v>0</v>
      </c>
    </row>
    <row r="227" spans="1:21" ht="21.75" x14ac:dyDescent="0.25">
      <c r="A227" s="201">
        <v>227</v>
      </c>
      <c r="B227" s="98" t="s">
        <v>821</v>
      </c>
      <c r="C227" s="109" t="s">
        <v>134</v>
      </c>
      <c r="D227" s="203">
        <v>45931</v>
      </c>
      <c r="E227" s="98" t="s">
        <v>668</v>
      </c>
      <c r="F227" s="98" t="s">
        <v>667</v>
      </c>
      <c r="G227" s="206" t="s">
        <v>303</v>
      </c>
      <c r="H227" s="111" t="s">
        <v>801</v>
      </c>
      <c r="I227" s="204">
        <f>_xlfn.XLOOKUP(C227,[1]Hoja1!$A:$A,[1]Hoja1!$C:$C,0)</f>
        <v>110245982</v>
      </c>
      <c r="J227" s="204">
        <v>4812800</v>
      </c>
      <c r="K227" s="204">
        <v>4812800</v>
      </c>
      <c r="L227" s="205">
        <v>1060160</v>
      </c>
      <c r="M227" s="205">
        <v>3752640</v>
      </c>
      <c r="N227" s="204">
        <f t="shared" si="3"/>
        <v>0</v>
      </c>
      <c r="O227" s="118" t="s">
        <v>3006</v>
      </c>
      <c r="P227" s="98" t="s">
        <v>837</v>
      </c>
      <c r="Q227" s="119" t="s">
        <v>872</v>
      </c>
      <c r="R227" s="28" t="s">
        <v>824</v>
      </c>
      <c r="S227" s="28" t="s">
        <v>824</v>
      </c>
      <c r="T227" s="28" t="s">
        <v>824</v>
      </c>
      <c r="U227" s="101">
        <v>0</v>
      </c>
    </row>
    <row r="228" spans="1:21" ht="21.75" x14ac:dyDescent="0.25">
      <c r="A228" s="201">
        <v>228</v>
      </c>
      <c r="B228" s="98" t="s">
        <v>821</v>
      </c>
      <c r="C228" s="109" t="s">
        <v>134</v>
      </c>
      <c r="D228" s="203">
        <v>45931</v>
      </c>
      <c r="E228" s="98" t="s">
        <v>668</v>
      </c>
      <c r="F228" s="98" t="s">
        <v>667</v>
      </c>
      <c r="G228" s="206" t="s">
        <v>303</v>
      </c>
      <c r="H228" s="111" t="s">
        <v>801</v>
      </c>
      <c r="I228" s="204">
        <f>_xlfn.XLOOKUP(C228,[1]Hoja1!$A:$A,[1]Hoja1!$C:$C,0)</f>
        <v>110245982</v>
      </c>
      <c r="J228" s="204">
        <v>4062500</v>
      </c>
      <c r="K228" s="204">
        <v>4062500</v>
      </c>
      <c r="L228" s="205">
        <v>162500</v>
      </c>
      <c r="M228" s="205">
        <v>3900000</v>
      </c>
      <c r="N228" s="204">
        <f t="shared" si="3"/>
        <v>0</v>
      </c>
      <c r="O228" s="118" t="s">
        <v>3006</v>
      </c>
      <c r="P228" s="98" t="s">
        <v>837</v>
      </c>
      <c r="Q228" s="119" t="s">
        <v>872</v>
      </c>
      <c r="R228" s="28" t="s">
        <v>824</v>
      </c>
      <c r="S228" s="28" t="s">
        <v>824</v>
      </c>
      <c r="T228" s="28" t="s">
        <v>824</v>
      </c>
      <c r="U228" s="101">
        <v>0</v>
      </c>
    </row>
    <row r="229" spans="1:21" ht="21.75" x14ac:dyDescent="0.25">
      <c r="A229" s="201">
        <v>229</v>
      </c>
      <c r="B229" s="98" t="s">
        <v>821</v>
      </c>
      <c r="C229" s="109" t="s">
        <v>135</v>
      </c>
      <c r="D229" s="203">
        <v>45966</v>
      </c>
      <c r="E229" s="98" t="s">
        <v>825</v>
      </c>
      <c r="F229" s="98" t="s">
        <v>666</v>
      </c>
      <c r="G229" s="206" t="s">
        <v>241</v>
      </c>
      <c r="H229" s="111" t="s">
        <v>802</v>
      </c>
      <c r="I229" s="204">
        <f>_xlfn.XLOOKUP(C229,[1]Hoja1!$A:$A,[1]Hoja1!$C:$C,0)</f>
        <v>1255305</v>
      </c>
      <c r="J229" s="204">
        <v>106010</v>
      </c>
      <c r="K229" s="204">
        <v>106010</v>
      </c>
      <c r="L229" s="205">
        <v>0</v>
      </c>
      <c r="M229" s="205">
        <v>106010</v>
      </c>
      <c r="N229" s="204">
        <f t="shared" si="3"/>
        <v>0</v>
      </c>
      <c r="O229" s="118" t="s">
        <v>3006</v>
      </c>
      <c r="P229" s="98" t="s">
        <v>838</v>
      </c>
      <c r="Q229" s="119" t="s">
        <v>901</v>
      </c>
      <c r="R229" s="28" t="s">
        <v>824</v>
      </c>
      <c r="S229" s="28" t="s">
        <v>824</v>
      </c>
      <c r="T229" s="28" t="s">
        <v>824</v>
      </c>
      <c r="U229" s="101">
        <v>0</v>
      </c>
    </row>
    <row r="230" spans="1:21" ht="21.75" x14ac:dyDescent="0.25">
      <c r="A230" s="201">
        <v>230</v>
      </c>
      <c r="B230" s="98" t="s">
        <v>821</v>
      </c>
      <c r="C230" s="109" t="s">
        <v>135</v>
      </c>
      <c r="D230" s="203">
        <v>45966</v>
      </c>
      <c r="E230" s="98" t="s">
        <v>825</v>
      </c>
      <c r="F230" s="98" t="s">
        <v>666</v>
      </c>
      <c r="G230" s="206" t="s">
        <v>241</v>
      </c>
      <c r="H230" s="111" t="s">
        <v>802</v>
      </c>
      <c r="I230" s="204">
        <f>_xlfn.XLOOKUP(C230,[1]Hoja1!$A:$A,[1]Hoja1!$C:$C,0)</f>
        <v>1255305</v>
      </c>
      <c r="J230" s="204">
        <v>18616</v>
      </c>
      <c r="K230" s="204">
        <v>18616</v>
      </c>
      <c r="L230" s="205">
        <v>0</v>
      </c>
      <c r="M230" s="205">
        <v>18616</v>
      </c>
      <c r="N230" s="204">
        <f t="shared" si="3"/>
        <v>0</v>
      </c>
      <c r="O230" s="118" t="s">
        <v>3006</v>
      </c>
      <c r="P230" s="98" t="s">
        <v>838</v>
      </c>
      <c r="Q230" s="119" t="s">
        <v>901</v>
      </c>
      <c r="R230" s="28" t="s">
        <v>824</v>
      </c>
      <c r="S230" s="28" t="s">
        <v>824</v>
      </c>
      <c r="T230" s="28" t="s">
        <v>824</v>
      </c>
      <c r="U230" s="101">
        <v>0</v>
      </c>
    </row>
    <row r="231" spans="1:21" ht="21.75" x14ac:dyDescent="0.25">
      <c r="A231" s="201">
        <v>231</v>
      </c>
      <c r="B231" s="98" t="s">
        <v>821</v>
      </c>
      <c r="C231" s="109" t="s">
        <v>136</v>
      </c>
      <c r="D231" s="203">
        <v>45939</v>
      </c>
      <c r="E231" s="98" t="s">
        <v>668</v>
      </c>
      <c r="F231" s="98" t="s">
        <v>664</v>
      </c>
      <c r="G231" s="206" t="s">
        <v>201</v>
      </c>
      <c r="H231" s="111" t="s">
        <v>803</v>
      </c>
      <c r="I231" s="204">
        <f>_xlfn.XLOOKUP(C231,[1]Hoja1!$A:$A,[1]Hoja1!$C:$C,0)</f>
        <v>5505766</v>
      </c>
      <c r="J231" s="204">
        <v>1684944</v>
      </c>
      <c r="K231" s="204">
        <v>1684944</v>
      </c>
      <c r="L231" s="205">
        <v>0</v>
      </c>
      <c r="M231" s="205">
        <v>1684944</v>
      </c>
      <c r="N231" s="204">
        <f t="shared" si="3"/>
        <v>0</v>
      </c>
      <c r="O231" s="118" t="s">
        <v>3006</v>
      </c>
      <c r="P231" s="98" t="s">
        <v>837</v>
      </c>
      <c r="Q231" s="119" t="s">
        <v>840</v>
      </c>
      <c r="R231" s="28" t="s">
        <v>824</v>
      </c>
      <c r="S231" s="28" t="s">
        <v>824</v>
      </c>
      <c r="T231" s="28" t="s">
        <v>824</v>
      </c>
      <c r="U231" s="101">
        <v>0</v>
      </c>
    </row>
    <row r="232" spans="1:21" ht="21.75" x14ac:dyDescent="0.25">
      <c r="A232" s="201">
        <v>232</v>
      </c>
      <c r="B232" s="98" t="s">
        <v>821</v>
      </c>
      <c r="C232" s="109" t="s">
        <v>137</v>
      </c>
      <c r="D232" s="203">
        <v>45958</v>
      </c>
      <c r="E232" s="98" t="s">
        <v>668</v>
      </c>
      <c r="F232" s="98" t="s">
        <v>667</v>
      </c>
      <c r="G232" s="206" t="s">
        <v>303</v>
      </c>
      <c r="H232" s="111" t="s">
        <v>804</v>
      </c>
      <c r="I232" s="204">
        <f>_xlfn.XLOOKUP(C232,[1]Hoja1!$A:$A,[1]Hoja1!$C:$C,0)</f>
        <v>35898903</v>
      </c>
      <c r="J232" s="204">
        <v>3106100</v>
      </c>
      <c r="K232" s="204">
        <v>3106100</v>
      </c>
      <c r="L232" s="205">
        <v>497001</v>
      </c>
      <c r="M232" s="205">
        <v>2609099</v>
      </c>
      <c r="N232" s="204">
        <f t="shared" si="3"/>
        <v>0</v>
      </c>
      <c r="O232" s="118" t="s">
        <v>3006</v>
      </c>
      <c r="P232" s="98" t="s">
        <v>837</v>
      </c>
      <c r="Q232" s="119" t="s">
        <v>872</v>
      </c>
      <c r="R232" s="28" t="s">
        <v>824</v>
      </c>
      <c r="S232" s="28" t="s">
        <v>824</v>
      </c>
      <c r="T232" s="28" t="s">
        <v>824</v>
      </c>
      <c r="U232" s="101">
        <v>0</v>
      </c>
    </row>
    <row r="233" spans="1:21" ht="21.75" x14ac:dyDescent="0.25">
      <c r="A233" s="201">
        <v>233</v>
      </c>
      <c r="B233" s="98" t="s">
        <v>821</v>
      </c>
      <c r="C233" s="109" t="s">
        <v>137</v>
      </c>
      <c r="D233" s="203">
        <v>45958</v>
      </c>
      <c r="E233" s="98" t="s">
        <v>668</v>
      </c>
      <c r="F233" s="98" t="s">
        <v>667</v>
      </c>
      <c r="G233" s="206" t="s">
        <v>303</v>
      </c>
      <c r="H233" s="111" t="s">
        <v>804</v>
      </c>
      <c r="I233" s="204">
        <f>_xlfn.XLOOKUP(C233,[1]Hoja1!$A:$A,[1]Hoja1!$C:$C,0)</f>
        <v>35898903</v>
      </c>
      <c r="J233" s="204">
        <v>5209000</v>
      </c>
      <c r="K233" s="204">
        <v>5209000</v>
      </c>
      <c r="L233" s="205">
        <v>833465</v>
      </c>
      <c r="M233" s="205">
        <v>4375535</v>
      </c>
      <c r="N233" s="204">
        <f t="shared" si="3"/>
        <v>0</v>
      </c>
      <c r="O233" s="118" t="s">
        <v>3006</v>
      </c>
      <c r="P233" s="98" t="s">
        <v>837</v>
      </c>
      <c r="Q233" s="119" t="s">
        <v>872</v>
      </c>
      <c r="R233" s="28" t="s">
        <v>824</v>
      </c>
      <c r="S233" s="28" t="s">
        <v>824</v>
      </c>
      <c r="T233" s="28" t="s">
        <v>824</v>
      </c>
      <c r="U233" s="101">
        <v>0</v>
      </c>
    </row>
    <row r="234" spans="1:21" ht="21.75" x14ac:dyDescent="0.25">
      <c r="A234" s="201">
        <v>234</v>
      </c>
      <c r="B234" s="98" t="s">
        <v>821</v>
      </c>
      <c r="C234" s="109" t="s">
        <v>137</v>
      </c>
      <c r="D234" s="203">
        <v>45958</v>
      </c>
      <c r="E234" s="98" t="s">
        <v>668</v>
      </c>
      <c r="F234" s="98" t="s">
        <v>667</v>
      </c>
      <c r="G234" s="206" t="s">
        <v>303</v>
      </c>
      <c r="H234" s="111" t="s">
        <v>804</v>
      </c>
      <c r="I234" s="204">
        <f>_xlfn.XLOOKUP(C234,[1]Hoja1!$A:$A,[1]Hoja1!$C:$C,0)</f>
        <v>35898903</v>
      </c>
      <c r="J234" s="204">
        <v>968400</v>
      </c>
      <c r="K234" s="204">
        <v>968400</v>
      </c>
      <c r="L234" s="205">
        <v>213273</v>
      </c>
      <c r="M234" s="205">
        <v>755127</v>
      </c>
      <c r="N234" s="204">
        <f t="shared" si="3"/>
        <v>0</v>
      </c>
      <c r="O234" s="118" t="s">
        <v>3006</v>
      </c>
      <c r="P234" s="98" t="s">
        <v>837</v>
      </c>
      <c r="Q234" s="119" t="s">
        <v>872</v>
      </c>
      <c r="R234" s="28" t="s">
        <v>824</v>
      </c>
      <c r="S234" s="28" t="s">
        <v>824</v>
      </c>
      <c r="T234" s="28" t="s">
        <v>824</v>
      </c>
      <c r="U234" s="101">
        <v>0</v>
      </c>
    </row>
    <row r="235" spans="1:21" ht="21.75" x14ac:dyDescent="0.25">
      <c r="A235" s="201">
        <v>235</v>
      </c>
      <c r="B235" s="98" t="s">
        <v>821</v>
      </c>
      <c r="C235" s="109" t="s">
        <v>137</v>
      </c>
      <c r="D235" s="203">
        <v>45958</v>
      </c>
      <c r="E235" s="98" t="s">
        <v>668</v>
      </c>
      <c r="F235" s="98" t="s">
        <v>667</v>
      </c>
      <c r="G235" s="206" t="s">
        <v>303</v>
      </c>
      <c r="H235" s="111" t="s">
        <v>804</v>
      </c>
      <c r="I235" s="204">
        <f>_xlfn.XLOOKUP(C235,[1]Hoja1!$A:$A,[1]Hoja1!$C:$C,0)</f>
        <v>35898903</v>
      </c>
      <c r="J235" s="204">
        <v>2678400</v>
      </c>
      <c r="K235" s="204">
        <v>2678400</v>
      </c>
      <c r="L235" s="205">
        <v>428586</v>
      </c>
      <c r="M235" s="205">
        <v>2249814</v>
      </c>
      <c r="N235" s="204">
        <f t="shared" si="3"/>
        <v>0</v>
      </c>
      <c r="O235" s="118" t="s">
        <v>3006</v>
      </c>
      <c r="P235" s="98" t="s">
        <v>837</v>
      </c>
      <c r="Q235" s="119" t="s">
        <v>872</v>
      </c>
      <c r="R235" s="28" t="s">
        <v>824</v>
      </c>
      <c r="S235" s="28" t="s">
        <v>824</v>
      </c>
      <c r="T235" s="28" t="s">
        <v>824</v>
      </c>
      <c r="U235" s="101">
        <v>0</v>
      </c>
    </row>
    <row r="236" spans="1:21" ht="21.75" x14ac:dyDescent="0.25">
      <c r="A236" s="201">
        <v>236</v>
      </c>
      <c r="B236" s="98" t="s">
        <v>821</v>
      </c>
      <c r="C236" s="109" t="s">
        <v>137</v>
      </c>
      <c r="D236" s="203">
        <v>45958</v>
      </c>
      <c r="E236" s="98" t="s">
        <v>668</v>
      </c>
      <c r="F236" s="98" t="s">
        <v>667</v>
      </c>
      <c r="G236" s="206" t="s">
        <v>303</v>
      </c>
      <c r="H236" s="111" t="s">
        <v>804</v>
      </c>
      <c r="I236" s="204">
        <f>_xlfn.XLOOKUP(C236,[1]Hoja1!$A:$A,[1]Hoja1!$C:$C,0)</f>
        <v>35898903</v>
      </c>
      <c r="J236" s="204">
        <v>525000</v>
      </c>
      <c r="K236" s="204">
        <v>525000</v>
      </c>
      <c r="L236" s="205">
        <v>21000</v>
      </c>
      <c r="M236" s="205">
        <v>504000</v>
      </c>
      <c r="N236" s="204">
        <f t="shared" si="3"/>
        <v>0</v>
      </c>
      <c r="O236" s="118" t="s">
        <v>3006</v>
      </c>
      <c r="P236" s="98" t="s">
        <v>837</v>
      </c>
      <c r="Q236" s="119" t="s">
        <v>872</v>
      </c>
      <c r="R236" s="28" t="s">
        <v>824</v>
      </c>
      <c r="S236" s="28" t="s">
        <v>824</v>
      </c>
      <c r="T236" s="28" t="s">
        <v>824</v>
      </c>
      <c r="U236" s="101">
        <v>0</v>
      </c>
    </row>
    <row r="237" spans="1:21" ht="21.75" x14ac:dyDescent="0.25">
      <c r="A237" s="201">
        <v>237</v>
      </c>
      <c r="B237" s="98" t="s">
        <v>821</v>
      </c>
      <c r="C237" s="109" t="s">
        <v>137</v>
      </c>
      <c r="D237" s="203">
        <v>45958</v>
      </c>
      <c r="E237" s="98" t="s">
        <v>668</v>
      </c>
      <c r="F237" s="98" t="s">
        <v>667</v>
      </c>
      <c r="G237" s="206" t="s">
        <v>303</v>
      </c>
      <c r="H237" s="111" t="s">
        <v>804</v>
      </c>
      <c r="I237" s="204">
        <f>_xlfn.XLOOKUP(C237,[1]Hoja1!$A:$A,[1]Hoja1!$C:$C,0)</f>
        <v>35898903</v>
      </c>
      <c r="J237" s="204">
        <v>3021700</v>
      </c>
      <c r="K237" s="204">
        <v>3021700</v>
      </c>
      <c r="L237" s="205">
        <v>483700</v>
      </c>
      <c r="M237" s="205">
        <v>2538000</v>
      </c>
      <c r="N237" s="204">
        <f t="shared" si="3"/>
        <v>0</v>
      </c>
      <c r="O237" s="118" t="s">
        <v>3006</v>
      </c>
      <c r="P237" s="98" t="s">
        <v>837</v>
      </c>
      <c r="Q237" s="119" t="s">
        <v>872</v>
      </c>
      <c r="R237" s="28" t="s">
        <v>824</v>
      </c>
      <c r="S237" s="28" t="s">
        <v>824</v>
      </c>
      <c r="T237" s="28" t="s">
        <v>824</v>
      </c>
      <c r="U237" s="101">
        <v>0</v>
      </c>
    </row>
    <row r="238" spans="1:21" ht="21.75" x14ac:dyDescent="0.25">
      <c r="A238" s="201">
        <v>238</v>
      </c>
      <c r="B238" s="98" t="s">
        <v>821</v>
      </c>
      <c r="C238" s="109" t="s">
        <v>137</v>
      </c>
      <c r="D238" s="203">
        <v>45958</v>
      </c>
      <c r="E238" s="98" t="s">
        <v>668</v>
      </c>
      <c r="F238" s="98" t="s">
        <v>667</v>
      </c>
      <c r="G238" s="206" t="s">
        <v>303</v>
      </c>
      <c r="H238" s="111" t="s">
        <v>804</v>
      </c>
      <c r="I238" s="204">
        <f>_xlfn.XLOOKUP(C238,[1]Hoja1!$A:$A,[1]Hoja1!$C:$C,0)</f>
        <v>35898903</v>
      </c>
      <c r="J238" s="204">
        <v>10477600</v>
      </c>
      <c r="K238" s="204">
        <v>10477600</v>
      </c>
      <c r="L238" s="205">
        <v>1676800</v>
      </c>
      <c r="M238" s="205">
        <v>8800800</v>
      </c>
      <c r="N238" s="204">
        <f t="shared" si="3"/>
        <v>0</v>
      </c>
      <c r="O238" s="118" t="s">
        <v>3006</v>
      </c>
      <c r="P238" s="98" t="s">
        <v>837</v>
      </c>
      <c r="Q238" s="119" t="s">
        <v>872</v>
      </c>
      <c r="R238" s="28" t="s">
        <v>824</v>
      </c>
      <c r="S238" s="28" t="s">
        <v>824</v>
      </c>
      <c r="T238" s="28" t="s">
        <v>824</v>
      </c>
      <c r="U238" s="101">
        <v>0</v>
      </c>
    </row>
    <row r="239" spans="1:21" ht="21.75" x14ac:dyDescent="0.25">
      <c r="A239" s="201">
        <v>239</v>
      </c>
      <c r="B239" s="98" t="s">
        <v>821</v>
      </c>
      <c r="C239" s="109" t="s">
        <v>137</v>
      </c>
      <c r="D239" s="203">
        <v>45958</v>
      </c>
      <c r="E239" s="98" t="s">
        <v>668</v>
      </c>
      <c r="F239" s="98" t="s">
        <v>667</v>
      </c>
      <c r="G239" s="206" t="s">
        <v>303</v>
      </c>
      <c r="H239" s="111" t="s">
        <v>804</v>
      </c>
      <c r="I239" s="204">
        <f>_xlfn.XLOOKUP(C239,[1]Hoja1!$A:$A,[1]Hoja1!$C:$C,0)</f>
        <v>35898903</v>
      </c>
      <c r="J239" s="204">
        <v>4675000</v>
      </c>
      <c r="K239" s="204">
        <v>4675000</v>
      </c>
      <c r="L239" s="205">
        <v>748000</v>
      </c>
      <c r="M239" s="205">
        <v>3927000</v>
      </c>
      <c r="N239" s="204">
        <f t="shared" si="3"/>
        <v>0</v>
      </c>
      <c r="O239" s="118" t="s">
        <v>3006</v>
      </c>
      <c r="P239" s="98" t="s">
        <v>837</v>
      </c>
      <c r="Q239" s="119" t="s">
        <v>872</v>
      </c>
      <c r="R239" s="28" t="s">
        <v>824</v>
      </c>
      <c r="S239" s="28" t="s">
        <v>824</v>
      </c>
      <c r="T239" s="28" t="s">
        <v>824</v>
      </c>
      <c r="U239" s="101">
        <v>0</v>
      </c>
    </row>
    <row r="240" spans="1:21" ht="21.75" x14ac:dyDescent="0.25">
      <c r="A240" s="201">
        <v>240</v>
      </c>
      <c r="B240" s="98" t="s">
        <v>821</v>
      </c>
      <c r="C240" s="109" t="s">
        <v>138</v>
      </c>
      <c r="D240" s="203">
        <v>45955</v>
      </c>
      <c r="E240" s="98" t="s">
        <v>668</v>
      </c>
      <c r="F240" s="98" t="s">
        <v>667</v>
      </c>
      <c r="G240" s="206" t="s">
        <v>303</v>
      </c>
      <c r="H240" s="111" t="s">
        <v>804</v>
      </c>
      <c r="I240" s="204">
        <f>_xlfn.XLOOKUP(C240,[1]Hoja1!$A:$A,[1]Hoja1!$C:$C,0)</f>
        <v>19152692</v>
      </c>
      <c r="J240" s="204">
        <v>5238800</v>
      </c>
      <c r="K240" s="204">
        <v>5238800</v>
      </c>
      <c r="L240" s="205">
        <v>838400</v>
      </c>
      <c r="M240" s="205">
        <v>4400400</v>
      </c>
      <c r="N240" s="204">
        <f t="shared" si="3"/>
        <v>0</v>
      </c>
      <c r="O240" s="118" t="s">
        <v>3006</v>
      </c>
      <c r="P240" s="98" t="s">
        <v>837</v>
      </c>
      <c r="Q240" s="119" t="s">
        <v>902</v>
      </c>
      <c r="R240" s="28" t="s">
        <v>824</v>
      </c>
      <c r="S240" s="28" t="s">
        <v>824</v>
      </c>
      <c r="T240" s="28" t="s">
        <v>824</v>
      </c>
      <c r="U240" s="101">
        <v>0</v>
      </c>
    </row>
    <row r="241" spans="1:21" ht="21.75" x14ac:dyDescent="0.25">
      <c r="A241" s="201">
        <v>241</v>
      </c>
      <c r="B241" s="98" t="s">
        <v>821</v>
      </c>
      <c r="C241" s="109" t="s">
        <v>138</v>
      </c>
      <c r="D241" s="203">
        <v>45955</v>
      </c>
      <c r="E241" s="98" t="s">
        <v>668</v>
      </c>
      <c r="F241" s="98" t="s">
        <v>667</v>
      </c>
      <c r="G241" s="206" t="s">
        <v>303</v>
      </c>
      <c r="H241" s="111" t="s">
        <v>804</v>
      </c>
      <c r="I241" s="204">
        <f>_xlfn.XLOOKUP(C241,[1]Hoja1!$A:$A,[1]Hoja1!$C:$C,0)</f>
        <v>19152692</v>
      </c>
      <c r="J241" s="204">
        <v>3106100</v>
      </c>
      <c r="K241" s="204">
        <v>3106100</v>
      </c>
      <c r="L241" s="205">
        <v>497001</v>
      </c>
      <c r="M241" s="205">
        <v>2609099</v>
      </c>
      <c r="N241" s="204">
        <f t="shared" si="3"/>
        <v>0</v>
      </c>
      <c r="O241" s="118" t="s">
        <v>3006</v>
      </c>
      <c r="P241" s="98" t="s">
        <v>837</v>
      </c>
      <c r="Q241" s="119" t="s">
        <v>902</v>
      </c>
      <c r="R241" s="28" t="s">
        <v>824</v>
      </c>
      <c r="S241" s="28" t="s">
        <v>824</v>
      </c>
      <c r="T241" s="28" t="s">
        <v>824</v>
      </c>
      <c r="U241" s="101">
        <v>0</v>
      </c>
    </row>
    <row r="242" spans="1:21" ht="21.75" x14ac:dyDescent="0.25">
      <c r="A242" s="201">
        <v>242</v>
      </c>
      <c r="B242" s="98" t="s">
        <v>821</v>
      </c>
      <c r="C242" s="109" t="s">
        <v>138</v>
      </c>
      <c r="D242" s="203">
        <v>45955</v>
      </c>
      <c r="E242" s="98" t="s">
        <v>668</v>
      </c>
      <c r="F242" s="98" t="s">
        <v>667</v>
      </c>
      <c r="G242" s="206" t="s">
        <v>303</v>
      </c>
      <c r="H242" s="111" t="s">
        <v>804</v>
      </c>
      <c r="I242" s="204">
        <f>_xlfn.XLOOKUP(C242,[1]Hoja1!$A:$A,[1]Hoja1!$C:$C,0)</f>
        <v>19152692</v>
      </c>
      <c r="J242" s="204">
        <v>5209000</v>
      </c>
      <c r="K242" s="204">
        <v>5209000</v>
      </c>
      <c r="L242" s="205">
        <v>833465</v>
      </c>
      <c r="M242" s="205">
        <v>4375535</v>
      </c>
      <c r="N242" s="204">
        <f t="shared" si="3"/>
        <v>0</v>
      </c>
      <c r="O242" s="118" t="s">
        <v>3006</v>
      </c>
      <c r="P242" s="98" t="s">
        <v>837</v>
      </c>
      <c r="Q242" s="119" t="s">
        <v>902</v>
      </c>
      <c r="R242" s="28" t="s">
        <v>824</v>
      </c>
      <c r="S242" s="28" t="s">
        <v>824</v>
      </c>
      <c r="T242" s="28" t="s">
        <v>824</v>
      </c>
      <c r="U242" s="101">
        <v>0</v>
      </c>
    </row>
    <row r="243" spans="1:21" ht="21.75" x14ac:dyDescent="0.25">
      <c r="A243" s="201">
        <v>243</v>
      </c>
      <c r="B243" s="98" t="s">
        <v>821</v>
      </c>
      <c r="C243" s="109" t="s">
        <v>139</v>
      </c>
      <c r="D243" s="203">
        <v>45973</v>
      </c>
      <c r="E243" s="98" t="s">
        <v>668</v>
      </c>
      <c r="F243" s="98" t="s">
        <v>664</v>
      </c>
      <c r="G243" s="206" t="s">
        <v>185</v>
      </c>
      <c r="H243" s="111" t="s">
        <v>671</v>
      </c>
      <c r="I243" s="204">
        <f>_xlfn.XLOOKUP(C243,[1]Hoja1!$A:$A,[1]Hoja1!$C:$C,0)</f>
        <v>82085</v>
      </c>
      <c r="J243" s="204">
        <v>6685</v>
      </c>
      <c r="K243" s="204">
        <v>6685</v>
      </c>
      <c r="L243" s="205">
        <v>0</v>
      </c>
      <c r="M243" s="205">
        <v>6685</v>
      </c>
      <c r="N243" s="204">
        <f t="shared" si="3"/>
        <v>0</v>
      </c>
      <c r="O243" s="118" t="s">
        <v>3006</v>
      </c>
      <c r="P243" s="98" t="s">
        <v>837</v>
      </c>
      <c r="Q243" s="119" t="s">
        <v>840</v>
      </c>
      <c r="R243" s="28" t="s">
        <v>824</v>
      </c>
      <c r="S243" s="28" t="s">
        <v>824</v>
      </c>
      <c r="T243" s="28" t="s">
        <v>824</v>
      </c>
      <c r="U243" s="101">
        <v>0</v>
      </c>
    </row>
    <row r="244" spans="1:21" ht="21.75" x14ac:dyDescent="0.25">
      <c r="A244" s="201">
        <v>244</v>
      </c>
      <c r="B244" s="98" t="s">
        <v>821</v>
      </c>
      <c r="C244" s="109" t="s">
        <v>140</v>
      </c>
      <c r="D244" s="203">
        <v>45975</v>
      </c>
      <c r="E244" s="98" t="s">
        <v>668</v>
      </c>
      <c r="F244" s="98" t="s">
        <v>664</v>
      </c>
      <c r="G244" s="206" t="s">
        <v>185</v>
      </c>
      <c r="H244" s="111" t="s">
        <v>671</v>
      </c>
      <c r="I244" s="204">
        <f>_xlfn.XLOOKUP(C244,[1]Hoja1!$A:$A,[1]Hoja1!$C:$C,0)</f>
        <v>106697</v>
      </c>
      <c r="J244" s="204">
        <v>31297</v>
      </c>
      <c r="K244" s="204">
        <v>31297</v>
      </c>
      <c r="L244" s="205">
        <v>0</v>
      </c>
      <c r="M244" s="205">
        <v>31297</v>
      </c>
      <c r="N244" s="204">
        <f t="shared" si="3"/>
        <v>0</v>
      </c>
      <c r="O244" s="118" t="s">
        <v>3006</v>
      </c>
      <c r="P244" s="98" t="s">
        <v>837</v>
      </c>
      <c r="Q244" s="119" t="s">
        <v>840</v>
      </c>
      <c r="R244" s="28" t="s">
        <v>824</v>
      </c>
      <c r="S244" s="28" t="s">
        <v>824</v>
      </c>
      <c r="T244" s="28" t="s">
        <v>824</v>
      </c>
      <c r="U244" s="101">
        <v>0</v>
      </c>
    </row>
    <row r="245" spans="1:21" ht="21.75" x14ac:dyDescent="0.25">
      <c r="A245" s="201">
        <v>245</v>
      </c>
      <c r="B245" s="98" t="s">
        <v>821</v>
      </c>
      <c r="C245" s="109" t="s">
        <v>141</v>
      </c>
      <c r="D245" s="203">
        <v>45975</v>
      </c>
      <c r="E245" s="98" t="s">
        <v>668</v>
      </c>
      <c r="F245" s="98" t="s">
        <v>667</v>
      </c>
      <c r="G245" s="206" t="s">
        <v>431</v>
      </c>
      <c r="H245" s="111" t="s">
        <v>805</v>
      </c>
      <c r="I245" s="204">
        <f>_xlfn.XLOOKUP(C245,[1]Hoja1!$A:$A,[1]Hoja1!$C:$C,0)</f>
        <v>34214349</v>
      </c>
      <c r="J245" s="204">
        <v>3308879</v>
      </c>
      <c r="K245" s="204">
        <v>3308879</v>
      </c>
      <c r="L245" s="205">
        <v>0</v>
      </c>
      <c r="M245" s="205">
        <v>3308879</v>
      </c>
      <c r="N245" s="204">
        <f t="shared" si="3"/>
        <v>0</v>
      </c>
      <c r="O245" s="118" t="s">
        <v>3006</v>
      </c>
      <c r="P245" s="98" t="s">
        <v>837</v>
      </c>
      <c r="Q245" s="119" t="s">
        <v>903</v>
      </c>
      <c r="R245" s="28" t="s">
        <v>824</v>
      </c>
      <c r="S245" s="28" t="s">
        <v>824</v>
      </c>
      <c r="T245" s="28" t="s">
        <v>824</v>
      </c>
      <c r="U245" s="101">
        <v>0</v>
      </c>
    </row>
    <row r="246" spans="1:21" ht="21.75" x14ac:dyDescent="0.25">
      <c r="A246" s="201">
        <v>246</v>
      </c>
      <c r="B246" s="98" t="s">
        <v>821</v>
      </c>
      <c r="C246" s="109" t="s">
        <v>141</v>
      </c>
      <c r="D246" s="203">
        <v>45975</v>
      </c>
      <c r="E246" s="98" t="s">
        <v>668</v>
      </c>
      <c r="F246" s="98" t="s">
        <v>667</v>
      </c>
      <c r="G246" s="206" t="s">
        <v>431</v>
      </c>
      <c r="H246" s="111" t="s">
        <v>806</v>
      </c>
      <c r="I246" s="204">
        <f>_xlfn.XLOOKUP(C246,[1]Hoja1!$A:$A,[1]Hoja1!$C:$C,0)</f>
        <v>34214349</v>
      </c>
      <c r="J246" s="204">
        <v>734656</v>
      </c>
      <c r="K246" s="204">
        <v>734656</v>
      </c>
      <c r="L246" s="205">
        <v>0</v>
      </c>
      <c r="M246" s="205">
        <v>734656</v>
      </c>
      <c r="N246" s="204">
        <f t="shared" si="3"/>
        <v>0</v>
      </c>
      <c r="O246" s="118" t="s">
        <v>3006</v>
      </c>
      <c r="P246" s="98" t="s">
        <v>837</v>
      </c>
      <c r="Q246" s="119" t="s">
        <v>903</v>
      </c>
      <c r="R246" s="28" t="s">
        <v>824</v>
      </c>
      <c r="S246" s="28" t="s">
        <v>824</v>
      </c>
      <c r="T246" s="28" t="s">
        <v>824</v>
      </c>
      <c r="U246" s="101">
        <v>0</v>
      </c>
    </row>
    <row r="247" spans="1:21" ht="21.75" x14ac:dyDescent="0.25">
      <c r="A247" s="201">
        <v>247</v>
      </c>
      <c r="B247" s="98" t="s">
        <v>821</v>
      </c>
      <c r="C247" s="109" t="s">
        <v>141</v>
      </c>
      <c r="D247" s="203">
        <v>45975</v>
      </c>
      <c r="E247" s="98" t="s">
        <v>668</v>
      </c>
      <c r="F247" s="98" t="s">
        <v>667</v>
      </c>
      <c r="G247" s="206" t="s">
        <v>431</v>
      </c>
      <c r="H247" s="111" t="s">
        <v>807</v>
      </c>
      <c r="I247" s="204">
        <f>_xlfn.XLOOKUP(C247,[1]Hoja1!$A:$A,[1]Hoja1!$C:$C,0)</f>
        <v>34214349</v>
      </c>
      <c r="J247" s="204">
        <v>734656</v>
      </c>
      <c r="K247" s="204">
        <v>734656</v>
      </c>
      <c r="L247" s="205">
        <v>0</v>
      </c>
      <c r="M247" s="205">
        <v>734656</v>
      </c>
      <c r="N247" s="204">
        <f t="shared" si="3"/>
        <v>0</v>
      </c>
      <c r="O247" s="118" t="s">
        <v>3006</v>
      </c>
      <c r="P247" s="98" t="s">
        <v>837</v>
      </c>
      <c r="Q247" s="119" t="s">
        <v>903</v>
      </c>
      <c r="R247" s="28" t="s">
        <v>824</v>
      </c>
      <c r="S247" s="28" t="s">
        <v>824</v>
      </c>
      <c r="T247" s="28" t="s">
        <v>824</v>
      </c>
      <c r="U247" s="101">
        <v>0</v>
      </c>
    </row>
    <row r="248" spans="1:21" ht="21.75" x14ac:dyDescent="0.25">
      <c r="A248" s="201">
        <v>248</v>
      </c>
      <c r="B248" s="98" t="s">
        <v>821</v>
      </c>
      <c r="C248" s="109" t="s">
        <v>141</v>
      </c>
      <c r="D248" s="203">
        <v>45975</v>
      </c>
      <c r="E248" s="98" t="s">
        <v>668</v>
      </c>
      <c r="F248" s="98" t="s">
        <v>667</v>
      </c>
      <c r="G248" s="206" t="s">
        <v>431</v>
      </c>
      <c r="H248" s="111" t="s">
        <v>808</v>
      </c>
      <c r="I248" s="204">
        <f>_xlfn.XLOOKUP(C248,[1]Hoja1!$A:$A,[1]Hoja1!$C:$C,0)</f>
        <v>34214349</v>
      </c>
      <c r="J248" s="204">
        <v>656008</v>
      </c>
      <c r="K248" s="204">
        <v>656008</v>
      </c>
      <c r="L248" s="205">
        <v>0</v>
      </c>
      <c r="M248" s="205">
        <v>656008</v>
      </c>
      <c r="N248" s="204">
        <f t="shared" si="3"/>
        <v>0</v>
      </c>
      <c r="O248" s="118" t="s">
        <v>3006</v>
      </c>
      <c r="P248" s="98" t="s">
        <v>837</v>
      </c>
      <c r="Q248" s="119" t="s">
        <v>903</v>
      </c>
      <c r="R248" s="28" t="s">
        <v>824</v>
      </c>
      <c r="S248" s="28" t="s">
        <v>824</v>
      </c>
      <c r="T248" s="28" t="s">
        <v>824</v>
      </c>
      <c r="U248" s="101">
        <v>0</v>
      </c>
    </row>
    <row r="249" spans="1:21" ht="21.75" x14ac:dyDescent="0.25">
      <c r="A249" s="201">
        <v>249</v>
      </c>
      <c r="B249" s="98" t="s">
        <v>821</v>
      </c>
      <c r="C249" s="109" t="s">
        <v>141</v>
      </c>
      <c r="D249" s="203">
        <v>45975</v>
      </c>
      <c r="E249" s="98" t="s">
        <v>668</v>
      </c>
      <c r="F249" s="98" t="s">
        <v>664</v>
      </c>
      <c r="G249" s="206" t="s">
        <v>227</v>
      </c>
      <c r="H249" s="111" t="s">
        <v>809</v>
      </c>
      <c r="I249" s="204">
        <f>_xlfn.XLOOKUP(C249,[1]Hoja1!$A:$A,[1]Hoja1!$C:$C,0)</f>
        <v>34214349</v>
      </c>
      <c r="J249" s="204">
        <v>4675000</v>
      </c>
      <c r="K249" s="204">
        <v>4675000</v>
      </c>
      <c r="L249" s="205">
        <v>748000</v>
      </c>
      <c r="M249" s="205">
        <v>3927000</v>
      </c>
      <c r="N249" s="204">
        <f t="shared" si="3"/>
        <v>0</v>
      </c>
      <c r="O249" s="118" t="s">
        <v>3006</v>
      </c>
      <c r="P249" s="98" t="s">
        <v>837</v>
      </c>
      <c r="Q249" s="119" t="s">
        <v>872</v>
      </c>
      <c r="R249" s="28" t="s">
        <v>824</v>
      </c>
      <c r="S249" s="28" t="s">
        <v>824</v>
      </c>
      <c r="T249" s="28" t="s">
        <v>824</v>
      </c>
      <c r="U249" s="101">
        <v>0</v>
      </c>
    </row>
    <row r="250" spans="1:21" ht="21.75" x14ac:dyDescent="0.25">
      <c r="A250" s="201">
        <v>250</v>
      </c>
      <c r="B250" s="98" t="s">
        <v>821</v>
      </c>
      <c r="C250" s="109" t="s">
        <v>141</v>
      </c>
      <c r="D250" s="203">
        <v>45975</v>
      </c>
      <c r="E250" s="98" t="s">
        <v>668</v>
      </c>
      <c r="F250" s="98" t="s">
        <v>664</v>
      </c>
      <c r="G250" s="206" t="s">
        <v>227</v>
      </c>
      <c r="H250" s="111" t="s">
        <v>810</v>
      </c>
      <c r="I250" s="204">
        <f>_xlfn.XLOOKUP(C250,[1]Hoja1!$A:$A,[1]Hoja1!$C:$C,0)</f>
        <v>34214349</v>
      </c>
      <c r="J250" s="204">
        <v>10477600</v>
      </c>
      <c r="K250" s="204">
        <v>10477600</v>
      </c>
      <c r="L250" s="205">
        <v>1676800</v>
      </c>
      <c r="M250" s="205">
        <v>8800800</v>
      </c>
      <c r="N250" s="204">
        <f t="shared" si="3"/>
        <v>0</v>
      </c>
      <c r="O250" s="118" t="s">
        <v>3006</v>
      </c>
      <c r="P250" s="98" t="s">
        <v>837</v>
      </c>
      <c r="Q250" s="119" t="s">
        <v>872</v>
      </c>
      <c r="R250" s="28" t="s">
        <v>824</v>
      </c>
      <c r="S250" s="28" t="s">
        <v>824</v>
      </c>
      <c r="T250" s="28" t="s">
        <v>824</v>
      </c>
      <c r="U250" s="101">
        <v>0</v>
      </c>
    </row>
    <row r="251" spans="1:21" ht="21.75" x14ac:dyDescent="0.25">
      <c r="A251" s="201">
        <v>251</v>
      </c>
      <c r="B251" s="98" t="s">
        <v>821</v>
      </c>
      <c r="C251" s="109" t="s">
        <v>141</v>
      </c>
      <c r="D251" s="203">
        <v>45975</v>
      </c>
      <c r="E251" s="98" t="s">
        <v>668</v>
      </c>
      <c r="F251" s="98" t="s">
        <v>664</v>
      </c>
      <c r="G251" s="206" t="s">
        <v>227</v>
      </c>
      <c r="H251" s="111" t="s">
        <v>811</v>
      </c>
      <c r="I251" s="204">
        <f>_xlfn.XLOOKUP(C251,[1]Hoja1!$A:$A,[1]Hoja1!$C:$C,0)</f>
        <v>34214349</v>
      </c>
      <c r="J251" s="204">
        <v>1587500</v>
      </c>
      <c r="K251" s="204">
        <v>1587500</v>
      </c>
      <c r="L251" s="205">
        <v>63500</v>
      </c>
      <c r="M251" s="205">
        <v>1524000</v>
      </c>
      <c r="N251" s="204">
        <f t="shared" si="3"/>
        <v>0</v>
      </c>
      <c r="O251" s="118" t="s">
        <v>3006</v>
      </c>
      <c r="P251" s="98" t="s">
        <v>837</v>
      </c>
      <c r="Q251" s="119" t="s">
        <v>872</v>
      </c>
      <c r="R251" s="28" t="s">
        <v>824</v>
      </c>
      <c r="S251" s="28" t="s">
        <v>824</v>
      </c>
      <c r="T251" s="28" t="s">
        <v>824</v>
      </c>
      <c r="U251" s="101">
        <v>0</v>
      </c>
    </row>
    <row r="252" spans="1:21" ht="21.75" x14ac:dyDescent="0.25">
      <c r="A252" s="201">
        <v>252</v>
      </c>
      <c r="B252" s="98" t="s">
        <v>821</v>
      </c>
      <c r="C252" s="109" t="s">
        <v>141</v>
      </c>
      <c r="D252" s="203">
        <v>45975</v>
      </c>
      <c r="E252" s="98" t="s">
        <v>668</v>
      </c>
      <c r="F252" s="98" t="s">
        <v>664</v>
      </c>
      <c r="G252" s="206" t="s">
        <v>227</v>
      </c>
      <c r="H252" s="111" t="s">
        <v>812</v>
      </c>
      <c r="I252" s="204">
        <f>_xlfn.XLOOKUP(C252,[1]Hoja1!$A:$A,[1]Hoja1!$C:$C,0)</f>
        <v>34214349</v>
      </c>
      <c r="J252" s="204">
        <v>3021700</v>
      </c>
      <c r="K252" s="204">
        <v>3021700</v>
      </c>
      <c r="L252" s="205">
        <v>483700</v>
      </c>
      <c r="M252" s="205">
        <v>2538000</v>
      </c>
      <c r="N252" s="204">
        <f t="shared" si="3"/>
        <v>0</v>
      </c>
      <c r="O252" s="118" t="s">
        <v>3006</v>
      </c>
      <c r="P252" s="98" t="s">
        <v>837</v>
      </c>
      <c r="Q252" s="119" t="s">
        <v>872</v>
      </c>
      <c r="R252" s="28" t="s">
        <v>824</v>
      </c>
      <c r="S252" s="28" t="s">
        <v>824</v>
      </c>
      <c r="T252" s="28" t="s">
        <v>824</v>
      </c>
      <c r="U252" s="101">
        <v>0</v>
      </c>
    </row>
    <row r="253" spans="1:21" ht="21.75" x14ac:dyDescent="0.25">
      <c r="A253" s="201">
        <v>253</v>
      </c>
      <c r="B253" s="98" t="s">
        <v>821</v>
      </c>
      <c r="C253" s="109" t="s">
        <v>141</v>
      </c>
      <c r="D253" s="203">
        <v>45975</v>
      </c>
      <c r="E253" s="98" t="s">
        <v>668</v>
      </c>
      <c r="F253" s="98" t="s">
        <v>664</v>
      </c>
      <c r="G253" s="206" t="s">
        <v>227</v>
      </c>
      <c r="H253" s="111" t="s">
        <v>813</v>
      </c>
      <c r="I253" s="204">
        <f>_xlfn.XLOOKUP(C253,[1]Hoja1!$A:$A,[1]Hoja1!$C:$C,0)</f>
        <v>34214349</v>
      </c>
      <c r="J253" s="204">
        <v>3106100</v>
      </c>
      <c r="K253" s="204">
        <v>3106100</v>
      </c>
      <c r="L253" s="205">
        <v>497001</v>
      </c>
      <c r="M253" s="205">
        <v>2609099</v>
      </c>
      <c r="N253" s="204">
        <f t="shared" si="3"/>
        <v>0</v>
      </c>
      <c r="O253" s="118" t="s">
        <v>3006</v>
      </c>
      <c r="P253" s="98" t="s">
        <v>837</v>
      </c>
      <c r="Q253" s="119" t="s">
        <v>872</v>
      </c>
      <c r="R253" s="28" t="s">
        <v>824</v>
      </c>
      <c r="S253" s="28" t="s">
        <v>824</v>
      </c>
      <c r="T253" s="28" t="s">
        <v>824</v>
      </c>
      <c r="U253" s="101">
        <v>0</v>
      </c>
    </row>
    <row r="254" spans="1:21" ht="21.75" x14ac:dyDescent="0.25">
      <c r="A254" s="201">
        <v>254</v>
      </c>
      <c r="B254" s="98" t="s">
        <v>821</v>
      </c>
      <c r="C254" s="109" t="s">
        <v>141</v>
      </c>
      <c r="D254" s="203">
        <v>45975</v>
      </c>
      <c r="E254" s="98" t="s">
        <v>668</v>
      </c>
      <c r="F254" s="98" t="s">
        <v>664</v>
      </c>
      <c r="G254" s="206" t="s">
        <v>227</v>
      </c>
      <c r="H254" s="111" t="s">
        <v>814</v>
      </c>
      <c r="I254" s="204">
        <f>_xlfn.XLOOKUP(C254,[1]Hoja1!$A:$A,[1]Hoja1!$C:$C,0)</f>
        <v>34214349</v>
      </c>
      <c r="J254" s="204">
        <v>5209000</v>
      </c>
      <c r="K254" s="204">
        <v>5209000</v>
      </c>
      <c r="L254" s="205">
        <v>833465</v>
      </c>
      <c r="M254" s="205">
        <v>4375535</v>
      </c>
      <c r="N254" s="204">
        <f t="shared" si="3"/>
        <v>0</v>
      </c>
      <c r="O254" s="118" t="s">
        <v>3006</v>
      </c>
      <c r="P254" s="98" t="s">
        <v>837</v>
      </c>
      <c r="Q254" s="119" t="s">
        <v>872</v>
      </c>
      <c r="R254" s="28" t="s">
        <v>824</v>
      </c>
      <c r="S254" s="28" t="s">
        <v>824</v>
      </c>
      <c r="T254" s="28" t="s">
        <v>824</v>
      </c>
      <c r="U254" s="101">
        <v>0</v>
      </c>
    </row>
    <row r="255" spans="1:21" ht="21.75" x14ac:dyDescent="0.25">
      <c r="A255" s="201">
        <v>255</v>
      </c>
      <c r="B255" s="98" t="s">
        <v>821</v>
      </c>
      <c r="C255" s="109" t="s">
        <v>142</v>
      </c>
      <c r="D255" s="203">
        <v>45966</v>
      </c>
      <c r="E255" s="98" t="s">
        <v>668</v>
      </c>
      <c r="F255" s="98" t="s">
        <v>664</v>
      </c>
      <c r="G255" s="206" t="s">
        <v>212</v>
      </c>
      <c r="H255" s="111" t="s">
        <v>815</v>
      </c>
      <c r="I255" s="204">
        <f>_xlfn.XLOOKUP(C255,[1]Hoja1!$A:$A,[1]Hoja1!$C:$C,0)</f>
        <v>2065650</v>
      </c>
      <c r="J255" s="204">
        <v>1807950</v>
      </c>
      <c r="K255" s="204">
        <v>1807950</v>
      </c>
      <c r="L255" s="205">
        <v>0</v>
      </c>
      <c r="M255" s="205">
        <v>1807950</v>
      </c>
      <c r="N255" s="204">
        <f t="shared" si="3"/>
        <v>0</v>
      </c>
      <c r="O255" s="118" t="s">
        <v>3006</v>
      </c>
      <c r="P255" s="98" t="s">
        <v>837</v>
      </c>
      <c r="Q255" s="119" t="s">
        <v>840</v>
      </c>
      <c r="R255" s="28" t="s">
        <v>824</v>
      </c>
      <c r="S255" s="28" t="s">
        <v>824</v>
      </c>
      <c r="T255" s="28" t="s">
        <v>824</v>
      </c>
      <c r="U255" s="101">
        <v>0</v>
      </c>
    </row>
    <row r="256" spans="1:21" ht="21.75" x14ac:dyDescent="0.25">
      <c r="A256" s="201">
        <v>256</v>
      </c>
      <c r="B256" s="98" t="s">
        <v>821</v>
      </c>
      <c r="C256" s="109" t="s">
        <v>143</v>
      </c>
      <c r="D256" s="203">
        <v>45966</v>
      </c>
      <c r="E256" s="98" t="s">
        <v>668</v>
      </c>
      <c r="F256" s="98" t="s">
        <v>664</v>
      </c>
      <c r="G256" s="206" t="s">
        <v>215</v>
      </c>
      <c r="H256" s="111" t="s">
        <v>816</v>
      </c>
      <c r="I256" s="204">
        <f>_xlfn.XLOOKUP(C256,[1]Hoja1!$A:$A,[1]Hoja1!$C:$C,0)</f>
        <v>33107207</v>
      </c>
      <c r="J256" s="204">
        <v>5585392</v>
      </c>
      <c r="K256" s="204">
        <v>5585392</v>
      </c>
      <c r="L256" s="205">
        <v>0</v>
      </c>
      <c r="M256" s="205">
        <v>5585392</v>
      </c>
      <c r="N256" s="204">
        <f t="shared" si="3"/>
        <v>0</v>
      </c>
      <c r="O256" s="118" t="s">
        <v>3006</v>
      </c>
      <c r="P256" s="98" t="s">
        <v>837</v>
      </c>
      <c r="Q256" s="119" t="s">
        <v>840</v>
      </c>
      <c r="R256" s="28" t="s">
        <v>824</v>
      </c>
      <c r="S256" s="28" t="s">
        <v>824</v>
      </c>
      <c r="T256" s="28" t="s">
        <v>824</v>
      </c>
      <c r="U256" s="101">
        <v>0</v>
      </c>
    </row>
    <row r="257" spans="1:21" ht="21.75" x14ac:dyDescent="0.25">
      <c r="A257" s="201">
        <v>257</v>
      </c>
      <c r="B257" s="98" t="s">
        <v>821</v>
      </c>
      <c r="C257" s="109" t="s">
        <v>143</v>
      </c>
      <c r="D257" s="203">
        <v>45966</v>
      </c>
      <c r="E257" s="98" t="s">
        <v>668</v>
      </c>
      <c r="F257" s="98" t="s">
        <v>664</v>
      </c>
      <c r="G257" s="206" t="s">
        <v>215</v>
      </c>
      <c r="H257" s="111" t="s">
        <v>817</v>
      </c>
      <c r="I257" s="204">
        <f>_xlfn.XLOOKUP(C257,[1]Hoja1!$A:$A,[1]Hoja1!$C:$C,0)</f>
        <v>33107207</v>
      </c>
      <c r="J257" s="204">
        <v>2759298</v>
      </c>
      <c r="K257" s="204">
        <v>2759298</v>
      </c>
      <c r="L257" s="205">
        <v>0</v>
      </c>
      <c r="M257" s="205">
        <v>2759298</v>
      </c>
      <c r="N257" s="204">
        <f t="shared" si="3"/>
        <v>0</v>
      </c>
      <c r="O257" s="118" t="s">
        <v>3006</v>
      </c>
      <c r="P257" s="98" t="s">
        <v>837</v>
      </c>
      <c r="Q257" s="119" t="s">
        <v>840</v>
      </c>
      <c r="R257" s="28" t="s">
        <v>824</v>
      </c>
      <c r="S257" s="28" t="s">
        <v>824</v>
      </c>
      <c r="T257" s="28" t="s">
        <v>824</v>
      </c>
      <c r="U257" s="101">
        <v>0</v>
      </c>
    </row>
    <row r="258" spans="1:21" ht="21.75" x14ac:dyDescent="0.25">
      <c r="A258" s="201">
        <v>258</v>
      </c>
      <c r="B258" s="98" t="s">
        <v>821</v>
      </c>
      <c r="C258" s="109" t="s">
        <v>143</v>
      </c>
      <c r="D258" s="203">
        <v>45966</v>
      </c>
      <c r="E258" s="98" t="s">
        <v>668</v>
      </c>
      <c r="F258" s="98" t="s">
        <v>664</v>
      </c>
      <c r="G258" s="206" t="s">
        <v>227</v>
      </c>
      <c r="H258" s="111" t="s">
        <v>818</v>
      </c>
      <c r="I258" s="204">
        <f>_xlfn.XLOOKUP(C258,[1]Hoja1!$A:$A,[1]Hoja1!$C:$C,0)</f>
        <v>33107207</v>
      </c>
      <c r="J258" s="204">
        <v>6409517</v>
      </c>
      <c r="K258" s="204">
        <v>6409517</v>
      </c>
      <c r="L258" s="205">
        <v>0</v>
      </c>
      <c r="M258" s="205">
        <v>6409517</v>
      </c>
      <c r="N258" s="204">
        <f t="shared" ref="N258:N260" si="4">K258-L258-M258</f>
        <v>0</v>
      </c>
      <c r="O258" s="118" t="s">
        <v>3006</v>
      </c>
      <c r="P258" s="98" t="s">
        <v>837</v>
      </c>
      <c r="Q258" s="119" t="s">
        <v>840</v>
      </c>
      <c r="R258" s="28" t="s">
        <v>824</v>
      </c>
      <c r="S258" s="28" t="s">
        <v>824</v>
      </c>
      <c r="T258" s="28" t="s">
        <v>824</v>
      </c>
      <c r="U258" s="101">
        <v>0</v>
      </c>
    </row>
    <row r="259" spans="1:21" ht="21.75" x14ac:dyDescent="0.25">
      <c r="A259" s="201">
        <v>259</v>
      </c>
      <c r="B259" s="98" t="s">
        <v>821</v>
      </c>
      <c r="C259" s="109" t="s">
        <v>144</v>
      </c>
      <c r="D259" s="203">
        <v>45979</v>
      </c>
      <c r="E259" s="98" t="s">
        <v>668</v>
      </c>
      <c r="F259" s="98" t="s">
        <v>664</v>
      </c>
      <c r="G259" s="206" t="s">
        <v>185</v>
      </c>
      <c r="H259" s="111" t="s">
        <v>819</v>
      </c>
      <c r="I259" s="204">
        <f>_xlfn.XLOOKUP(C259,[1]Hoja1!$A:$A,[1]Hoja1!$C:$C,0)</f>
        <v>106697</v>
      </c>
      <c r="J259" s="204">
        <v>31439</v>
      </c>
      <c r="K259" s="204">
        <v>31439</v>
      </c>
      <c r="L259" s="205">
        <v>0</v>
      </c>
      <c r="M259" s="205">
        <v>31439</v>
      </c>
      <c r="N259" s="204">
        <f t="shared" si="4"/>
        <v>0</v>
      </c>
      <c r="O259" s="118" t="s">
        <v>3006</v>
      </c>
      <c r="P259" s="98" t="s">
        <v>837</v>
      </c>
      <c r="Q259" s="119" t="s">
        <v>840</v>
      </c>
      <c r="R259" s="28" t="s">
        <v>824</v>
      </c>
      <c r="S259" s="28" t="s">
        <v>824</v>
      </c>
      <c r="T259" s="28" t="s">
        <v>824</v>
      </c>
      <c r="U259" s="101">
        <v>0</v>
      </c>
    </row>
    <row r="260" spans="1:21" ht="21.75" x14ac:dyDescent="0.25">
      <c r="A260" s="201">
        <v>260</v>
      </c>
      <c r="B260" s="98" t="s">
        <v>821</v>
      </c>
      <c r="C260" s="109" t="s">
        <v>145</v>
      </c>
      <c r="D260" s="203">
        <v>45945</v>
      </c>
      <c r="E260" s="98" t="s">
        <v>668</v>
      </c>
      <c r="F260" s="98" t="s">
        <v>664</v>
      </c>
      <c r="G260" s="206" t="s">
        <v>215</v>
      </c>
      <c r="H260" s="111" t="s">
        <v>820</v>
      </c>
      <c r="I260" s="204">
        <f>_xlfn.XLOOKUP(C260,[1]Hoja1!$A:$A,[1]Hoja1!$C:$C,0)</f>
        <v>4381023</v>
      </c>
      <c r="J260" s="204">
        <v>1007550</v>
      </c>
      <c r="K260" s="204">
        <v>1007550</v>
      </c>
      <c r="L260" s="205">
        <v>0</v>
      </c>
      <c r="M260" s="205">
        <v>1007550</v>
      </c>
      <c r="N260" s="204">
        <f t="shared" si="4"/>
        <v>0</v>
      </c>
      <c r="O260" s="118" t="s">
        <v>3006</v>
      </c>
      <c r="P260" s="98" t="s">
        <v>837</v>
      </c>
      <c r="Q260" s="119" t="s">
        <v>840</v>
      </c>
      <c r="R260" s="28" t="s">
        <v>824</v>
      </c>
      <c r="S260" s="28" t="s">
        <v>824</v>
      </c>
      <c r="T260" s="28" t="s">
        <v>824</v>
      </c>
      <c r="U260" s="101">
        <v>0</v>
      </c>
    </row>
  </sheetData>
  <conditionalFormatting sqref="U1:U260">
    <cfRule type="duplicateValues" dxfId="6"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C467E-B1D3-46E2-9DEA-C084485646BF}">
  <sheetPr filterMode="1"/>
  <dimension ref="A2:W30"/>
  <sheetViews>
    <sheetView workbookViewId="0">
      <selection activeCell="G3" sqref="G3"/>
    </sheetView>
  </sheetViews>
  <sheetFormatPr baseColWidth="10" defaultRowHeight="15" x14ac:dyDescent="0.25"/>
  <cols>
    <col min="6" max="6" width="24.7109375" customWidth="1"/>
    <col min="7" max="7" width="32.28515625" customWidth="1"/>
  </cols>
  <sheetData>
    <row r="2" spans="1:23" x14ac:dyDescent="0.25">
      <c r="A2" s="121" t="s">
        <v>906</v>
      </c>
      <c r="B2" s="122">
        <v>46062</v>
      </c>
      <c r="C2" s="122">
        <v>46049</v>
      </c>
      <c r="D2" s="122">
        <v>46055.605034722219</v>
      </c>
      <c r="E2" s="122">
        <v>46055</v>
      </c>
      <c r="F2" s="121" t="s">
        <v>910</v>
      </c>
      <c r="G2" s="121" t="s">
        <v>911</v>
      </c>
      <c r="H2" s="121">
        <v>160287</v>
      </c>
      <c r="I2" s="123">
        <v>1109795</v>
      </c>
      <c r="J2" s="122">
        <v>46070</v>
      </c>
      <c r="K2" s="121" t="s">
        <v>908</v>
      </c>
      <c r="L2" s="121">
        <v>4</v>
      </c>
      <c r="M2" s="121"/>
      <c r="N2" s="121"/>
      <c r="O2" s="121"/>
      <c r="P2" s="121" t="s">
        <v>294</v>
      </c>
      <c r="Q2" s="121" t="s">
        <v>180</v>
      </c>
      <c r="R2" s="121"/>
      <c r="S2" s="66"/>
      <c r="T2" s="66"/>
      <c r="U2" s="66"/>
      <c r="V2" s="66"/>
      <c r="W2" s="121"/>
    </row>
    <row r="3" spans="1:23" x14ac:dyDescent="0.25">
      <c r="A3" s="121" t="s">
        <v>906</v>
      </c>
      <c r="B3" s="122">
        <v>46062</v>
      </c>
      <c r="C3" s="122">
        <v>46031</v>
      </c>
      <c r="D3" s="122">
        <v>46056.704675925925</v>
      </c>
      <c r="E3" s="122">
        <v>46056</v>
      </c>
      <c r="F3" s="121" t="s">
        <v>183</v>
      </c>
      <c r="G3" s="121" t="s">
        <v>912</v>
      </c>
      <c r="H3" s="121">
        <v>160309</v>
      </c>
      <c r="I3" s="123">
        <v>10258942</v>
      </c>
      <c r="J3" s="122">
        <v>46071</v>
      </c>
      <c r="K3" s="121" t="s">
        <v>913</v>
      </c>
      <c r="L3" s="121">
        <v>16</v>
      </c>
      <c r="M3" s="121"/>
      <c r="N3" s="121"/>
      <c r="O3" s="121"/>
      <c r="P3" s="121" t="s">
        <v>294</v>
      </c>
      <c r="Q3" s="121" t="s">
        <v>180</v>
      </c>
      <c r="R3" s="121"/>
      <c r="S3" s="66"/>
      <c r="T3" s="66"/>
      <c r="U3" s="66"/>
      <c r="V3" s="66"/>
      <c r="W3" s="121"/>
    </row>
    <row r="4" spans="1:23" x14ac:dyDescent="0.25">
      <c r="A4" s="121" t="s">
        <v>906</v>
      </c>
      <c r="B4" s="122">
        <v>46062</v>
      </c>
      <c r="C4" s="122">
        <v>46045</v>
      </c>
      <c r="D4" s="122">
        <v>46057.388599537036</v>
      </c>
      <c r="E4" s="122">
        <v>46057</v>
      </c>
      <c r="F4" s="121" t="s">
        <v>183</v>
      </c>
      <c r="G4" s="121" t="s">
        <v>914</v>
      </c>
      <c r="H4" s="121">
        <v>160472</v>
      </c>
      <c r="I4" s="123">
        <v>202800</v>
      </c>
      <c r="J4" s="122">
        <v>46072</v>
      </c>
      <c r="K4" s="121" t="s">
        <v>913</v>
      </c>
      <c r="L4" s="121">
        <v>8</v>
      </c>
      <c r="M4" s="121"/>
      <c r="N4" s="121"/>
      <c r="O4" s="121"/>
      <c r="P4" s="121" t="s">
        <v>294</v>
      </c>
      <c r="Q4" s="121" t="s">
        <v>180</v>
      </c>
      <c r="R4" s="121"/>
      <c r="S4" s="66"/>
      <c r="T4" s="66"/>
      <c r="U4" s="66"/>
      <c r="V4" s="66"/>
      <c r="W4" s="121"/>
    </row>
    <row r="5" spans="1:23" x14ac:dyDescent="0.25">
      <c r="A5" s="121" t="s">
        <v>906</v>
      </c>
      <c r="B5" s="122">
        <v>46066</v>
      </c>
      <c r="C5" s="124">
        <v>46044</v>
      </c>
      <c r="D5" s="122">
        <v>46064.689641203702</v>
      </c>
      <c r="E5" s="122">
        <v>46064</v>
      </c>
      <c r="F5" s="121" t="s">
        <v>907</v>
      </c>
      <c r="G5" s="121" t="s">
        <v>915</v>
      </c>
      <c r="H5" s="121">
        <v>161541</v>
      </c>
      <c r="I5" s="123">
        <v>131237</v>
      </c>
      <c r="J5" s="122">
        <v>46073</v>
      </c>
      <c r="K5" s="121" t="s">
        <v>908</v>
      </c>
      <c r="L5" s="121">
        <v>14</v>
      </c>
      <c r="M5" s="121"/>
      <c r="N5" s="121" t="s">
        <v>909</v>
      </c>
      <c r="O5" s="121"/>
      <c r="P5" s="121" t="s">
        <v>916</v>
      </c>
      <c r="Q5" s="121" t="s">
        <v>180</v>
      </c>
      <c r="R5" s="121"/>
      <c r="S5" s="125"/>
      <c r="T5" s="126"/>
      <c r="U5" s="127"/>
      <c r="V5" s="126"/>
      <c r="W5" s="121"/>
    </row>
    <row r="6" spans="1:23" x14ac:dyDescent="0.25">
      <c r="A6" s="121" t="s">
        <v>906</v>
      </c>
      <c r="B6" s="122">
        <v>46066</v>
      </c>
      <c r="C6" s="124">
        <v>46031</v>
      </c>
      <c r="D6" s="122">
        <v>46058.623287037037</v>
      </c>
      <c r="E6" s="122">
        <v>46058</v>
      </c>
      <c r="F6" s="121" t="s">
        <v>183</v>
      </c>
      <c r="G6" s="121" t="s">
        <v>917</v>
      </c>
      <c r="H6" s="121">
        <v>161313</v>
      </c>
      <c r="I6" s="123">
        <v>3017838</v>
      </c>
      <c r="J6" s="122">
        <v>46077</v>
      </c>
      <c r="K6" s="121" t="s">
        <v>908</v>
      </c>
      <c r="L6" s="121">
        <v>18</v>
      </c>
      <c r="M6" s="121"/>
      <c r="N6" s="121"/>
      <c r="O6" s="121"/>
      <c r="P6" s="121" t="s">
        <v>181</v>
      </c>
      <c r="Q6" s="121" t="s">
        <v>180</v>
      </c>
      <c r="R6" s="121"/>
      <c r="S6" s="125"/>
      <c r="T6" s="126"/>
      <c r="U6" s="127"/>
      <c r="V6" s="126"/>
      <c r="W6" s="121"/>
    </row>
    <row r="7" spans="1:23" x14ac:dyDescent="0.25">
      <c r="A7" s="121" t="s">
        <v>906</v>
      </c>
      <c r="B7" s="122">
        <v>46066</v>
      </c>
      <c r="C7" s="124">
        <v>46031</v>
      </c>
      <c r="D7" s="122">
        <v>46058.62568287037</v>
      </c>
      <c r="E7" s="122">
        <v>46058</v>
      </c>
      <c r="F7" s="121" t="s">
        <v>183</v>
      </c>
      <c r="G7" s="121" t="s">
        <v>918</v>
      </c>
      <c r="H7" s="121">
        <v>161317</v>
      </c>
      <c r="I7" s="123">
        <v>14420262</v>
      </c>
      <c r="J7" s="122">
        <v>46077</v>
      </c>
      <c r="K7" s="121" t="s">
        <v>908</v>
      </c>
      <c r="L7" s="121">
        <v>18</v>
      </c>
      <c r="M7" s="121"/>
      <c r="N7" s="121"/>
      <c r="O7" s="121"/>
      <c r="P7" s="121" t="s">
        <v>181</v>
      </c>
      <c r="Q7" s="121" t="s">
        <v>197</v>
      </c>
      <c r="R7" s="128" t="s">
        <v>919</v>
      </c>
      <c r="S7" s="129">
        <v>46070</v>
      </c>
      <c r="T7" s="126"/>
      <c r="U7" s="127"/>
      <c r="V7" s="126"/>
      <c r="W7" s="121"/>
    </row>
    <row r="8" spans="1:23" x14ac:dyDescent="0.25">
      <c r="A8" s="121" t="s">
        <v>906</v>
      </c>
      <c r="B8" s="122">
        <v>46066</v>
      </c>
      <c r="C8" s="124">
        <v>46050</v>
      </c>
      <c r="D8" s="122">
        <v>46058.627291666664</v>
      </c>
      <c r="E8" s="122">
        <v>46058</v>
      </c>
      <c r="F8" s="121" t="s">
        <v>183</v>
      </c>
      <c r="G8" s="121" t="s">
        <v>920</v>
      </c>
      <c r="H8" s="121">
        <v>161318</v>
      </c>
      <c r="I8" s="123">
        <v>1077827</v>
      </c>
      <c r="J8" s="122">
        <v>46077</v>
      </c>
      <c r="K8" s="121" t="s">
        <v>908</v>
      </c>
      <c r="L8" s="121">
        <v>6</v>
      </c>
      <c r="M8" s="121"/>
      <c r="N8" s="121"/>
      <c r="O8" s="121"/>
      <c r="P8" s="121" t="s">
        <v>181</v>
      </c>
      <c r="Q8" s="121" t="s">
        <v>193</v>
      </c>
      <c r="R8" s="128" t="s">
        <v>919</v>
      </c>
      <c r="S8" s="129">
        <v>46070</v>
      </c>
      <c r="T8" s="126"/>
      <c r="U8" s="127"/>
      <c r="V8" s="126"/>
      <c r="W8" s="121"/>
    </row>
    <row r="9" spans="1:23" x14ac:dyDescent="0.25">
      <c r="A9" s="121" t="s">
        <v>906</v>
      </c>
      <c r="B9" s="122">
        <v>46066</v>
      </c>
      <c r="C9" s="124">
        <v>46045</v>
      </c>
      <c r="D9" s="122">
        <v>46058.627800925926</v>
      </c>
      <c r="E9" s="122">
        <v>46058</v>
      </c>
      <c r="F9" s="121" t="s">
        <v>183</v>
      </c>
      <c r="G9" s="121" t="s">
        <v>921</v>
      </c>
      <c r="H9" s="121">
        <v>161319</v>
      </c>
      <c r="I9" s="123">
        <v>585024</v>
      </c>
      <c r="J9" s="122">
        <v>46077</v>
      </c>
      <c r="K9" s="121" t="s">
        <v>908</v>
      </c>
      <c r="L9" s="121">
        <v>9</v>
      </c>
      <c r="M9" s="121"/>
      <c r="N9" s="121"/>
      <c r="O9" s="121"/>
      <c r="P9" s="121" t="s">
        <v>181</v>
      </c>
      <c r="Q9" s="121" t="s">
        <v>180</v>
      </c>
      <c r="R9" s="121"/>
      <c r="S9" s="125"/>
      <c r="T9" s="126"/>
      <c r="U9" s="127"/>
      <c r="V9" s="126"/>
      <c r="W9" s="121"/>
    </row>
    <row r="10" spans="1:23" x14ac:dyDescent="0.25">
      <c r="A10" s="121" t="s">
        <v>906</v>
      </c>
      <c r="B10" s="122">
        <v>46066</v>
      </c>
      <c r="C10" s="124">
        <v>46050</v>
      </c>
      <c r="D10" s="122">
        <v>46058.628182870372</v>
      </c>
      <c r="E10" s="122">
        <v>46058</v>
      </c>
      <c r="F10" s="121" t="s">
        <v>183</v>
      </c>
      <c r="G10" s="121" t="s">
        <v>922</v>
      </c>
      <c r="H10" s="121">
        <v>161321</v>
      </c>
      <c r="I10" s="123">
        <v>493300</v>
      </c>
      <c r="J10" s="122">
        <v>46077</v>
      </c>
      <c r="K10" s="121" t="s">
        <v>908</v>
      </c>
      <c r="L10" s="121">
        <v>6</v>
      </c>
      <c r="M10" s="121"/>
      <c r="N10" s="121"/>
      <c r="O10" s="121"/>
      <c r="P10" s="121" t="s">
        <v>181</v>
      </c>
      <c r="Q10" s="121" t="s">
        <v>180</v>
      </c>
      <c r="R10" s="121"/>
      <c r="S10" s="125"/>
      <c r="T10" s="126"/>
      <c r="U10" s="127"/>
      <c r="V10" s="126"/>
      <c r="W10" s="121"/>
    </row>
    <row r="11" spans="1:23" x14ac:dyDescent="0.25">
      <c r="A11" s="121" t="s">
        <v>906</v>
      </c>
      <c r="B11" s="122">
        <v>46066</v>
      </c>
      <c r="C11" s="124">
        <v>46051</v>
      </c>
      <c r="D11" s="122">
        <v>46062.356886574074</v>
      </c>
      <c r="E11" s="122">
        <v>46062</v>
      </c>
      <c r="F11" s="121" t="s">
        <v>923</v>
      </c>
      <c r="G11" s="121" t="s">
        <v>924</v>
      </c>
      <c r="H11" s="121">
        <v>161457</v>
      </c>
      <c r="I11" s="123">
        <v>871200</v>
      </c>
      <c r="J11" s="122">
        <v>46079</v>
      </c>
      <c r="K11" s="121" t="s">
        <v>908</v>
      </c>
      <c r="L11" s="121">
        <v>7</v>
      </c>
      <c r="M11" s="121"/>
      <c r="N11" s="121"/>
      <c r="O11" s="121"/>
      <c r="P11" s="121" t="s">
        <v>925</v>
      </c>
      <c r="Q11" s="121" t="s">
        <v>180</v>
      </c>
      <c r="R11" s="121"/>
      <c r="S11" s="125"/>
      <c r="T11" s="126"/>
      <c r="U11" s="127"/>
      <c r="V11" s="126"/>
      <c r="W11" s="121"/>
    </row>
    <row r="12" spans="1:23" x14ac:dyDescent="0.25">
      <c r="A12" s="121" t="s">
        <v>906</v>
      </c>
      <c r="B12" s="122">
        <v>46066</v>
      </c>
      <c r="C12" s="124">
        <v>46056.000694444439</v>
      </c>
      <c r="D12" s="122">
        <v>46062.418275462966</v>
      </c>
      <c r="E12" s="122">
        <v>46062</v>
      </c>
      <c r="F12" s="121" t="s">
        <v>183</v>
      </c>
      <c r="G12" s="121" t="s">
        <v>926</v>
      </c>
      <c r="H12" s="121">
        <v>161460</v>
      </c>
      <c r="I12" s="123">
        <v>133200</v>
      </c>
      <c r="J12" s="122">
        <v>46079</v>
      </c>
      <c r="K12" s="121" t="s">
        <v>908</v>
      </c>
      <c r="L12" s="121">
        <v>4</v>
      </c>
      <c r="M12" s="121"/>
      <c r="N12" s="121"/>
      <c r="O12" s="121"/>
      <c r="P12" s="121" t="s">
        <v>925</v>
      </c>
      <c r="Q12" s="121" t="s">
        <v>180</v>
      </c>
      <c r="R12" s="121"/>
      <c r="S12" s="125"/>
      <c r="T12" s="126"/>
      <c r="U12" s="127"/>
      <c r="V12" s="126"/>
      <c r="W12" s="121"/>
    </row>
    <row r="13" spans="1:23" x14ac:dyDescent="0.25">
      <c r="A13" s="121" t="s">
        <v>906</v>
      </c>
      <c r="B13" s="122">
        <v>46066</v>
      </c>
      <c r="C13" s="124">
        <v>46056.000694444439</v>
      </c>
      <c r="D13" s="122">
        <v>46063</v>
      </c>
      <c r="E13" s="122">
        <v>46063</v>
      </c>
      <c r="F13" s="121" t="s">
        <v>183</v>
      </c>
      <c r="G13" s="121" t="s">
        <v>927</v>
      </c>
      <c r="H13" s="121">
        <v>161503</v>
      </c>
      <c r="I13" s="123">
        <v>133410</v>
      </c>
      <c r="J13" s="122">
        <v>46080</v>
      </c>
      <c r="K13" s="121" t="s">
        <v>908</v>
      </c>
      <c r="L13" s="121">
        <v>5</v>
      </c>
      <c r="M13" s="121"/>
      <c r="N13" s="121"/>
      <c r="O13" s="121"/>
      <c r="P13" s="121" t="s">
        <v>925</v>
      </c>
      <c r="Q13" s="121" t="s">
        <v>180</v>
      </c>
      <c r="R13" s="121"/>
      <c r="S13" s="125"/>
      <c r="T13" s="126"/>
      <c r="U13" s="127"/>
      <c r="V13" s="126"/>
      <c r="W13" s="121"/>
    </row>
    <row r="14" spans="1:23" x14ac:dyDescent="0.25">
      <c r="A14" s="121" t="s">
        <v>906</v>
      </c>
      <c r="B14" s="122">
        <v>46066</v>
      </c>
      <c r="C14" s="124">
        <v>46056.000694444439</v>
      </c>
      <c r="D14" s="122">
        <v>46063</v>
      </c>
      <c r="E14" s="122">
        <v>46063</v>
      </c>
      <c r="F14" s="121" t="s">
        <v>183</v>
      </c>
      <c r="G14" s="121" t="s">
        <v>928</v>
      </c>
      <c r="H14" s="121">
        <v>161485</v>
      </c>
      <c r="I14" s="123">
        <v>156061</v>
      </c>
      <c r="J14" s="122">
        <v>46080</v>
      </c>
      <c r="K14" s="121" t="s">
        <v>908</v>
      </c>
      <c r="L14" s="121">
        <v>5</v>
      </c>
      <c r="M14" s="121"/>
      <c r="N14" s="121"/>
      <c r="O14" s="121"/>
      <c r="P14" s="121" t="s">
        <v>925</v>
      </c>
      <c r="Q14" s="121" t="s">
        <v>180</v>
      </c>
      <c r="R14" s="121"/>
      <c r="S14" s="125"/>
      <c r="T14" s="126"/>
      <c r="U14" s="127"/>
      <c r="V14" s="126"/>
      <c r="W14" s="121"/>
    </row>
    <row r="15" spans="1:23" x14ac:dyDescent="0.25">
      <c r="A15" s="121" t="s">
        <v>906</v>
      </c>
      <c r="B15" s="122">
        <v>46066</v>
      </c>
      <c r="C15" s="124">
        <v>46056.000694444439</v>
      </c>
      <c r="D15" s="122">
        <v>46063.481238425928</v>
      </c>
      <c r="E15" s="122">
        <v>46063</v>
      </c>
      <c r="F15" s="121" t="s">
        <v>183</v>
      </c>
      <c r="G15" s="121" t="s">
        <v>929</v>
      </c>
      <c r="H15" s="121">
        <v>161488</v>
      </c>
      <c r="I15" s="123">
        <v>156061</v>
      </c>
      <c r="J15" s="122">
        <v>46080</v>
      </c>
      <c r="K15" s="121" t="s">
        <v>908</v>
      </c>
      <c r="L15" s="121">
        <v>5</v>
      </c>
      <c r="M15" s="121"/>
      <c r="N15" s="121"/>
      <c r="O15" s="121"/>
      <c r="P15" s="121" t="s">
        <v>925</v>
      </c>
      <c r="Q15" s="121" t="s">
        <v>180</v>
      </c>
      <c r="R15" s="121"/>
      <c r="S15" s="125"/>
      <c r="T15" s="126"/>
      <c r="U15" s="127"/>
      <c r="V15" s="126"/>
      <c r="W15" s="121"/>
    </row>
    <row r="16" spans="1:23" x14ac:dyDescent="0.25">
      <c r="A16" s="121" t="s">
        <v>906</v>
      </c>
      <c r="B16" s="122">
        <v>46066</v>
      </c>
      <c r="C16" s="124">
        <v>46056.000694444439</v>
      </c>
      <c r="D16" s="122">
        <v>46063.485578703701</v>
      </c>
      <c r="E16" s="122">
        <v>46063</v>
      </c>
      <c r="F16" s="121" t="s">
        <v>183</v>
      </c>
      <c r="G16" s="121" t="s">
        <v>930</v>
      </c>
      <c r="H16" s="121">
        <v>161495</v>
      </c>
      <c r="I16" s="123">
        <v>340400</v>
      </c>
      <c r="J16" s="122">
        <v>46080</v>
      </c>
      <c r="K16" s="121" t="s">
        <v>908</v>
      </c>
      <c r="L16" s="121">
        <v>5</v>
      </c>
      <c r="M16" s="121"/>
      <c r="N16" s="121"/>
      <c r="O16" s="121"/>
      <c r="P16" s="121" t="s">
        <v>925</v>
      </c>
      <c r="Q16" s="121" t="s">
        <v>180</v>
      </c>
      <c r="R16" s="121"/>
      <c r="S16" s="125"/>
      <c r="T16" s="126"/>
      <c r="U16" s="127"/>
      <c r="V16" s="126"/>
      <c r="W16" s="121"/>
    </row>
    <row r="17" spans="1:23" hidden="1" x14ac:dyDescent="0.25">
      <c r="A17" s="121" t="s">
        <v>906</v>
      </c>
      <c r="B17" s="122">
        <v>46066</v>
      </c>
      <c r="C17" s="124">
        <v>46062.000694444439</v>
      </c>
      <c r="D17" s="122">
        <v>46064.56653935185</v>
      </c>
      <c r="E17" s="122">
        <v>46064</v>
      </c>
      <c r="F17" s="121" t="s">
        <v>923</v>
      </c>
      <c r="G17" s="121" t="s">
        <v>931</v>
      </c>
      <c r="H17" s="121">
        <v>161504</v>
      </c>
      <c r="I17" s="123">
        <v>293792</v>
      </c>
      <c r="J17" s="122">
        <v>46083</v>
      </c>
      <c r="K17" s="121" t="s">
        <v>908</v>
      </c>
      <c r="L17" s="121">
        <v>2</v>
      </c>
      <c r="M17" s="121"/>
      <c r="N17" s="121"/>
      <c r="O17" s="121"/>
      <c r="P17" s="121" t="s">
        <v>925</v>
      </c>
      <c r="Q17" s="121" t="s">
        <v>180</v>
      </c>
      <c r="R17" s="121"/>
      <c r="S17" s="125"/>
      <c r="T17" s="126"/>
      <c r="U17" s="127"/>
      <c r="V17" s="126"/>
      <c r="W17" s="121"/>
    </row>
    <row r="18" spans="1:23" hidden="1" x14ac:dyDescent="0.25">
      <c r="A18" s="121" t="s">
        <v>906</v>
      </c>
      <c r="B18" s="122">
        <v>46066</v>
      </c>
      <c r="C18" s="124">
        <v>46062.000694444439</v>
      </c>
      <c r="D18" s="122">
        <v>46064.572893518518</v>
      </c>
      <c r="E18" s="122">
        <v>46064</v>
      </c>
      <c r="F18" s="121" t="s">
        <v>923</v>
      </c>
      <c r="G18" s="121" t="s">
        <v>932</v>
      </c>
      <c r="H18" s="121">
        <v>161505</v>
      </c>
      <c r="I18" s="123">
        <v>36919</v>
      </c>
      <c r="J18" s="122">
        <v>46083</v>
      </c>
      <c r="K18" s="121" t="s">
        <v>908</v>
      </c>
      <c r="L18" s="121">
        <v>2</v>
      </c>
      <c r="M18" s="121"/>
      <c r="N18" s="121"/>
      <c r="O18" s="121"/>
      <c r="P18" s="121" t="s">
        <v>925</v>
      </c>
      <c r="Q18" s="121" t="s">
        <v>180</v>
      </c>
      <c r="R18" s="121"/>
      <c r="S18" s="125"/>
      <c r="T18" s="126"/>
      <c r="U18" s="127"/>
      <c r="V18" s="126"/>
      <c r="W18" s="121"/>
    </row>
    <row r="19" spans="1:23" hidden="1" x14ac:dyDescent="0.25">
      <c r="A19" s="121" t="s">
        <v>906</v>
      </c>
      <c r="B19" s="122">
        <v>46066</v>
      </c>
      <c r="C19" s="124">
        <v>46062.000694444439</v>
      </c>
      <c r="D19" s="122">
        <v>46064.593900462962</v>
      </c>
      <c r="E19" s="122">
        <v>46064</v>
      </c>
      <c r="F19" s="121" t="s">
        <v>923</v>
      </c>
      <c r="G19" s="121" t="s">
        <v>933</v>
      </c>
      <c r="H19" s="121">
        <v>161508</v>
      </c>
      <c r="I19" s="123">
        <v>98941</v>
      </c>
      <c r="J19" s="122">
        <v>46083</v>
      </c>
      <c r="K19" s="121" t="s">
        <v>908</v>
      </c>
      <c r="L19" s="121">
        <v>2</v>
      </c>
      <c r="M19" s="121"/>
      <c r="N19" s="121"/>
      <c r="O19" s="121"/>
      <c r="P19" s="121" t="s">
        <v>925</v>
      </c>
      <c r="Q19" s="121" t="s">
        <v>180</v>
      </c>
      <c r="R19" s="121"/>
      <c r="S19" s="125"/>
      <c r="T19" s="126"/>
      <c r="U19" s="127"/>
      <c r="V19" s="126"/>
      <c r="W19" s="121"/>
    </row>
    <row r="20" spans="1:23" hidden="1" x14ac:dyDescent="0.25">
      <c r="A20" s="121" t="s">
        <v>906</v>
      </c>
      <c r="B20" s="122">
        <v>46066</v>
      </c>
      <c r="C20" s="124">
        <v>46062.000694444439</v>
      </c>
      <c r="D20" s="122">
        <v>46064.626631944448</v>
      </c>
      <c r="E20" s="122">
        <v>46064</v>
      </c>
      <c r="F20" s="121" t="s">
        <v>923</v>
      </c>
      <c r="G20" s="121" t="s">
        <v>934</v>
      </c>
      <c r="H20" s="121">
        <v>161509</v>
      </c>
      <c r="I20" s="123">
        <v>5746</v>
      </c>
      <c r="J20" s="122">
        <v>46083</v>
      </c>
      <c r="K20" s="121" t="s">
        <v>908</v>
      </c>
      <c r="L20" s="121">
        <v>2</v>
      </c>
      <c r="M20" s="121"/>
      <c r="N20" s="121"/>
      <c r="O20" s="121"/>
      <c r="P20" s="121" t="s">
        <v>925</v>
      </c>
      <c r="Q20" s="121" t="s">
        <v>180</v>
      </c>
      <c r="R20" s="121"/>
      <c r="S20" s="125"/>
      <c r="T20" s="131"/>
      <c r="U20" s="132"/>
      <c r="V20" s="131"/>
    </row>
    <row r="21" spans="1:23" hidden="1" x14ac:dyDescent="0.25">
      <c r="A21" s="121" t="s">
        <v>906</v>
      </c>
      <c r="B21" s="122">
        <v>46066</v>
      </c>
      <c r="C21" s="124">
        <v>46062.000694444439</v>
      </c>
      <c r="D21" s="122">
        <v>46064.631076388891</v>
      </c>
      <c r="E21" s="122">
        <v>46064</v>
      </c>
      <c r="F21" s="121" t="s">
        <v>923</v>
      </c>
      <c r="G21" s="121" t="s">
        <v>935</v>
      </c>
      <c r="H21" s="121">
        <v>161512</v>
      </c>
      <c r="I21" s="123">
        <v>7473</v>
      </c>
      <c r="J21" s="122">
        <v>46083</v>
      </c>
      <c r="K21" s="121" t="s">
        <v>908</v>
      </c>
      <c r="L21" s="121">
        <v>2</v>
      </c>
      <c r="M21" s="121"/>
      <c r="N21" s="121"/>
      <c r="O21" s="121"/>
      <c r="P21" s="121" t="s">
        <v>925</v>
      </c>
      <c r="Q21" s="121" t="s">
        <v>180</v>
      </c>
      <c r="R21" s="121"/>
      <c r="S21" s="125"/>
      <c r="T21" s="131"/>
      <c r="U21" s="132"/>
      <c r="V21" s="131"/>
    </row>
    <row r="22" spans="1:23" hidden="1" x14ac:dyDescent="0.25">
      <c r="A22" s="121" t="s">
        <v>906</v>
      </c>
      <c r="B22" s="122">
        <v>46066</v>
      </c>
      <c r="C22" s="124">
        <v>46062.000694444439</v>
      </c>
      <c r="D22" s="122">
        <v>46064.635520833333</v>
      </c>
      <c r="E22" s="122">
        <v>46064</v>
      </c>
      <c r="F22" s="121" t="s">
        <v>923</v>
      </c>
      <c r="G22" s="121" t="s">
        <v>936</v>
      </c>
      <c r="H22" s="121">
        <v>161515</v>
      </c>
      <c r="I22" s="123">
        <v>7473</v>
      </c>
      <c r="J22" s="122">
        <v>46083</v>
      </c>
      <c r="K22" s="121" t="s">
        <v>908</v>
      </c>
      <c r="L22" s="121">
        <v>2</v>
      </c>
      <c r="M22" s="121"/>
      <c r="N22" s="121"/>
      <c r="O22" s="121"/>
      <c r="P22" s="121" t="s">
        <v>925</v>
      </c>
      <c r="Q22" s="121" t="s">
        <v>180</v>
      </c>
      <c r="R22" s="121"/>
      <c r="S22" s="125"/>
      <c r="T22" s="131"/>
      <c r="U22" s="132"/>
      <c r="V22" s="131"/>
    </row>
    <row r="23" spans="1:23" hidden="1" x14ac:dyDescent="0.25">
      <c r="A23" s="121" t="s">
        <v>906</v>
      </c>
      <c r="B23" s="122">
        <v>46066</v>
      </c>
      <c r="C23" s="124">
        <v>46062.000694444439</v>
      </c>
      <c r="D23" s="122">
        <v>46064.638483796298</v>
      </c>
      <c r="E23" s="122">
        <v>46064</v>
      </c>
      <c r="F23" s="121" t="s">
        <v>923</v>
      </c>
      <c r="G23" s="121" t="s">
        <v>937</v>
      </c>
      <c r="H23" s="121">
        <v>161518</v>
      </c>
      <c r="I23" s="123">
        <v>7473</v>
      </c>
      <c r="J23" s="122">
        <v>46083</v>
      </c>
      <c r="K23" s="121" t="s">
        <v>908</v>
      </c>
      <c r="L23" s="121">
        <v>2</v>
      </c>
      <c r="M23" s="121"/>
      <c r="N23" s="121"/>
      <c r="O23" s="121"/>
      <c r="P23" s="121" t="s">
        <v>925</v>
      </c>
      <c r="Q23" s="121" t="s">
        <v>180</v>
      </c>
      <c r="R23" s="121"/>
      <c r="S23" s="125"/>
      <c r="T23" s="131"/>
      <c r="U23" s="132"/>
      <c r="V23" s="131"/>
    </row>
    <row r="24" spans="1:23" hidden="1" x14ac:dyDescent="0.25">
      <c r="A24" s="121" t="s">
        <v>906</v>
      </c>
      <c r="B24" s="122">
        <v>46066</v>
      </c>
      <c r="C24" s="124">
        <v>46062.000694444439</v>
      </c>
      <c r="D24" s="122">
        <v>46064.641400462962</v>
      </c>
      <c r="E24" s="122">
        <v>46064</v>
      </c>
      <c r="F24" s="121" t="s">
        <v>923</v>
      </c>
      <c r="G24" s="121" t="s">
        <v>938</v>
      </c>
      <c r="H24" s="121">
        <v>161521</v>
      </c>
      <c r="I24" s="123">
        <v>7473</v>
      </c>
      <c r="J24" s="122">
        <v>46083</v>
      </c>
      <c r="K24" s="121" t="s">
        <v>908</v>
      </c>
      <c r="L24" s="121">
        <v>2</v>
      </c>
      <c r="M24" s="121"/>
      <c r="N24" s="121"/>
      <c r="O24" s="121"/>
      <c r="P24" s="121" t="s">
        <v>925</v>
      </c>
      <c r="Q24" s="121" t="s">
        <v>180</v>
      </c>
      <c r="R24" s="121"/>
      <c r="S24" s="125"/>
      <c r="T24" s="131"/>
      <c r="U24" s="132"/>
      <c r="V24" s="131"/>
    </row>
    <row r="25" spans="1:23" hidden="1" x14ac:dyDescent="0.25">
      <c r="A25" s="121" t="s">
        <v>906</v>
      </c>
      <c r="B25" s="122">
        <v>46066</v>
      </c>
      <c r="C25" s="124">
        <v>46062.000694444439</v>
      </c>
      <c r="D25" s="122">
        <v>46064.646018518521</v>
      </c>
      <c r="E25" s="122">
        <v>46064</v>
      </c>
      <c r="F25" s="121" t="s">
        <v>923</v>
      </c>
      <c r="G25" s="121" t="s">
        <v>939</v>
      </c>
      <c r="H25" s="121">
        <v>161532</v>
      </c>
      <c r="I25" s="123">
        <v>74877</v>
      </c>
      <c r="J25" s="122">
        <v>46083</v>
      </c>
      <c r="K25" s="121" t="s">
        <v>908</v>
      </c>
      <c r="L25" s="121">
        <v>2</v>
      </c>
      <c r="M25" s="121"/>
      <c r="N25" s="121"/>
      <c r="O25" s="121"/>
      <c r="P25" s="121" t="s">
        <v>925</v>
      </c>
      <c r="Q25" s="121" t="s">
        <v>180</v>
      </c>
      <c r="R25" s="121"/>
      <c r="S25" s="125"/>
      <c r="T25" s="131"/>
      <c r="U25" s="132"/>
      <c r="V25" s="131"/>
    </row>
    <row r="26" spans="1:23" hidden="1" x14ac:dyDescent="0.25">
      <c r="A26" s="121" t="s">
        <v>906</v>
      </c>
      <c r="B26" s="122">
        <v>46066</v>
      </c>
      <c r="C26" s="124">
        <v>46062.000694444439</v>
      </c>
      <c r="D26" s="122">
        <v>46064.67732638889</v>
      </c>
      <c r="E26" s="122">
        <v>46064</v>
      </c>
      <c r="F26" s="121" t="s">
        <v>923</v>
      </c>
      <c r="G26" s="121" t="s">
        <v>940</v>
      </c>
      <c r="H26" s="121">
        <v>161535</v>
      </c>
      <c r="I26" s="123">
        <v>53319</v>
      </c>
      <c r="J26" s="122">
        <v>46083</v>
      </c>
      <c r="K26" s="121" t="s">
        <v>908</v>
      </c>
      <c r="L26" s="121">
        <v>2</v>
      </c>
      <c r="M26" s="121"/>
      <c r="N26" s="121"/>
      <c r="O26" s="121"/>
      <c r="P26" s="121" t="s">
        <v>925</v>
      </c>
      <c r="Q26" s="121" t="s">
        <v>180</v>
      </c>
      <c r="R26" s="121"/>
      <c r="S26" s="125"/>
      <c r="T26" s="131"/>
      <c r="U26" s="132"/>
      <c r="V26" s="131"/>
    </row>
    <row r="27" spans="1:23" hidden="1" x14ac:dyDescent="0.25">
      <c r="A27" s="121" t="s">
        <v>906</v>
      </c>
      <c r="B27" s="122">
        <v>46066</v>
      </c>
      <c r="C27" s="124">
        <v>46045</v>
      </c>
      <c r="D27" s="122">
        <v>46065.474340277775</v>
      </c>
      <c r="E27" s="122">
        <v>46065</v>
      </c>
      <c r="F27" s="121" t="s">
        <v>183</v>
      </c>
      <c r="G27" s="121" t="s">
        <v>941</v>
      </c>
      <c r="H27" s="121">
        <v>161640</v>
      </c>
      <c r="I27" s="123">
        <v>66105</v>
      </c>
      <c r="J27" s="122">
        <v>46084</v>
      </c>
      <c r="K27" s="121" t="s">
        <v>913</v>
      </c>
      <c r="L27" s="121">
        <v>14</v>
      </c>
      <c r="M27" s="121"/>
      <c r="N27" s="121"/>
      <c r="O27" s="121"/>
      <c r="P27" s="121" t="s">
        <v>181</v>
      </c>
      <c r="Q27" s="121" t="s">
        <v>180</v>
      </c>
      <c r="R27" s="121"/>
      <c r="S27" s="125"/>
      <c r="T27" s="131"/>
      <c r="U27" s="132"/>
      <c r="V27" s="131"/>
    </row>
    <row r="28" spans="1:23" hidden="1" x14ac:dyDescent="0.25">
      <c r="A28" s="121" t="s">
        <v>906</v>
      </c>
      <c r="B28" s="122">
        <v>46066</v>
      </c>
      <c r="C28" s="124">
        <v>46056.000694444439</v>
      </c>
      <c r="D28" s="122">
        <v>46065.686979166669</v>
      </c>
      <c r="E28" s="122">
        <v>46065</v>
      </c>
      <c r="F28" s="121" t="s">
        <v>923</v>
      </c>
      <c r="G28" s="121" t="s">
        <v>942</v>
      </c>
      <c r="H28" s="121">
        <v>161543</v>
      </c>
      <c r="I28" s="123">
        <v>26750</v>
      </c>
      <c r="J28" s="122">
        <v>46084</v>
      </c>
      <c r="K28" s="121" t="s">
        <v>908</v>
      </c>
      <c r="L28" s="121">
        <v>7</v>
      </c>
      <c r="M28" s="121"/>
      <c r="N28" s="121"/>
      <c r="O28" s="121"/>
      <c r="P28" s="121" t="s">
        <v>925</v>
      </c>
      <c r="Q28" s="121" t="s">
        <v>193</v>
      </c>
      <c r="R28" s="121" t="s">
        <v>943</v>
      </c>
      <c r="S28" s="130">
        <v>46069</v>
      </c>
      <c r="T28" s="131"/>
      <c r="U28" s="132"/>
      <c r="V28" s="131"/>
    </row>
    <row r="29" spans="1:23" hidden="1" x14ac:dyDescent="0.25">
      <c r="A29" s="121" t="s">
        <v>906</v>
      </c>
      <c r="B29" s="122">
        <v>46066</v>
      </c>
      <c r="C29" s="124">
        <v>46056.000694444439</v>
      </c>
      <c r="D29" s="122">
        <v>46065.692187499997</v>
      </c>
      <c r="E29" s="122">
        <v>46065</v>
      </c>
      <c r="F29" s="121" t="s">
        <v>923</v>
      </c>
      <c r="G29" s="121" t="s">
        <v>944</v>
      </c>
      <c r="H29" s="121">
        <v>161544</v>
      </c>
      <c r="I29" s="123">
        <v>426480</v>
      </c>
      <c r="J29" s="122">
        <v>46084</v>
      </c>
      <c r="K29" s="121" t="s">
        <v>908</v>
      </c>
      <c r="L29" s="121">
        <v>7</v>
      </c>
      <c r="M29" s="121"/>
      <c r="N29" s="121"/>
      <c r="O29" s="121"/>
      <c r="P29" s="121" t="s">
        <v>925</v>
      </c>
      <c r="Q29" s="121" t="s">
        <v>193</v>
      </c>
      <c r="R29" s="121" t="s">
        <v>943</v>
      </c>
      <c r="S29" s="130">
        <v>46069</v>
      </c>
      <c r="T29" s="131"/>
      <c r="U29" s="132"/>
      <c r="V29" s="131"/>
    </row>
    <row r="30" spans="1:23" hidden="1" x14ac:dyDescent="0.25">
      <c r="A30" s="121" t="s">
        <v>906</v>
      </c>
      <c r="B30" s="122">
        <v>46066</v>
      </c>
      <c r="C30" s="124">
        <v>46062.000694444439</v>
      </c>
      <c r="D30" s="122">
        <v>46065.695057870369</v>
      </c>
      <c r="E30" s="122">
        <v>46065</v>
      </c>
      <c r="F30" s="121" t="s">
        <v>923</v>
      </c>
      <c r="G30" s="121" t="s">
        <v>945</v>
      </c>
      <c r="H30" s="121">
        <v>161546</v>
      </c>
      <c r="I30" s="123">
        <v>29270300</v>
      </c>
      <c r="J30" s="122">
        <v>46084</v>
      </c>
      <c r="K30" s="121" t="s">
        <v>908</v>
      </c>
      <c r="L30" s="121">
        <v>3</v>
      </c>
      <c r="M30" s="121"/>
      <c r="N30" s="121"/>
      <c r="O30" s="121"/>
      <c r="P30" s="121" t="s">
        <v>925</v>
      </c>
      <c r="Q30" s="121" t="s">
        <v>180</v>
      </c>
      <c r="R30" s="121"/>
      <c r="S30" s="125"/>
      <c r="T30" s="131"/>
      <c r="U30" s="132"/>
      <c r="V30" s="131"/>
    </row>
  </sheetData>
  <autoFilter ref="A1:Y30" xr:uid="{4CAC467E-B1D3-46E2-9DEA-C084485646BF}">
    <filterColumn colId="9">
      <filters>
        <dateGroupItem year="2026" month="2" dateTimeGrouping="month"/>
      </filters>
    </filterColumn>
  </autoFilter>
  <sortState xmlns:xlrd2="http://schemas.microsoft.com/office/spreadsheetml/2017/richdata2" ref="A2:V30">
    <sortCondition ref="J1:J30"/>
  </sortState>
  <conditionalFormatting sqref="G20:H30">
    <cfRule type="duplicateValues" dxfId="5" priority="1"/>
  </conditionalFormatting>
  <conditionalFormatting sqref="G2:G19">
    <cfRule type="duplicateValues" dxfId="4" priority="19"/>
  </conditionalFormatting>
  <conditionalFormatting sqref="H2:H19">
    <cfRule type="duplicateValues" dxfId="3" priority="2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0A3C1-A80B-4679-A691-F4B53FE1AF95}">
  <sheetPr codeName="Hoja2"/>
  <dimension ref="A3:AH188"/>
  <sheetViews>
    <sheetView topLeftCell="AA1" workbookViewId="0">
      <pane ySplit="3" topLeftCell="A4" activePane="bottomLeft" state="frozen"/>
      <selection activeCell="AB3" sqref="AB3"/>
      <selection pane="bottomLeft" activeCell="AB3" sqref="AB3"/>
    </sheetView>
  </sheetViews>
  <sheetFormatPr baseColWidth="10" defaultRowHeight="15" x14ac:dyDescent="0.25"/>
  <cols>
    <col min="1" max="1" width="19.140625" customWidth="1"/>
    <col min="2" max="2" width="15.5703125" customWidth="1"/>
    <col min="3" max="3" width="10.42578125" customWidth="1"/>
    <col min="4" max="4" width="22.28515625" customWidth="1"/>
    <col min="5" max="5" width="11.140625" customWidth="1"/>
    <col min="6" max="6" width="7.42578125" customWidth="1"/>
    <col min="7" max="7" width="15.28515625" customWidth="1"/>
    <col min="8" max="8" width="22.85546875" customWidth="1"/>
    <col min="9" max="9" width="16" customWidth="1"/>
    <col min="10" max="10" width="15.7109375" bestFit="1" customWidth="1"/>
    <col min="11" max="11" width="13.7109375" customWidth="1"/>
    <col min="12" max="12" width="14.140625" customWidth="1"/>
    <col min="13" max="13" width="8.42578125" customWidth="1"/>
    <col min="14" max="14" width="8.140625" customWidth="1"/>
    <col min="15" max="16" width="31.7109375" bestFit="1" customWidth="1"/>
    <col min="17" max="17" width="12.42578125" bestFit="1" customWidth="1"/>
    <col min="18" max="18" width="75.28515625" bestFit="1" customWidth="1"/>
    <col min="19" max="19" width="19.85546875" customWidth="1"/>
    <col min="20" max="20" width="27.140625" bestFit="1" customWidth="1"/>
    <col min="21" max="21" width="19.42578125" bestFit="1" customWidth="1"/>
    <col min="22" max="22" width="19.28515625" bestFit="1" customWidth="1"/>
    <col min="23" max="23" width="19.7109375" bestFit="1" customWidth="1"/>
    <col min="24" max="24" width="62.85546875" bestFit="1" customWidth="1"/>
    <col min="25" max="25" width="24.28515625" customWidth="1"/>
    <col min="26" max="26" width="76.7109375" bestFit="1" customWidth="1"/>
    <col min="27" max="27" width="41" bestFit="1" customWidth="1"/>
    <col min="28" max="28" width="106.140625" bestFit="1" customWidth="1"/>
    <col min="29" max="30" width="18.140625" customWidth="1"/>
    <col min="31" max="31" width="30.28515625" bestFit="1" customWidth="1"/>
    <col min="32" max="32" width="8.28515625" customWidth="1"/>
    <col min="33" max="33" width="105.28515625" customWidth="1"/>
  </cols>
  <sheetData>
    <row r="3" spans="1:34" x14ac:dyDescent="0.25">
      <c r="A3" s="59" t="s">
        <v>146</v>
      </c>
      <c r="B3" s="60" t="s">
        <v>147</v>
      </c>
      <c r="C3" s="80" t="s">
        <v>148</v>
      </c>
      <c r="D3" s="61" t="s">
        <v>149</v>
      </c>
      <c r="E3" s="59" t="s">
        <v>150</v>
      </c>
      <c r="F3" s="61" t="s">
        <v>151</v>
      </c>
      <c r="G3" s="62" t="s">
        <v>152</v>
      </c>
      <c r="H3" s="59" t="s">
        <v>153</v>
      </c>
      <c r="I3" s="61" t="s">
        <v>154</v>
      </c>
      <c r="J3" s="61" t="s">
        <v>155</v>
      </c>
      <c r="K3" s="59" t="s">
        <v>156</v>
      </c>
      <c r="L3" s="59" t="s">
        <v>157</v>
      </c>
      <c r="M3" s="59" t="s">
        <v>158</v>
      </c>
      <c r="N3" s="59" t="s">
        <v>159</v>
      </c>
      <c r="O3" s="59" t="s">
        <v>160</v>
      </c>
      <c r="P3" s="59" t="s">
        <v>161</v>
      </c>
      <c r="Q3" s="59" t="s">
        <v>162</v>
      </c>
      <c r="R3" s="59" t="s">
        <v>163</v>
      </c>
      <c r="S3" s="59" t="s">
        <v>164</v>
      </c>
      <c r="T3" s="59" t="s">
        <v>165</v>
      </c>
      <c r="U3" s="63" t="s">
        <v>166</v>
      </c>
      <c r="V3" s="63" t="s">
        <v>167</v>
      </c>
      <c r="W3" s="61" t="s">
        <v>168</v>
      </c>
      <c r="X3" s="59" t="s">
        <v>169</v>
      </c>
      <c r="Y3" s="59" t="s">
        <v>170</v>
      </c>
      <c r="Z3" s="59" t="s">
        <v>171</v>
      </c>
      <c r="AA3" s="59" t="s">
        <v>172</v>
      </c>
      <c r="AB3" s="59" t="s">
        <v>173</v>
      </c>
      <c r="AC3" s="59" t="s">
        <v>174</v>
      </c>
      <c r="AD3" s="59" t="s">
        <v>175</v>
      </c>
      <c r="AE3" s="63" t="s">
        <v>176</v>
      </c>
      <c r="AF3" s="64" t="s">
        <v>177</v>
      </c>
      <c r="AG3" s="59" t="s">
        <v>178</v>
      </c>
      <c r="AH3" s="65"/>
    </row>
    <row r="4" spans="1:34" x14ac:dyDescent="0.25">
      <c r="A4" s="66" t="s">
        <v>179</v>
      </c>
      <c r="B4" s="66">
        <v>901541137</v>
      </c>
      <c r="C4" s="66">
        <v>138597</v>
      </c>
      <c r="D4" s="67">
        <v>45926.417303240742</v>
      </c>
      <c r="E4" s="68">
        <v>2025</v>
      </c>
      <c r="F4" s="66">
        <v>9</v>
      </c>
      <c r="G4" s="66" t="s">
        <v>44</v>
      </c>
      <c r="H4" s="66" t="s">
        <v>44</v>
      </c>
      <c r="I4" s="66" t="s">
        <v>180</v>
      </c>
      <c r="J4" s="67">
        <v>45926</v>
      </c>
      <c r="K4" s="66"/>
      <c r="L4" s="66"/>
      <c r="M4" s="66"/>
      <c r="N4" s="66"/>
      <c r="O4" s="66"/>
      <c r="P4" s="66" t="s">
        <v>181</v>
      </c>
      <c r="Q4" s="66" t="s">
        <v>182</v>
      </c>
      <c r="R4" s="66" t="s">
        <v>183</v>
      </c>
      <c r="S4" s="66"/>
      <c r="T4" s="66"/>
      <c r="U4" s="69">
        <v>82085</v>
      </c>
      <c r="V4" s="69">
        <v>82085</v>
      </c>
      <c r="W4" s="67">
        <v>45901.446666666663</v>
      </c>
      <c r="X4" s="66"/>
      <c r="Y4" s="66" t="s">
        <v>183</v>
      </c>
      <c r="Z4" s="66" t="s">
        <v>184</v>
      </c>
      <c r="AA4" s="66" t="s">
        <v>185</v>
      </c>
      <c r="AB4" s="66" t="s">
        <v>186</v>
      </c>
      <c r="AC4" s="66"/>
      <c r="AD4" s="66"/>
      <c r="AE4" s="69">
        <v>6685</v>
      </c>
      <c r="AF4" s="70"/>
      <c r="AG4" s="66" t="s">
        <v>187</v>
      </c>
    </row>
    <row r="5" spans="1:34" x14ac:dyDescent="0.25">
      <c r="A5" s="66" t="s">
        <v>179</v>
      </c>
      <c r="B5" s="66">
        <v>901541137</v>
      </c>
      <c r="C5" s="66">
        <v>139436</v>
      </c>
      <c r="D5" s="67">
        <v>45936.480613425927</v>
      </c>
      <c r="E5" s="68">
        <v>2025</v>
      </c>
      <c r="F5" s="66">
        <v>10</v>
      </c>
      <c r="G5" s="66" t="s">
        <v>61</v>
      </c>
      <c r="H5" s="66" t="s">
        <v>61</v>
      </c>
      <c r="I5" s="66" t="s">
        <v>180</v>
      </c>
      <c r="J5" s="67">
        <v>45936</v>
      </c>
      <c r="K5" s="66"/>
      <c r="L5" s="66"/>
      <c r="M5" s="66"/>
      <c r="N5" s="66"/>
      <c r="O5" s="66"/>
      <c r="P5" s="66" t="s">
        <v>181</v>
      </c>
      <c r="Q5" s="66" t="s">
        <v>182</v>
      </c>
      <c r="R5" s="66" t="s">
        <v>183</v>
      </c>
      <c r="S5" s="66"/>
      <c r="T5" s="66"/>
      <c r="U5" s="69">
        <v>106697</v>
      </c>
      <c r="V5" s="69">
        <v>106697</v>
      </c>
      <c r="W5" s="67">
        <v>45915.691701388889</v>
      </c>
      <c r="X5" s="66"/>
      <c r="Y5" s="66" t="s">
        <v>183</v>
      </c>
      <c r="Z5" s="66" t="s">
        <v>184</v>
      </c>
      <c r="AA5" s="66" t="s">
        <v>185</v>
      </c>
      <c r="AB5" s="66" t="s">
        <v>186</v>
      </c>
      <c r="AC5" s="66" t="s">
        <v>42</v>
      </c>
      <c r="AD5" s="66"/>
      <c r="AE5" s="69">
        <v>31297</v>
      </c>
      <c r="AF5" s="70"/>
      <c r="AG5" s="66" t="s">
        <v>187</v>
      </c>
    </row>
    <row r="6" spans="1:34" x14ac:dyDescent="0.25">
      <c r="A6" s="66" t="s">
        <v>179</v>
      </c>
      <c r="B6" s="66">
        <v>901541137</v>
      </c>
      <c r="C6" s="66">
        <v>139428</v>
      </c>
      <c r="D6" s="67">
        <v>45936.477662037039</v>
      </c>
      <c r="E6" s="68">
        <v>2025</v>
      </c>
      <c r="F6" s="66">
        <v>10</v>
      </c>
      <c r="G6" s="66" t="s">
        <v>53</v>
      </c>
      <c r="H6" s="66" t="s">
        <v>53</v>
      </c>
      <c r="I6" s="66" t="s">
        <v>180</v>
      </c>
      <c r="J6" s="67">
        <v>45936</v>
      </c>
      <c r="K6" s="66"/>
      <c r="L6" s="66"/>
      <c r="M6" s="66"/>
      <c r="N6" s="66"/>
      <c r="O6" s="66"/>
      <c r="P6" s="66" t="s">
        <v>181</v>
      </c>
      <c r="Q6" s="66" t="s">
        <v>182</v>
      </c>
      <c r="R6" s="66" t="s">
        <v>189</v>
      </c>
      <c r="S6" s="66"/>
      <c r="T6" s="66"/>
      <c r="U6" s="69">
        <v>11817412</v>
      </c>
      <c r="V6" s="69">
        <v>11817412</v>
      </c>
      <c r="W6" s="67">
        <v>45896.564803240741</v>
      </c>
      <c r="X6" s="66"/>
      <c r="Y6" s="66" t="s">
        <v>189</v>
      </c>
      <c r="Z6" s="66" t="s">
        <v>184</v>
      </c>
      <c r="AA6" s="66" t="s">
        <v>190</v>
      </c>
      <c r="AB6" s="66" t="s">
        <v>191</v>
      </c>
      <c r="AC6" s="66" t="s">
        <v>42</v>
      </c>
      <c r="AD6" s="66"/>
      <c r="AE6" s="69">
        <v>1077827</v>
      </c>
      <c r="AF6" s="70"/>
      <c r="AG6" s="66" t="s">
        <v>192</v>
      </c>
    </row>
    <row r="7" spans="1:34" x14ac:dyDescent="0.25">
      <c r="A7" s="66" t="s">
        <v>179</v>
      </c>
      <c r="B7" s="66">
        <v>901541137</v>
      </c>
      <c r="C7" s="66">
        <v>139427</v>
      </c>
      <c r="D7" s="67">
        <v>45936.471678240741</v>
      </c>
      <c r="E7" s="68">
        <v>2025</v>
      </c>
      <c r="F7" s="66">
        <v>10</v>
      </c>
      <c r="G7" s="66" t="s">
        <v>54</v>
      </c>
      <c r="H7" s="66" t="s">
        <v>54</v>
      </c>
      <c r="I7" s="66" t="s">
        <v>193</v>
      </c>
      <c r="J7" s="67">
        <v>45936</v>
      </c>
      <c r="K7" s="66"/>
      <c r="L7" s="66"/>
      <c r="M7" s="66"/>
      <c r="N7" s="66"/>
      <c r="O7" s="66"/>
      <c r="P7" s="66" t="s">
        <v>181</v>
      </c>
      <c r="Q7" s="66" t="s">
        <v>182</v>
      </c>
      <c r="R7" s="66" t="s">
        <v>189</v>
      </c>
      <c r="S7" s="66"/>
      <c r="T7" s="66"/>
      <c r="U7" s="69">
        <v>49186014</v>
      </c>
      <c r="V7" s="69">
        <v>49186014</v>
      </c>
      <c r="W7" s="67">
        <v>45896.36546296296</v>
      </c>
      <c r="X7" s="66"/>
      <c r="Y7" s="66" t="s">
        <v>189</v>
      </c>
      <c r="Z7" s="66" t="s">
        <v>184</v>
      </c>
      <c r="AA7" s="66" t="s">
        <v>194</v>
      </c>
      <c r="AB7" s="66" t="s">
        <v>195</v>
      </c>
      <c r="AC7" s="66" t="s">
        <v>42</v>
      </c>
      <c r="AD7" s="66"/>
      <c r="AE7" s="69">
        <v>4384380</v>
      </c>
      <c r="AF7" s="70"/>
      <c r="AG7" s="66" t="s">
        <v>196</v>
      </c>
    </row>
    <row r="8" spans="1:34" x14ac:dyDescent="0.25">
      <c r="A8" s="66" t="s">
        <v>179</v>
      </c>
      <c r="B8" s="66">
        <v>901541137</v>
      </c>
      <c r="C8" s="66">
        <v>139403</v>
      </c>
      <c r="D8" s="67">
        <v>45933.440648148149</v>
      </c>
      <c r="E8" s="68">
        <v>2025</v>
      </c>
      <c r="F8" s="66">
        <v>10</v>
      </c>
      <c r="G8" s="66" t="s">
        <v>58</v>
      </c>
      <c r="H8" s="66" t="s">
        <v>58</v>
      </c>
      <c r="I8" s="66" t="s">
        <v>197</v>
      </c>
      <c r="J8" s="67">
        <v>45933</v>
      </c>
      <c r="K8" s="66"/>
      <c r="L8" s="66"/>
      <c r="M8" s="66"/>
      <c r="N8" s="66"/>
      <c r="O8" s="66"/>
      <c r="P8" s="66" t="s">
        <v>181</v>
      </c>
      <c r="Q8" s="66" t="s">
        <v>182</v>
      </c>
      <c r="R8" s="66" t="s">
        <v>189</v>
      </c>
      <c r="S8" s="66"/>
      <c r="T8" s="66"/>
      <c r="U8" s="69">
        <v>8450501</v>
      </c>
      <c r="V8" s="69">
        <v>8450501</v>
      </c>
      <c r="W8" s="67">
        <v>45895.494363425925</v>
      </c>
      <c r="X8" s="66"/>
      <c r="Y8" s="66" t="s">
        <v>189</v>
      </c>
      <c r="Z8" s="66" t="s">
        <v>184</v>
      </c>
      <c r="AA8" s="66" t="s">
        <v>198</v>
      </c>
      <c r="AB8" s="66" t="s">
        <v>199</v>
      </c>
      <c r="AC8" s="66" t="s">
        <v>42</v>
      </c>
      <c r="AD8" s="66"/>
      <c r="AE8" s="69">
        <v>81018</v>
      </c>
      <c r="AF8" s="70"/>
      <c r="AG8" s="66" t="s">
        <v>200</v>
      </c>
    </row>
    <row r="9" spans="1:34" x14ac:dyDescent="0.25">
      <c r="A9" s="66" t="s">
        <v>179</v>
      </c>
      <c r="B9" s="66">
        <v>901541137</v>
      </c>
      <c r="C9" s="66">
        <v>139403</v>
      </c>
      <c r="D9" s="67">
        <v>45933.440648148149</v>
      </c>
      <c r="E9" s="68">
        <v>2025</v>
      </c>
      <c r="F9" s="66">
        <v>10</v>
      </c>
      <c r="G9" s="66" t="s">
        <v>58</v>
      </c>
      <c r="H9" s="66" t="s">
        <v>58</v>
      </c>
      <c r="I9" s="66" t="s">
        <v>197</v>
      </c>
      <c r="J9" s="67">
        <v>45933</v>
      </c>
      <c r="K9" s="66"/>
      <c r="L9" s="66"/>
      <c r="M9" s="66"/>
      <c r="N9" s="66"/>
      <c r="O9" s="66"/>
      <c r="P9" s="66" t="s">
        <v>181</v>
      </c>
      <c r="Q9" s="66" t="s">
        <v>182</v>
      </c>
      <c r="R9" s="66" t="s">
        <v>189</v>
      </c>
      <c r="S9" s="66"/>
      <c r="T9" s="66"/>
      <c r="U9" s="69">
        <v>8450501</v>
      </c>
      <c r="V9" s="69">
        <v>8450501</v>
      </c>
      <c r="W9" s="67">
        <v>45895.494363425925</v>
      </c>
      <c r="X9" s="66"/>
      <c r="Y9" s="66" t="s">
        <v>189</v>
      </c>
      <c r="Z9" s="66" t="s">
        <v>184</v>
      </c>
      <c r="AA9" s="66" t="s">
        <v>201</v>
      </c>
      <c r="AB9" s="66" t="s">
        <v>202</v>
      </c>
      <c r="AC9" s="66" t="s">
        <v>42</v>
      </c>
      <c r="AD9" s="66"/>
      <c r="AE9" s="69">
        <v>4020421</v>
      </c>
      <c r="AF9" s="70"/>
      <c r="AG9" s="66" t="s">
        <v>203</v>
      </c>
    </row>
    <row r="10" spans="1:34" x14ac:dyDescent="0.25">
      <c r="A10" s="66" t="s">
        <v>179</v>
      </c>
      <c r="B10" s="66">
        <v>901541137</v>
      </c>
      <c r="C10" s="66">
        <v>139403</v>
      </c>
      <c r="D10" s="67">
        <v>45933.440648148149</v>
      </c>
      <c r="E10" s="68">
        <v>2025</v>
      </c>
      <c r="F10" s="66">
        <v>10</v>
      </c>
      <c r="G10" s="66" t="s">
        <v>58</v>
      </c>
      <c r="H10" s="66" t="s">
        <v>58</v>
      </c>
      <c r="I10" s="66" t="s">
        <v>197</v>
      </c>
      <c r="J10" s="67">
        <v>45933</v>
      </c>
      <c r="K10" s="66"/>
      <c r="L10" s="66"/>
      <c r="M10" s="66"/>
      <c r="N10" s="66"/>
      <c r="O10" s="66"/>
      <c r="P10" s="66" t="s">
        <v>181</v>
      </c>
      <c r="Q10" s="66" t="s">
        <v>182</v>
      </c>
      <c r="R10" s="66" t="s">
        <v>189</v>
      </c>
      <c r="S10" s="66"/>
      <c r="T10" s="66"/>
      <c r="U10" s="69">
        <v>8450501</v>
      </c>
      <c r="V10" s="69">
        <v>8450501</v>
      </c>
      <c r="W10" s="67">
        <v>45895.494363425925</v>
      </c>
      <c r="X10" s="66"/>
      <c r="Y10" s="66" t="s">
        <v>189</v>
      </c>
      <c r="Z10" s="66" t="s">
        <v>184</v>
      </c>
      <c r="AA10" s="66" t="s">
        <v>204</v>
      </c>
      <c r="AB10" s="66" t="s">
        <v>205</v>
      </c>
      <c r="AC10" s="66" t="s">
        <v>42</v>
      </c>
      <c r="AD10" s="66"/>
      <c r="AE10" s="69">
        <v>79407</v>
      </c>
      <c r="AF10" s="70"/>
      <c r="AG10" s="66" t="s">
        <v>206</v>
      </c>
    </row>
    <row r="11" spans="1:34" x14ac:dyDescent="0.25">
      <c r="A11" s="66" t="s">
        <v>179</v>
      </c>
      <c r="B11" s="66">
        <v>901541137</v>
      </c>
      <c r="C11" s="66">
        <v>138922</v>
      </c>
      <c r="D11" s="67">
        <v>45936.684629629628</v>
      </c>
      <c r="E11" s="68">
        <v>2025</v>
      </c>
      <c r="F11" s="66">
        <v>10</v>
      </c>
      <c r="G11" s="66" t="s">
        <v>49</v>
      </c>
      <c r="H11" s="66" t="s">
        <v>49</v>
      </c>
      <c r="I11" s="66" t="s">
        <v>180</v>
      </c>
      <c r="J11" s="67">
        <v>45931</v>
      </c>
      <c r="K11" s="66"/>
      <c r="L11" s="66"/>
      <c r="M11" s="66"/>
      <c r="N11" s="66"/>
      <c r="O11" s="66"/>
      <c r="P11" s="66" t="s">
        <v>181</v>
      </c>
      <c r="Q11" s="66" t="s">
        <v>182</v>
      </c>
      <c r="R11" s="66" t="s">
        <v>183</v>
      </c>
      <c r="S11" s="66"/>
      <c r="T11" s="66"/>
      <c r="U11" s="69">
        <v>6913001</v>
      </c>
      <c r="V11" s="69">
        <v>6913001</v>
      </c>
      <c r="W11" s="67">
        <v>45904.560763888891</v>
      </c>
      <c r="X11" s="66"/>
      <c r="Y11" s="66" t="s">
        <v>183</v>
      </c>
      <c r="Z11" s="66" t="s">
        <v>184</v>
      </c>
      <c r="AA11" s="66" t="s">
        <v>201</v>
      </c>
      <c r="AB11" s="66" t="s">
        <v>202</v>
      </c>
      <c r="AC11" s="66" t="s">
        <v>42</v>
      </c>
      <c r="AD11" s="66"/>
      <c r="AE11" s="69">
        <v>116242</v>
      </c>
      <c r="AF11" s="70"/>
      <c r="AG11" s="66" t="s">
        <v>207</v>
      </c>
    </row>
    <row r="12" spans="1:34" x14ac:dyDescent="0.25">
      <c r="A12" s="66" t="s">
        <v>179</v>
      </c>
      <c r="B12" s="66">
        <v>901541137</v>
      </c>
      <c r="C12" s="66">
        <v>138702</v>
      </c>
      <c r="D12" s="67">
        <v>45931.602164351854</v>
      </c>
      <c r="E12" s="68">
        <v>2025</v>
      </c>
      <c r="F12" s="66">
        <v>10</v>
      </c>
      <c r="G12" s="66" t="s">
        <v>47</v>
      </c>
      <c r="H12" s="66" t="s">
        <v>47</v>
      </c>
      <c r="I12" s="66" t="s">
        <v>180</v>
      </c>
      <c r="J12" s="67">
        <v>45929</v>
      </c>
      <c r="K12" s="66"/>
      <c r="L12" s="66"/>
      <c r="M12" s="66"/>
      <c r="N12" s="66"/>
      <c r="O12" s="66"/>
      <c r="P12" s="66" t="s">
        <v>181</v>
      </c>
      <c r="Q12" s="66" t="s">
        <v>182</v>
      </c>
      <c r="R12" s="66" t="s">
        <v>183</v>
      </c>
      <c r="S12" s="66"/>
      <c r="T12" s="66"/>
      <c r="U12" s="69">
        <v>5773764</v>
      </c>
      <c r="V12" s="69">
        <v>5773764</v>
      </c>
      <c r="W12" s="67">
        <v>45902.860752314817</v>
      </c>
      <c r="X12" s="66"/>
      <c r="Y12" s="66" t="s">
        <v>183</v>
      </c>
      <c r="Z12" s="66" t="s">
        <v>184</v>
      </c>
      <c r="AA12" s="66" t="s">
        <v>208</v>
      </c>
      <c r="AB12" s="66" t="s">
        <v>209</v>
      </c>
      <c r="AC12" s="66" t="s">
        <v>42</v>
      </c>
      <c r="AD12" s="66"/>
      <c r="AE12" s="69">
        <v>267680</v>
      </c>
      <c r="AF12" s="70"/>
      <c r="AG12" s="66" t="s">
        <v>210</v>
      </c>
    </row>
    <row r="13" spans="1:34" x14ac:dyDescent="0.25">
      <c r="A13" s="66" t="s">
        <v>179</v>
      </c>
      <c r="B13" s="66">
        <v>901541137</v>
      </c>
      <c r="C13" s="66">
        <v>138702</v>
      </c>
      <c r="D13" s="67">
        <v>45931.602164351854</v>
      </c>
      <c r="E13" s="68">
        <v>2025</v>
      </c>
      <c r="F13" s="66">
        <v>10</v>
      </c>
      <c r="G13" s="66" t="s">
        <v>47</v>
      </c>
      <c r="H13" s="66" t="s">
        <v>47</v>
      </c>
      <c r="I13" s="66" t="s">
        <v>180</v>
      </c>
      <c r="J13" s="67">
        <v>45929</v>
      </c>
      <c r="K13" s="66"/>
      <c r="L13" s="66"/>
      <c r="M13" s="66"/>
      <c r="N13" s="66"/>
      <c r="O13" s="66"/>
      <c r="P13" s="66" t="s">
        <v>181</v>
      </c>
      <c r="Q13" s="66" t="s">
        <v>182</v>
      </c>
      <c r="R13" s="66" t="s">
        <v>183</v>
      </c>
      <c r="S13" s="66"/>
      <c r="T13" s="66"/>
      <c r="U13" s="69">
        <v>5773764</v>
      </c>
      <c r="V13" s="69">
        <v>5773764</v>
      </c>
      <c r="W13" s="67">
        <v>45902.860752314817</v>
      </c>
      <c r="X13" s="66"/>
      <c r="Y13" s="66" t="s">
        <v>183</v>
      </c>
      <c r="Z13" s="66" t="s">
        <v>184</v>
      </c>
      <c r="AA13" s="66" t="s">
        <v>185</v>
      </c>
      <c r="AB13" s="66" t="s">
        <v>186</v>
      </c>
      <c r="AC13" s="66" t="s">
        <v>42</v>
      </c>
      <c r="AD13" s="66"/>
      <c r="AE13" s="69">
        <v>1807</v>
      </c>
      <c r="AF13" s="70"/>
      <c r="AG13" s="66" t="s">
        <v>211</v>
      </c>
    </row>
    <row r="14" spans="1:34" x14ac:dyDescent="0.25">
      <c r="A14" s="66" t="s">
        <v>179</v>
      </c>
      <c r="B14" s="66">
        <v>901541137</v>
      </c>
      <c r="C14" s="66">
        <v>138702</v>
      </c>
      <c r="D14" s="67">
        <v>45931.602164351854</v>
      </c>
      <c r="E14" s="68">
        <v>2025</v>
      </c>
      <c r="F14" s="66">
        <v>10</v>
      </c>
      <c r="G14" s="66" t="s">
        <v>47</v>
      </c>
      <c r="H14" s="66" t="s">
        <v>47</v>
      </c>
      <c r="I14" s="66" t="s">
        <v>180</v>
      </c>
      <c r="J14" s="67">
        <v>45929</v>
      </c>
      <c r="K14" s="66"/>
      <c r="L14" s="66"/>
      <c r="M14" s="66"/>
      <c r="N14" s="66"/>
      <c r="O14" s="66"/>
      <c r="P14" s="66" t="s">
        <v>181</v>
      </c>
      <c r="Q14" s="66" t="s">
        <v>182</v>
      </c>
      <c r="R14" s="66" t="s">
        <v>183</v>
      </c>
      <c r="S14" s="66"/>
      <c r="T14" s="66"/>
      <c r="U14" s="69">
        <v>5773764</v>
      </c>
      <c r="V14" s="69">
        <v>5773764</v>
      </c>
      <c r="W14" s="67">
        <v>45902.860752314817</v>
      </c>
      <c r="X14" s="66"/>
      <c r="Y14" s="66" t="s">
        <v>183</v>
      </c>
      <c r="Z14" s="66" t="s">
        <v>184</v>
      </c>
      <c r="AA14" s="66" t="s">
        <v>212</v>
      </c>
      <c r="AB14" s="66" t="s">
        <v>213</v>
      </c>
      <c r="AC14" s="66" t="s">
        <v>42</v>
      </c>
      <c r="AD14" s="66"/>
      <c r="AE14" s="69">
        <v>77820</v>
      </c>
      <c r="AF14" s="70"/>
      <c r="AG14" s="66" t="s">
        <v>214</v>
      </c>
    </row>
    <row r="15" spans="1:34" x14ac:dyDescent="0.25">
      <c r="A15" s="66" t="s">
        <v>179</v>
      </c>
      <c r="B15" s="66">
        <v>901541137</v>
      </c>
      <c r="C15" s="66">
        <v>138702</v>
      </c>
      <c r="D15" s="67">
        <v>45931.602164351854</v>
      </c>
      <c r="E15" s="68">
        <v>2025</v>
      </c>
      <c r="F15" s="66">
        <v>10</v>
      </c>
      <c r="G15" s="66" t="s">
        <v>47</v>
      </c>
      <c r="H15" s="66" t="s">
        <v>47</v>
      </c>
      <c r="I15" s="66" t="s">
        <v>180</v>
      </c>
      <c r="J15" s="67">
        <v>45929</v>
      </c>
      <c r="K15" s="66"/>
      <c r="L15" s="66"/>
      <c r="M15" s="66"/>
      <c r="N15" s="66"/>
      <c r="O15" s="66"/>
      <c r="P15" s="66" t="s">
        <v>181</v>
      </c>
      <c r="Q15" s="66" t="s">
        <v>182</v>
      </c>
      <c r="R15" s="66" t="s">
        <v>183</v>
      </c>
      <c r="S15" s="66"/>
      <c r="T15" s="66"/>
      <c r="U15" s="69">
        <v>5773764</v>
      </c>
      <c r="V15" s="69">
        <v>5773764</v>
      </c>
      <c r="W15" s="67">
        <v>45902.860752314817</v>
      </c>
      <c r="X15" s="66"/>
      <c r="Y15" s="66" t="s">
        <v>183</v>
      </c>
      <c r="Z15" s="66" t="s">
        <v>184</v>
      </c>
      <c r="AA15" s="66" t="s">
        <v>215</v>
      </c>
      <c r="AB15" s="66" t="s">
        <v>216</v>
      </c>
      <c r="AC15" s="66" t="s">
        <v>42</v>
      </c>
      <c r="AD15" s="66"/>
      <c r="AE15" s="69">
        <v>625</v>
      </c>
      <c r="AF15" s="70"/>
      <c r="AG15" s="66" t="s">
        <v>217</v>
      </c>
    </row>
    <row r="16" spans="1:34" x14ac:dyDescent="0.25">
      <c r="A16" s="66" t="s">
        <v>179</v>
      </c>
      <c r="B16" s="66">
        <v>901541137</v>
      </c>
      <c r="C16" s="66">
        <v>138705</v>
      </c>
      <c r="D16" s="67">
        <v>45931.683344907404</v>
      </c>
      <c r="E16" s="68">
        <v>2025</v>
      </c>
      <c r="F16" s="66">
        <v>10</v>
      </c>
      <c r="G16" s="66" t="s">
        <v>48</v>
      </c>
      <c r="H16" s="66" t="s">
        <v>48</v>
      </c>
      <c r="I16" s="66" t="s">
        <v>180</v>
      </c>
      <c r="J16" s="67">
        <v>45929</v>
      </c>
      <c r="K16" s="66"/>
      <c r="L16" s="66"/>
      <c r="M16" s="66"/>
      <c r="N16" s="66"/>
      <c r="O16" s="66"/>
      <c r="P16" s="66" t="s">
        <v>181</v>
      </c>
      <c r="Q16" s="66" t="s">
        <v>182</v>
      </c>
      <c r="R16" s="66" t="s">
        <v>183</v>
      </c>
      <c r="S16" s="66"/>
      <c r="T16" s="66"/>
      <c r="U16" s="69">
        <v>6404609</v>
      </c>
      <c r="V16" s="69">
        <v>6404609</v>
      </c>
      <c r="W16" s="67">
        <v>45904.182256944441</v>
      </c>
      <c r="X16" s="66"/>
      <c r="Y16" s="66" t="s">
        <v>183</v>
      </c>
      <c r="Z16" s="66" t="s">
        <v>184</v>
      </c>
      <c r="AA16" s="66" t="s">
        <v>208</v>
      </c>
      <c r="AB16" s="66" t="s">
        <v>209</v>
      </c>
      <c r="AC16" s="66" t="s">
        <v>42</v>
      </c>
      <c r="AD16" s="66"/>
      <c r="AE16" s="69">
        <v>267680</v>
      </c>
      <c r="AF16" s="70"/>
      <c r="AG16" s="66" t="s">
        <v>210</v>
      </c>
    </row>
    <row r="17" spans="1:33" x14ac:dyDescent="0.25">
      <c r="A17" s="66" t="s">
        <v>179</v>
      </c>
      <c r="B17" s="66">
        <v>901541137</v>
      </c>
      <c r="C17" s="66">
        <v>138705</v>
      </c>
      <c r="D17" s="67">
        <v>45931.683344907404</v>
      </c>
      <c r="E17" s="68">
        <v>2025</v>
      </c>
      <c r="F17" s="66">
        <v>10</v>
      </c>
      <c r="G17" s="66" t="s">
        <v>48</v>
      </c>
      <c r="H17" s="66" t="s">
        <v>48</v>
      </c>
      <c r="I17" s="66" t="s">
        <v>180</v>
      </c>
      <c r="J17" s="67">
        <v>45929</v>
      </c>
      <c r="K17" s="66"/>
      <c r="L17" s="66"/>
      <c r="M17" s="66"/>
      <c r="N17" s="66"/>
      <c r="O17" s="66"/>
      <c r="P17" s="66" t="s">
        <v>181</v>
      </c>
      <c r="Q17" s="66" t="s">
        <v>182</v>
      </c>
      <c r="R17" s="66" t="s">
        <v>183</v>
      </c>
      <c r="S17" s="66"/>
      <c r="T17" s="66"/>
      <c r="U17" s="69">
        <v>6404609</v>
      </c>
      <c r="V17" s="69">
        <v>6404609</v>
      </c>
      <c r="W17" s="67">
        <v>45904.182256944441</v>
      </c>
      <c r="X17" s="66"/>
      <c r="Y17" s="66" t="s">
        <v>183</v>
      </c>
      <c r="Z17" s="66" t="s">
        <v>184</v>
      </c>
      <c r="AA17" s="66" t="s">
        <v>185</v>
      </c>
      <c r="AB17" s="66" t="s">
        <v>186</v>
      </c>
      <c r="AC17" s="66" t="s">
        <v>42</v>
      </c>
      <c r="AD17" s="66"/>
      <c r="AE17" s="69">
        <v>5331</v>
      </c>
      <c r="AF17" s="70"/>
      <c r="AG17" s="66" t="s">
        <v>218</v>
      </c>
    </row>
    <row r="18" spans="1:33" x14ac:dyDescent="0.25">
      <c r="A18" s="66" t="s">
        <v>179</v>
      </c>
      <c r="B18" s="66">
        <v>901541137</v>
      </c>
      <c r="C18" s="66">
        <v>138705</v>
      </c>
      <c r="D18" s="67">
        <v>45931.683344907404</v>
      </c>
      <c r="E18" s="68">
        <v>2025</v>
      </c>
      <c r="F18" s="66">
        <v>10</v>
      </c>
      <c r="G18" s="66" t="s">
        <v>48</v>
      </c>
      <c r="H18" s="66" t="s">
        <v>48</v>
      </c>
      <c r="I18" s="66" t="s">
        <v>180</v>
      </c>
      <c r="J18" s="67">
        <v>45929</v>
      </c>
      <c r="K18" s="66"/>
      <c r="L18" s="66"/>
      <c r="M18" s="66"/>
      <c r="N18" s="66"/>
      <c r="O18" s="66"/>
      <c r="P18" s="66" t="s">
        <v>181</v>
      </c>
      <c r="Q18" s="66" t="s">
        <v>182</v>
      </c>
      <c r="R18" s="66" t="s">
        <v>183</v>
      </c>
      <c r="S18" s="66"/>
      <c r="T18" s="66"/>
      <c r="U18" s="69">
        <v>6404609</v>
      </c>
      <c r="V18" s="69">
        <v>6404609</v>
      </c>
      <c r="W18" s="67">
        <v>45904.182256944441</v>
      </c>
      <c r="X18" s="66"/>
      <c r="Y18" s="66" t="s">
        <v>183</v>
      </c>
      <c r="Z18" s="66" t="s">
        <v>184</v>
      </c>
      <c r="AA18" s="66" t="s">
        <v>212</v>
      </c>
      <c r="AB18" s="66" t="s">
        <v>213</v>
      </c>
      <c r="AC18" s="66" t="s">
        <v>42</v>
      </c>
      <c r="AD18" s="66"/>
      <c r="AE18" s="69">
        <v>9232</v>
      </c>
      <c r="AF18" s="70"/>
      <c r="AG18" s="66" t="s">
        <v>219</v>
      </c>
    </row>
    <row r="19" spans="1:33" x14ac:dyDescent="0.25">
      <c r="A19" s="66" t="s">
        <v>179</v>
      </c>
      <c r="B19" s="66">
        <v>901541137</v>
      </c>
      <c r="C19" s="66">
        <v>138705</v>
      </c>
      <c r="D19" s="67">
        <v>45931.683344907404</v>
      </c>
      <c r="E19" s="68">
        <v>2025</v>
      </c>
      <c r="F19" s="66">
        <v>10</v>
      </c>
      <c r="G19" s="66" t="s">
        <v>48</v>
      </c>
      <c r="H19" s="66" t="s">
        <v>48</v>
      </c>
      <c r="I19" s="66" t="s">
        <v>180</v>
      </c>
      <c r="J19" s="67">
        <v>45929</v>
      </c>
      <c r="K19" s="66"/>
      <c r="L19" s="66"/>
      <c r="M19" s="66"/>
      <c r="N19" s="66"/>
      <c r="O19" s="66"/>
      <c r="P19" s="66" t="s">
        <v>181</v>
      </c>
      <c r="Q19" s="66" t="s">
        <v>182</v>
      </c>
      <c r="R19" s="66" t="s">
        <v>183</v>
      </c>
      <c r="S19" s="66"/>
      <c r="T19" s="66"/>
      <c r="U19" s="69">
        <v>6404609</v>
      </c>
      <c r="V19" s="69">
        <v>6404609</v>
      </c>
      <c r="W19" s="67">
        <v>45904.182256944441</v>
      </c>
      <c r="X19" s="66"/>
      <c r="Y19" s="66" t="s">
        <v>183</v>
      </c>
      <c r="Z19" s="66" t="s">
        <v>184</v>
      </c>
      <c r="AA19" s="66" t="s">
        <v>215</v>
      </c>
      <c r="AB19" s="66" t="s">
        <v>216</v>
      </c>
      <c r="AC19" s="66" t="s">
        <v>42</v>
      </c>
      <c r="AD19" s="66"/>
      <c r="AE19" s="69">
        <v>125</v>
      </c>
      <c r="AF19" s="70"/>
      <c r="AG19" s="66" t="s">
        <v>217</v>
      </c>
    </row>
    <row r="20" spans="1:33" x14ac:dyDescent="0.25">
      <c r="A20" s="66" t="s">
        <v>179</v>
      </c>
      <c r="B20" s="66">
        <v>901541137</v>
      </c>
      <c r="C20" s="66">
        <v>142351</v>
      </c>
      <c r="D20" s="67">
        <v>45959.667164351849</v>
      </c>
      <c r="E20" s="68">
        <v>2025</v>
      </c>
      <c r="F20" s="66">
        <v>10</v>
      </c>
      <c r="G20" s="66" t="s">
        <v>71</v>
      </c>
      <c r="H20" s="66" t="s">
        <v>71</v>
      </c>
      <c r="I20" s="66" t="s">
        <v>193</v>
      </c>
      <c r="J20" s="67">
        <v>45950</v>
      </c>
      <c r="K20" s="66"/>
      <c r="L20" s="66"/>
      <c r="M20" s="66"/>
      <c r="N20" s="66"/>
      <c r="O20" s="66"/>
      <c r="P20" s="66" t="s">
        <v>188</v>
      </c>
      <c r="Q20" s="66" t="s">
        <v>182</v>
      </c>
      <c r="R20" s="66" t="s">
        <v>183</v>
      </c>
      <c r="S20" s="66"/>
      <c r="T20" s="66"/>
      <c r="U20" s="69">
        <v>2518999</v>
      </c>
      <c r="V20" s="69">
        <v>2518999</v>
      </c>
      <c r="W20" s="67">
        <v>45912.3669212963</v>
      </c>
      <c r="X20" s="66"/>
      <c r="Y20" s="66" t="s">
        <v>183</v>
      </c>
      <c r="Z20" s="66" t="s">
        <v>184</v>
      </c>
      <c r="AA20" s="66" t="s">
        <v>194</v>
      </c>
      <c r="AB20" s="66" t="s">
        <v>195</v>
      </c>
      <c r="AC20" s="66" t="s">
        <v>42</v>
      </c>
      <c r="AD20" s="66"/>
      <c r="AE20" s="69">
        <v>1195740</v>
      </c>
      <c r="AF20" s="70"/>
      <c r="AG20" s="66" t="s">
        <v>220</v>
      </c>
    </row>
    <row r="21" spans="1:33" x14ac:dyDescent="0.25">
      <c r="A21" s="66" t="s">
        <v>179</v>
      </c>
      <c r="B21" s="66">
        <v>901541137</v>
      </c>
      <c r="C21" s="66">
        <v>139407</v>
      </c>
      <c r="D21" s="67">
        <v>45933.443043981482</v>
      </c>
      <c r="E21" s="68">
        <v>2025</v>
      </c>
      <c r="F21" s="66">
        <v>10</v>
      </c>
      <c r="G21" s="66" t="s">
        <v>55</v>
      </c>
      <c r="H21" s="66" t="s">
        <v>55</v>
      </c>
      <c r="I21" s="66" t="s">
        <v>180</v>
      </c>
      <c r="J21" s="67">
        <v>45933</v>
      </c>
      <c r="K21" s="66"/>
      <c r="L21" s="66"/>
      <c r="M21" s="66"/>
      <c r="N21" s="66"/>
      <c r="O21" s="66"/>
      <c r="P21" s="66" t="s">
        <v>181</v>
      </c>
      <c r="Q21" s="66" t="s">
        <v>182</v>
      </c>
      <c r="R21" s="66" t="s">
        <v>183</v>
      </c>
      <c r="S21" s="66"/>
      <c r="T21" s="66"/>
      <c r="U21" s="69">
        <v>11426409</v>
      </c>
      <c r="V21" s="69">
        <v>11426409</v>
      </c>
      <c r="W21" s="67">
        <v>45901.451539351852</v>
      </c>
      <c r="X21" s="66"/>
      <c r="Y21" s="66" t="s">
        <v>183</v>
      </c>
      <c r="Z21" s="66" t="s">
        <v>184</v>
      </c>
      <c r="AA21" s="66" t="s">
        <v>221</v>
      </c>
      <c r="AB21" s="66" t="s">
        <v>222</v>
      </c>
      <c r="AC21" s="66" t="s">
        <v>42</v>
      </c>
      <c r="AD21" s="66"/>
      <c r="AE21" s="69">
        <v>1776240</v>
      </c>
      <c r="AF21" s="70"/>
      <c r="AG21" s="66" t="s">
        <v>223</v>
      </c>
    </row>
    <row r="22" spans="1:33" x14ac:dyDescent="0.25">
      <c r="A22" s="66" t="s">
        <v>179</v>
      </c>
      <c r="B22" s="66">
        <v>901541137</v>
      </c>
      <c r="C22" s="66">
        <v>139416</v>
      </c>
      <c r="D22" s="67">
        <v>45933.44730324074</v>
      </c>
      <c r="E22" s="68">
        <v>2025</v>
      </c>
      <c r="F22" s="66">
        <v>10</v>
      </c>
      <c r="G22" s="66" t="s">
        <v>57</v>
      </c>
      <c r="H22" s="66" t="s">
        <v>57</v>
      </c>
      <c r="I22" s="66" t="s">
        <v>197</v>
      </c>
      <c r="J22" s="67">
        <v>45933</v>
      </c>
      <c r="K22" s="66"/>
      <c r="L22" s="66"/>
      <c r="M22" s="66"/>
      <c r="N22" s="66"/>
      <c r="O22" s="66"/>
      <c r="P22" s="66" t="s">
        <v>181</v>
      </c>
      <c r="Q22" s="66" t="s">
        <v>182</v>
      </c>
      <c r="R22" s="66" t="s">
        <v>189</v>
      </c>
      <c r="S22" s="66"/>
      <c r="T22" s="66"/>
      <c r="U22" s="69">
        <v>15835799</v>
      </c>
      <c r="V22" s="69">
        <v>16632959</v>
      </c>
      <c r="W22" s="67">
        <v>45909.489386574074</v>
      </c>
      <c r="X22" s="66"/>
      <c r="Y22" s="66" t="s">
        <v>189</v>
      </c>
      <c r="Z22" s="66" t="s">
        <v>184</v>
      </c>
      <c r="AA22" s="66" t="s">
        <v>224</v>
      </c>
      <c r="AB22" s="66" t="s">
        <v>225</v>
      </c>
      <c r="AC22" s="66" t="s">
        <v>42</v>
      </c>
      <c r="AD22" s="66"/>
      <c r="AE22" s="69">
        <v>640800</v>
      </c>
      <c r="AF22" s="70"/>
      <c r="AG22" s="66" t="s">
        <v>226</v>
      </c>
    </row>
    <row r="23" spans="1:33" x14ac:dyDescent="0.25">
      <c r="A23" s="66" t="s">
        <v>179</v>
      </c>
      <c r="B23" s="66">
        <v>901541137</v>
      </c>
      <c r="C23" s="66">
        <v>139416</v>
      </c>
      <c r="D23" s="67">
        <v>45933.44730324074</v>
      </c>
      <c r="E23" s="68">
        <v>2025</v>
      </c>
      <c r="F23" s="66">
        <v>10</v>
      </c>
      <c r="G23" s="66" t="s">
        <v>57</v>
      </c>
      <c r="H23" s="66" t="s">
        <v>57</v>
      </c>
      <c r="I23" s="66" t="s">
        <v>197</v>
      </c>
      <c r="J23" s="67">
        <v>45933</v>
      </c>
      <c r="K23" s="66"/>
      <c r="L23" s="66"/>
      <c r="M23" s="66"/>
      <c r="N23" s="66"/>
      <c r="O23" s="66"/>
      <c r="P23" s="66" t="s">
        <v>181</v>
      </c>
      <c r="Q23" s="66" t="s">
        <v>182</v>
      </c>
      <c r="R23" s="66" t="s">
        <v>189</v>
      </c>
      <c r="S23" s="66"/>
      <c r="T23" s="66"/>
      <c r="U23" s="69">
        <v>15835799</v>
      </c>
      <c r="V23" s="69">
        <v>16632959</v>
      </c>
      <c r="W23" s="67">
        <v>45909.489386574074</v>
      </c>
      <c r="X23" s="66"/>
      <c r="Y23" s="66" t="s">
        <v>189</v>
      </c>
      <c r="Z23" s="66" t="s">
        <v>184</v>
      </c>
      <c r="AA23" s="66" t="s">
        <v>227</v>
      </c>
      <c r="AB23" s="66" t="s">
        <v>228</v>
      </c>
      <c r="AC23" s="66" t="s">
        <v>42</v>
      </c>
      <c r="AD23" s="66"/>
      <c r="AE23" s="69">
        <v>1850200</v>
      </c>
      <c r="AF23" s="70"/>
      <c r="AG23" s="66" t="s">
        <v>229</v>
      </c>
    </row>
    <row r="24" spans="1:33" x14ac:dyDescent="0.25">
      <c r="A24" s="66" t="s">
        <v>179</v>
      </c>
      <c r="B24" s="66">
        <v>901541137</v>
      </c>
      <c r="C24" s="66">
        <v>139416</v>
      </c>
      <c r="D24" s="67">
        <v>45933.44730324074</v>
      </c>
      <c r="E24" s="68">
        <v>2025</v>
      </c>
      <c r="F24" s="66">
        <v>10</v>
      </c>
      <c r="G24" s="66" t="s">
        <v>57</v>
      </c>
      <c r="H24" s="66" t="s">
        <v>57</v>
      </c>
      <c r="I24" s="66" t="s">
        <v>197</v>
      </c>
      <c r="J24" s="67">
        <v>45933</v>
      </c>
      <c r="K24" s="66"/>
      <c r="L24" s="66"/>
      <c r="M24" s="66"/>
      <c r="N24" s="66"/>
      <c r="O24" s="66"/>
      <c r="P24" s="66" t="s">
        <v>181</v>
      </c>
      <c r="Q24" s="66" t="s">
        <v>182</v>
      </c>
      <c r="R24" s="66" t="s">
        <v>189</v>
      </c>
      <c r="S24" s="66"/>
      <c r="T24" s="66"/>
      <c r="U24" s="69">
        <v>15835799</v>
      </c>
      <c r="V24" s="69">
        <v>16632959</v>
      </c>
      <c r="W24" s="67">
        <v>45909.489386574074</v>
      </c>
      <c r="X24" s="66"/>
      <c r="Y24" s="66" t="s">
        <v>189</v>
      </c>
      <c r="Z24" s="66" t="s">
        <v>184</v>
      </c>
      <c r="AA24" s="66" t="s">
        <v>230</v>
      </c>
      <c r="AB24" s="66" t="s">
        <v>231</v>
      </c>
      <c r="AC24" s="66" t="s">
        <v>42</v>
      </c>
      <c r="AD24" s="66"/>
      <c r="AE24" s="69">
        <v>10300</v>
      </c>
      <c r="AF24" s="70"/>
      <c r="AG24" s="66" t="s">
        <v>232</v>
      </c>
    </row>
    <row r="25" spans="1:33" x14ac:dyDescent="0.25">
      <c r="A25" s="66" t="s">
        <v>179</v>
      </c>
      <c r="B25" s="66">
        <v>901541137</v>
      </c>
      <c r="C25" s="66">
        <v>139416</v>
      </c>
      <c r="D25" s="67">
        <v>45933.44730324074</v>
      </c>
      <c r="E25" s="68">
        <v>2025</v>
      </c>
      <c r="F25" s="66">
        <v>10</v>
      </c>
      <c r="G25" s="66" t="s">
        <v>57</v>
      </c>
      <c r="H25" s="66" t="s">
        <v>57</v>
      </c>
      <c r="I25" s="66" t="s">
        <v>197</v>
      </c>
      <c r="J25" s="67">
        <v>45933</v>
      </c>
      <c r="K25" s="66"/>
      <c r="L25" s="66"/>
      <c r="M25" s="66"/>
      <c r="N25" s="66"/>
      <c r="O25" s="66"/>
      <c r="P25" s="66" t="s">
        <v>181</v>
      </c>
      <c r="Q25" s="66" t="s">
        <v>182</v>
      </c>
      <c r="R25" s="66" t="s">
        <v>189</v>
      </c>
      <c r="S25" s="66"/>
      <c r="T25" s="66"/>
      <c r="U25" s="69">
        <v>15835799</v>
      </c>
      <c r="V25" s="69">
        <v>16632959</v>
      </c>
      <c r="W25" s="67">
        <v>45909.489386574074</v>
      </c>
      <c r="X25" s="66"/>
      <c r="Y25" s="66" t="s">
        <v>189</v>
      </c>
      <c r="Z25" s="66" t="s">
        <v>184</v>
      </c>
      <c r="AA25" s="66" t="s">
        <v>190</v>
      </c>
      <c r="AB25" s="66" t="s">
        <v>191</v>
      </c>
      <c r="AC25" s="66" t="s">
        <v>42</v>
      </c>
      <c r="AD25" s="66"/>
      <c r="AE25" s="69">
        <v>1195740</v>
      </c>
      <c r="AF25" s="70"/>
      <c r="AG25" s="66" t="s">
        <v>233</v>
      </c>
    </row>
    <row r="26" spans="1:33" x14ac:dyDescent="0.25">
      <c r="A26" s="66" t="s">
        <v>179</v>
      </c>
      <c r="B26" s="66">
        <v>901541137</v>
      </c>
      <c r="C26" s="66">
        <v>139416</v>
      </c>
      <c r="D26" s="67">
        <v>45933.44730324074</v>
      </c>
      <c r="E26" s="68">
        <v>2025</v>
      </c>
      <c r="F26" s="66">
        <v>10</v>
      </c>
      <c r="G26" s="66" t="s">
        <v>57</v>
      </c>
      <c r="H26" s="66" t="s">
        <v>57</v>
      </c>
      <c r="I26" s="66" t="s">
        <v>197</v>
      </c>
      <c r="J26" s="67">
        <v>45933</v>
      </c>
      <c r="K26" s="66"/>
      <c r="L26" s="66"/>
      <c r="M26" s="66"/>
      <c r="N26" s="66"/>
      <c r="O26" s="66"/>
      <c r="P26" s="66" t="s">
        <v>181</v>
      </c>
      <c r="Q26" s="66" t="s">
        <v>182</v>
      </c>
      <c r="R26" s="66" t="s">
        <v>189</v>
      </c>
      <c r="S26" s="66"/>
      <c r="T26" s="66"/>
      <c r="U26" s="69">
        <v>15835799</v>
      </c>
      <c r="V26" s="69">
        <v>16632959</v>
      </c>
      <c r="W26" s="67">
        <v>45909.489386574074</v>
      </c>
      <c r="X26" s="66"/>
      <c r="Y26" s="66" t="s">
        <v>189</v>
      </c>
      <c r="Z26" s="66" t="s">
        <v>184</v>
      </c>
      <c r="AA26" s="66" t="s">
        <v>234</v>
      </c>
      <c r="AB26" s="66" t="s">
        <v>235</v>
      </c>
      <c r="AC26" s="66" t="s">
        <v>42</v>
      </c>
      <c r="AD26" s="66"/>
      <c r="AE26" s="69">
        <v>585629</v>
      </c>
      <c r="AF26" s="70"/>
      <c r="AG26" s="66" t="s">
        <v>236</v>
      </c>
    </row>
    <row r="27" spans="1:33" x14ac:dyDescent="0.25">
      <c r="A27" s="66" t="s">
        <v>179</v>
      </c>
      <c r="B27" s="66">
        <v>901541137</v>
      </c>
      <c r="C27" s="66">
        <v>139521</v>
      </c>
      <c r="D27" s="67">
        <v>45937</v>
      </c>
      <c r="E27" s="68">
        <v>2025</v>
      </c>
      <c r="F27" s="66">
        <v>10</v>
      </c>
      <c r="G27" s="66" t="s">
        <v>56</v>
      </c>
      <c r="H27" s="66" t="s">
        <v>56</v>
      </c>
      <c r="I27" s="66" t="s">
        <v>197</v>
      </c>
      <c r="J27" s="67">
        <v>45937</v>
      </c>
      <c r="K27" s="66"/>
      <c r="L27" s="66"/>
      <c r="M27" s="66"/>
      <c r="N27" s="66"/>
      <c r="O27" s="66"/>
      <c r="P27" s="66" t="s">
        <v>181</v>
      </c>
      <c r="Q27" s="66" t="s">
        <v>182</v>
      </c>
      <c r="R27" s="66" t="s">
        <v>189</v>
      </c>
      <c r="S27" s="66"/>
      <c r="T27" s="66"/>
      <c r="U27" s="69">
        <v>24557345</v>
      </c>
      <c r="V27" s="69">
        <v>25481600</v>
      </c>
      <c r="W27" s="67">
        <v>45896.345347222225</v>
      </c>
      <c r="X27" s="66"/>
      <c r="Y27" s="66" t="s">
        <v>189</v>
      </c>
      <c r="Z27" s="66" t="s">
        <v>184</v>
      </c>
      <c r="AA27" s="66" t="s">
        <v>237</v>
      </c>
      <c r="AB27" s="66" t="s">
        <v>238</v>
      </c>
      <c r="AC27" s="66" t="s">
        <v>42</v>
      </c>
      <c r="AD27" s="66"/>
      <c r="AE27" s="69">
        <v>1037378</v>
      </c>
      <c r="AF27" s="70"/>
      <c r="AG27" s="66" t="s">
        <v>239</v>
      </c>
    </row>
    <row r="28" spans="1:33" x14ac:dyDescent="0.25">
      <c r="A28" s="66" t="s">
        <v>179</v>
      </c>
      <c r="B28" s="66">
        <v>901541137</v>
      </c>
      <c r="C28" s="66">
        <v>139521</v>
      </c>
      <c r="D28" s="67">
        <v>45937</v>
      </c>
      <c r="E28" s="68">
        <v>2025</v>
      </c>
      <c r="F28" s="66">
        <v>10</v>
      </c>
      <c r="G28" s="66" t="s">
        <v>56</v>
      </c>
      <c r="H28" s="66" t="s">
        <v>56</v>
      </c>
      <c r="I28" s="66" t="s">
        <v>197</v>
      </c>
      <c r="J28" s="67">
        <v>45937</v>
      </c>
      <c r="K28" s="66"/>
      <c r="L28" s="66"/>
      <c r="M28" s="66"/>
      <c r="N28" s="66"/>
      <c r="O28" s="66"/>
      <c r="P28" s="66" t="s">
        <v>181</v>
      </c>
      <c r="Q28" s="66" t="s">
        <v>182</v>
      </c>
      <c r="R28" s="66" t="s">
        <v>189</v>
      </c>
      <c r="S28" s="66"/>
      <c r="T28" s="66"/>
      <c r="U28" s="69">
        <v>24557345</v>
      </c>
      <c r="V28" s="69">
        <v>25481600</v>
      </c>
      <c r="W28" s="67">
        <v>45896.345347222225</v>
      </c>
      <c r="X28" s="66"/>
      <c r="Y28" s="66" t="s">
        <v>189</v>
      </c>
      <c r="Z28" s="66" t="s">
        <v>184</v>
      </c>
      <c r="AA28" s="66" t="s">
        <v>194</v>
      </c>
      <c r="AB28" s="66" t="s">
        <v>195</v>
      </c>
      <c r="AC28" s="66" t="s">
        <v>42</v>
      </c>
      <c r="AD28" s="66"/>
      <c r="AE28" s="69">
        <v>1358494</v>
      </c>
      <c r="AF28" s="70"/>
      <c r="AG28" s="66" t="s">
        <v>240</v>
      </c>
    </row>
    <row r="29" spans="1:33" x14ac:dyDescent="0.25">
      <c r="A29" s="66" t="s">
        <v>179</v>
      </c>
      <c r="B29" s="66">
        <v>901541137</v>
      </c>
      <c r="C29" s="66">
        <v>139521</v>
      </c>
      <c r="D29" s="67">
        <v>45937</v>
      </c>
      <c r="E29" s="68">
        <v>2025</v>
      </c>
      <c r="F29" s="66">
        <v>10</v>
      </c>
      <c r="G29" s="66" t="s">
        <v>56</v>
      </c>
      <c r="H29" s="66" t="s">
        <v>56</v>
      </c>
      <c r="I29" s="66" t="s">
        <v>197</v>
      </c>
      <c r="J29" s="67">
        <v>45937</v>
      </c>
      <c r="K29" s="66"/>
      <c r="L29" s="66"/>
      <c r="M29" s="66"/>
      <c r="N29" s="66"/>
      <c r="O29" s="66"/>
      <c r="P29" s="66" t="s">
        <v>181</v>
      </c>
      <c r="Q29" s="66" t="s">
        <v>182</v>
      </c>
      <c r="R29" s="66" t="s">
        <v>189</v>
      </c>
      <c r="S29" s="66"/>
      <c r="T29" s="66"/>
      <c r="U29" s="69">
        <v>24557345</v>
      </c>
      <c r="V29" s="69">
        <v>25481600</v>
      </c>
      <c r="W29" s="67">
        <v>45896.345347222225</v>
      </c>
      <c r="X29" s="66"/>
      <c r="Y29" s="66" t="s">
        <v>189</v>
      </c>
      <c r="Z29" s="66" t="s">
        <v>184</v>
      </c>
      <c r="AA29" s="66" t="s">
        <v>241</v>
      </c>
      <c r="AB29" s="66" t="s">
        <v>242</v>
      </c>
      <c r="AC29" s="66" t="s">
        <v>42</v>
      </c>
      <c r="AD29" s="66"/>
      <c r="AE29" s="69">
        <v>924255</v>
      </c>
      <c r="AF29" s="70"/>
      <c r="AG29" s="66" t="s">
        <v>243</v>
      </c>
    </row>
    <row r="30" spans="1:33" x14ac:dyDescent="0.25">
      <c r="A30" s="66" t="s">
        <v>179</v>
      </c>
      <c r="B30" s="66">
        <v>901541137</v>
      </c>
      <c r="C30" s="66">
        <v>139581</v>
      </c>
      <c r="D30" s="67">
        <v>45945.689131944448</v>
      </c>
      <c r="E30" s="68">
        <v>2025</v>
      </c>
      <c r="F30" s="66">
        <v>10</v>
      </c>
      <c r="G30" s="66" t="s">
        <v>45</v>
      </c>
      <c r="H30" s="66" t="s">
        <v>45</v>
      </c>
      <c r="I30" s="66" t="s">
        <v>197</v>
      </c>
      <c r="J30" s="67">
        <v>45938</v>
      </c>
      <c r="K30" s="66"/>
      <c r="L30" s="66"/>
      <c r="M30" s="66"/>
      <c r="N30" s="66"/>
      <c r="O30" s="66"/>
      <c r="P30" s="66" t="s">
        <v>188</v>
      </c>
      <c r="Q30" s="66" t="s">
        <v>182</v>
      </c>
      <c r="R30" s="66" t="s">
        <v>183</v>
      </c>
      <c r="S30" s="66"/>
      <c r="T30" s="66"/>
      <c r="U30" s="69">
        <v>4994737</v>
      </c>
      <c r="V30" s="69">
        <v>4994737</v>
      </c>
      <c r="W30" s="67">
        <v>45903.647418981483</v>
      </c>
      <c r="X30" s="66"/>
      <c r="Y30" s="66" t="s">
        <v>183</v>
      </c>
      <c r="Z30" s="66" t="s">
        <v>184</v>
      </c>
      <c r="AA30" s="66" t="s">
        <v>237</v>
      </c>
      <c r="AB30" s="66" t="s">
        <v>238</v>
      </c>
      <c r="AC30" s="66" t="s">
        <v>42</v>
      </c>
      <c r="AD30" s="66"/>
      <c r="AE30" s="69">
        <v>164858</v>
      </c>
      <c r="AF30" s="70"/>
      <c r="AG30" s="66" t="s">
        <v>244</v>
      </c>
    </row>
    <row r="31" spans="1:33" x14ac:dyDescent="0.25">
      <c r="A31" s="66" t="s">
        <v>179</v>
      </c>
      <c r="B31" s="66">
        <v>901541137</v>
      </c>
      <c r="C31" s="66">
        <v>139581</v>
      </c>
      <c r="D31" s="67">
        <v>45945.689131944448</v>
      </c>
      <c r="E31" s="68">
        <v>2025</v>
      </c>
      <c r="F31" s="66">
        <v>10</v>
      </c>
      <c r="G31" s="66" t="s">
        <v>45</v>
      </c>
      <c r="H31" s="66" t="s">
        <v>45</v>
      </c>
      <c r="I31" s="66" t="s">
        <v>197</v>
      </c>
      <c r="J31" s="67">
        <v>45938</v>
      </c>
      <c r="K31" s="66"/>
      <c r="L31" s="66"/>
      <c r="M31" s="66"/>
      <c r="N31" s="66"/>
      <c r="O31" s="66"/>
      <c r="P31" s="66" t="s">
        <v>188</v>
      </c>
      <c r="Q31" s="66" t="s">
        <v>182</v>
      </c>
      <c r="R31" s="66" t="s">
        <v>183</v>
      </c>
      <c r="S31" s="66"/>
      <c r="T31" s="66"/>
      <c r="U31" s="69">
        <v>4994737</v>
      </c>
      <c r="V31" s="69">
        <v>4994737</v>
      </c>
      <c r="W31" s="67">
        <v>45903.647418981483</v>
      </c>
      <c r="X31" s="66"/>
      <c r="Y31" s="66" t="s">
        <v>183</v>
      </c>
      <c r="Z31" s="66" t="s">
        <v>184</v>
      </c>
      <c r="AA31" s="66" t="s">
        <v>241</v>
      </c>
      <c r="AB31" s="66" t="s">
        <v>242</v>
      </c>
      <c r="AC31" s="66" t="s">
        <v>42</v>
      </c>
      <c r="AD31" s="66"/>
      <c r="AE31" s="69">
        <v>129388</v>
      </c>
      <c r="AF31" s="70"/>
      <c r="AG31" s="66" t="s">
        <v>245</v>
      </c>
    </row>
    <row r="32" spans="1:33" x14ac:dyDescent="0.25">
      <c r="A32" s="66" t="s">
        <v>179</v>
      </c>
      <c r="B32" s="66">
        <v>901541137</v>
      </c>
      <c r="C32" s="66">
        <v>139669</v>
      </c>
      <c r="D32" s="67">
        <v>45947.646215277775</v>
      </c>
      <c r="E32" s="68">
        <v>2025</v>
      </c>
      <c r="F32" s="66">
        <v>10</v>
      </c>
      <c r="G32" s="66" t="s">
        <v>46</v>
      </c>
      <c r="H32" s="66" t="s">
        <v>46</v>
      </c>
      <c r="I32" s="66" t="s">
        <v>197</v>
      </c>
      <c r="J32" s="67">
        <v>45938</v>
      </c>
      <c r="K32" s="66"/>
      <c r="L32" s="66"/>
      <c r="M32" s="66"/>
      <c r="N32" s="66"/>
      <c r="O32" s="66"/>
      <c r="P32" s="66" t="s">
        <v>188</v>
      </c>
      <c r="Q32" s="66" t="s">
        <v>182</v>
      </c>
      <c r="R32" s="66" t="s">
        <v>183</v>
      </c>
      <c r="S32" s="66"/>
      <c r="T32" s="66"/>
      <c r="U32" s="69">
        <v>1514481</v>
      </c>
      <c r="V32" s="69">
        <v>1514481</v>
      </c>
      <c r="W32" s="67">
        <v>45903.435613425929</v>
      </c>
      <c r="X32" s="66"/>
      <c r="Y32" s="66" t="s">
        <v>183</v>
      </c>
      <c r="Z32" s="66" t="s">
        <v>184</v>
      </c>
      <c r="AA32" s="66" t="s">
        <v>237</v>
      </c>
      <c r="AB32" s="66" t="s">
        <v>238</v>
      </c>
      <c r="AC32" s="66" t="s">
        <v>42</v>
      </c>
      <c r="AD32" s="66"/>
      <c r="AE32" s="69">
        <v>397693</v>
      </c>
      <c r="AF32" s="70"/>
      <c r="AG32" s="66" t="s">
        <v>246</v>
      </c>
    </row>
    <row r="33" spans="1:33" x14ac:dyDescent="0.25">
      <c r="A33" s="66" t="s">
        <v>179</v>
      </c>
      <c r="B33" s="66">
        <v>901541137</v>
      </c>
      <c r="C33" s="66">
        <v>139669</v>
      </c>
      <c r="D33" s="67">
        <v>45947.646215277775</v>
      </c>
      <c r="E33" s="68">
        <v>2025</v>
      </c>
      <c r="F33" s="66">
        <v>10</v>
      </c>
      <c r="G33" s="66" t="s">
        <v>46</v>
      </c>
      <c r="H33" s="66" t="s">
        <v>46</v>
      </c>
      <c r="I33" s="66" t="s">
        <v>197</v>
      </c>
      <c r="J33" s="67">
        <v>45938</v>
      </c>
      <c r="K33" s="66"/>
      <c r="L33" s="66"/>
      <c r="M33" s="66"/>
      <c r="N33" s="66"/>
      <c r="O33" s="66"/>
      <c r="P33" s="66" t="s">
        <v>188</v>
      </c>
      <c r="Q33" s="66" t="s">
        <v>182</v>
      </c>
      <c r="R33" s="66" t="s">
        <v>183</v>
      </c>
      <c r="S33" s="66"/>
      <c r="T33" s="66"/>
      <c r="U33" s="69">
        <v>1514481</v>
      </c>
      <c r="V33" s="69">
        <v>1514481</v>
      </c>
      <c r="W33" s="67">
        <v>45903.435613425929</v>
      </c>
      <c r="X33" s="66"/>
      <c r="Y33" s="66" t="s">
        <v>183</v>
      </c>
      <c r="Z33" s="66" t="s">
        <v>184</v>
      </c>
      <c r="AA33" s="66" t="s">
        <v>194</v>
      </c>
      <c r="AB33" s="66" t="s">
        <v>195</v>
      </c>
      <c r="AC33" s="66" t="s">
        <v>42</v>
      </c>
      <c r="AD33" s="66"/>
      <c r="AE33" s="69">
        <v>258370</v>
      </c>
      <c r="AF33" s="70"/>
      <c r="AG33" s="66" t="s">
        <v>247</v>
      </c>
    </row>
    <row r="34" spans="1:33" x14ac:dyDescent="0.25">
      <c r="A34" s="66" t="s">
        <v>179</v>
      </c>
      <c r="B34" s="66">
        <v>901541137</v>
      </c>
      <c r="C34" s="66">
        <v>139669</v>
      </c>
      <c r="D34" s="67">
        <v>45947.646215277775</v>
      </c>
      <c r="E34" s="68">
        <v>2025</v>
      </c>
      <c r="F34" s="66">
        <v>10</v>
      </c>
      <c r="G34" s="66" t="s">
        <v>46</v>
      </c>
      <c r="H34" s="66" t="s">
        <v>46</v>
      </c>
      <c r="I34" s="66" t="s">
        <v>197</v>
      </c>
      <c r="J34" s="67">
        <v>45938</v>
      </c>
      <c r="K34" s="66"/>
      <c r="L34" s="66"/>
      <c r="M34" s="66"/>
      <c r="N34" s="66"/>
      <c r="O34" s="66"/>
      <c r="P34" s="66" t="s">
        <v>188</v>
      </c>
      <c r="Q34" s="66" t="s">
        <v>182</v>
      </c>
      <c r="R34" s="66" t="s">
        <v>183</v>
      </c>
      <c r="S34" s="66"/>
      <c r="T34" s="66"/>
      <c r="U34" s="69">
        <v>1514481</v>
      </c>
      <c r="V34" s="69">
        <v>1514481</v>
      </c>
      <c r="W34" s="67">
        <v>45903.435613425929</v>
      </c>
      <c r="X34" s="66"/>
      <c r="Y34" s="66" t="s">
        <v>183</v>
      </c>
      <c r="Z34" s="66" t="s">
        <v>184</v>
      </c>
      <c r="AA34" s="66" t="s">
        <v>198</v>
      </c>
      <c r="AB34" s="66" t="s">
        <v>199</v>
      </c>
      <c r="AC34" s="66" t="s">
        <v>42</v>
      </c>
      <c r="AD34" s="66"/>
      <c r="AE34" s="69">
        <v>79407</v>
      </c>
      <c r="AF34" s="70"/>
      <c r="AG34" s="66" t="s">
        <v>248</v>
      </c>
    </row>
    <row r="35" spans="1:33" x14ac:dyDescent="0.25">
      <c r="A35" s="66" t="s">
        <v>179</v>
      </c>
      <c r="B35" s="66">
        <v>901541137</v>
      </c>
      <c r="C35" s="66">
        <v>139822</v>
      </c>
      <c r="D35" s="67">
        <v>45947.646111111113</v>
      </c>
      <c r="E35" s="68">
        <v>2025</v>
      </c>
      <c r="F35" s="66">
        <v>10</v>
      </c>
      <c r="G35" s="66" t="s">
        <v>50</v>
      </c>
      <c r="H35" s="66" t="s">
        <v>50</v>
      </c>
      <c r="I35" s="66" t="s">
        <v>197</v>
      </c>
      <c r="J35" s="67">
        <v>45938</v>
      </c>
      <c r="K35" s="66"/>
      <c r="L35" s="66"/>
      <c r="M35" s="66"/>
      <c r="N35" s="66"/>
      <c r="O35" s="66"/>
      <c r="P35" s="66" t="s">
        <v>188</v>
      </c>
      <c r="Q35" s="66" t="s">
        <v>182</v>
      </c>
      <c r="R35" s="66" t="s">
        <v>183</v>
      </c>
      <c r="S35" s="66"/>
      <c r="T35" s="66"/>
      <c r="U35" s="69">
        <v>20880710</v>
      </c>
      <c r="V35" s="69">
        <v>20880710</v>
      </c>
      <c r="W35" s="67">
        <v>45907.349675925929</v>
      </c>
      <c r="X35" s="66"/>
      <c r="Y35" s="66" t="s">
        <v>183</v>
      </c>
      <c r="Z35" s="66" t="s">
        <v>184</v>
      </c>
      <c r="AA35" s="66" t="s">
        <v>208</v>
      </c>
      <c r="AB35" s="66" t="s">
        <v>209</v>
      </c>
      <c r="AC35" s="66" t="s">
        <v>42</v>
      </c>
      <c r="AD35" s="66"/>
      <c r="AE35" s="69">
        <v>708040</v>
      </c>
      <c r="AF35" s="70"/>
      <c r="AG35" s="66" t="s">
        <v>249</v>
      </c>
    </row>
    <row r="36" spans="1:33" x14ac:dyDescent="0.25">
      <c r="A36" s="66" t="s">
        <v>179</v>
      </c>
      <c r="B36" s="66">
        <v>901541137</v>
      </c>
      <c r="C36" s="66">
        <v>139822</v>
      </c>
      <c r="D36" s="67">
        <v>45947.646111111113</v>
      </c>
      <c r="E36" s="68">
        <v>2025</v>
      </c>
      <c r="F36" s="66">
        <v>10</v>
      </c>
      <c r="G36" s="66" t="s">
        <v>50</v>
      </c>
      <c r="H36" s="66" t="s">
        <v>50</v>
      </c>
      <c r="I36" s="66" t="s">
        <v>197</v>
      </c>
      <c r="J36" s="67">
        <v>45938</v>
      </c>
      <c r="K36" s="66"/>
      <c r="L36" s="66"/>
      <c r="M36" s="66"/>
      <c r="N36" s="66"/>
      <c r="O36" s="66"/>
      <c r="P36" s="66" t="s">
        <v>188</v>
      </c>
      <c r="Q36" s="66" t="s">
        <v>182</v>
      </c>
      <c r="R36" s="66" t="s">
        <v>183</v>
      </c>
      <c r="S36" s="66"/>
      <c r="T36" s="66"/>
      <c r="U36" s="69">
        <v>20880710</v>
      </c>
      <c r="V36" s="69">
        <v>20880710</v>
      </c>
      <c r="W36" s="67">
        <v>45907.349675925929</v>
      </c>
      <c r="X36" s="66"/>
      <c r="Y36" s="66" t="s">
        <v>183</v>
      </c>
      <c r="Z36" s="66" t="s">
        <v>184</v>
      </c>
      <c r="AA36" s="66" t="s">
        <v>212</v>
      </c>
      <c r="AB36" s="66" t="s">
        <v>213</v>
      </c>
      <c r="AC36" s="66" t="s">
        <v>42</v>
      </c>
      <c r="AD36" s="66"/>
      <c r="AE36" s="69">
        <v>2213956</v>
      </c>
      <c r="AF36" s="70"/>
      <c r="AG36" s="66" t="s">
        <v>250</v>
      </c>
    </row>
    <row r="37" spans="1:33" x14ac:dyDescent="0.25">
      <c r="A37" s="66" t="s">
        <v>179</v>
      </c>
      <c r="B37" s="66">
        <v>901541137</v>
      </c>
      <c r="C37" s="66">
        <v>139822</v>
      </c>
      <c r="D37" s="67">
        <v>45947.646111111113</v>
      </c>
      <c r="E37" s="68">
        <v>2025</v>
      </c>
      <c r="F37" s="66">
        <v>10</v>
      </c>
      <c r="G37" s="66" t="s">
        <v>50</v>
      </c>
      <c r="H37" s="66" t="s">
        <v>50</v>
      </c>
      <c r="I37" s="66" t="s">
        <v>197</v>
      </c>
      <c r="J37" s="67">
        <v>45938</v>
      </c>
      <c r="K37" s="66"/>
      <c r="L37" s="66"/>
      <c r="M37" s="66"/>
      <c r="N37" s="66"/>
      <c r="O37" s="66"/>
      <c r="P37" s="66" t="s">
        <v>188</v>
      </c>
      <c r="Q37" s="66" t="s">
        <v>182</v>
      </c>
      <c r="R37" s="66" t="s">
        <v>183</v>
      </c>
      <c r="S37" s="66"/>
      <c r="T37" s="66"/>
      <c r="U37" s="69">
        <v>20880710</v>
      </c>
      <c r="V37" s="69">
        <v>20880710</v>
      </c>
      <c r="W37" s="67">
        <v>45907.349675925929</v>
      </c>
      <c r="X37" s="66"/>
      <c r="Y37" s="66" t="s">
        <v>183</v>
      </c>
      <c r="Z37" s="66" t="s">
        <v>184</v>
      </c>
      <c r="AA37" s="66" t="s">
        <v>198</v>
      </c>
      <c r="AB37" s="66" t="s">
        <v>199</v>
      </c>
      <c r="AC37" s="66" t="s">
        <v>42</v>
      </c>
      <c r="AD37" s="66"/>
      <c r="AE37" s="69">
        <v>713851</v>
      </c>
      <c r="AF37" s="70"/>
      <c r="AG37" s="66" t="s">
        <v>251</v>
      </c>
    </row>
    <row r="38" spans="1:33" x14ac:dyDescent="0.25">
      <c r="A38" s="66" t="s">
        <v>179</v>
      </c>
      <c r="B38" s="66">
        <v>901541137</v>
      </c>
      <c r="C38" s="66">
        <v>139822</v>
      </c>
      <c r="D38" s="67">
        <v>45947.646111111113</v>
      </c>
      <c r="E38" s="68">
        <v>2025</v>
      </c>
      <c r="F38" s="66">
        <v>10</v>
      </c>
      <c r="G38" s="66" t="s">
        <v>50</v>
      </c>
      <c r="H38" s="66" t="s">
        <v>50</v>
      </c>
      <c r="I38" s="66" t="s">
        <v>197</v>
      </c>
      <c r="J38" s="67">
        <v>45938</v>
      </c>
      <c r="K38" s="66"/>
      <c r="L38" s="66"/>
      <c r="M38" s="66"/>
      <c r="N38" s="66"/>
      <c r="O38" s="66"/>
      <c r="P38" s="66" t="s">
        <v>188</v>
      </c>
      <c r="Q38" s="66" t="s">
        <v>182</v>
      </c>
      <c r="R38" s="66" t="s">
        <v>183</v>
      </c>
      <c r="S38" s="66"/>
      <c r="T38" s="66"/>
      <c r="U38" s="69">
        <v>20880710</v>
      </c>
      <c r="V38" s="69">
        <v>20880710</v>
      </c>
      <c r="W38" s="67">
        <v>45907.349675925929</v>
      </c>
      <c r="X38" s="66"/>
      <c r="Y38" s="66" t="s">
        <v>183</v>
      </c>
      <c r="Z38" s="66" t="s">
        <v>184</v>
      </c>
      <c r="AA38" s="66" t="s">
        <v>252</v>
      </c>
      <c r="AB38" s="66" t="s">
        <v>253</v>
      </c>
      <c r="AC38" s="66" t="s">
        <v>42</v>
      </c>
      <c r="AD38" s="66"/>
      <c r="AE38" s="69">
        <v>660000</v>
      </c>
      <c r="AF38" s="70"/>
      <c r="AG38" s="66" t="s">
        <v>254</v>
      </c>
    </row>
    <row r="39" spans="1:33" x14ac:dyDescent="0.25">
      <c r="A39" s="66" t="s">
        <v>179</v>
      </c>
      <c r="B39" s="66">
        <v>901541137</v>
      </c>
      <c r="C39" s="66">
        <v>139823</v>
      </c>
      <c r="D39" s="67">
        <v>45938.428703703707</v>
      </c>
      <c r="E39" s="68">
        <v>2025</v>
      </c>
      <c r="F39" s="66">
        <v>10</v>
      </c>
      <c r="G39" s="66" t="s">
        <v>51</v>
      </c>
      <c r="H39" s="66" t="s">
        <v>51</v>
      </c>
      <c r="I39" s="66" t="s">
        <v>197</v>
      </c>
      <c r="J39" s="67">
        <v>45938</v>
      </c>
      <c r="K39" s="66"/>
      <c r="L39" s="66"/>
      <c r="M39" s="66"/>
      <c r="N39" s="66"/>
      <c r="O39" s="66"/>
      <c r="P39" s="66" t="s">
        <v>188</v>
      </c>
      <c r="Q39" s="66" t="s">
        <v>182</v>
      </c>
      <c r="R39" s="66" t="s">
        <v>183</v>
      </c>
      <c r="S39" s="66"/>
      <c r="T39" s="66"/>
      <c r="U39" s="69">
        <v>11020458</v>
      </c>
      <c r="V39" s="69">
        <v>11020458</v>
      </c>
      <c r="W39" s="67">
        <v>45907.512858796297</v>
      </c>
      <c r="X39" s="66"/>
      <c r="Y39" s="66" t="s">
        <v>183</v>
      </c>
      <c r="Z39" s="66" t="s">
        <v>184</v>
      </c>
      <c r="AA39" s="66" t="s">
        <v>208</v>
      </c>
      <c r="AB39" s="66" t="s">
        <v>209</v>
      </c>
      <c r="AC39" s="66" t="s">
        <v>42</v>
      </c>
      <c r="AD39" s="66"/>
      <c r="AE39" s="69">
        <v>468960</v>
      </c>
      <c r="AF39" s="70"/>
      <c r="AG39" s="66" t="s">
        <v>255</v>
      </c>
    </row>
    <row r="40" spans="1:33" x14ac:dyDescent="0.25">
      <c r="A40" s="66" t="s">
        <v>179</v>
      </c>
      <c r="B40" s="66">
        <v>901541137</v>
      </c>
      <c r="C40" s="66">
        <v>139823</v>
      </c>
      <c r="D40" s="67">
        <v>45938.428703703707</v>
      </c>
      <c r="E40" s="68">
        <v>2025</v>
      </c>
      <c r="F40" s="66">
        <v>10</v>
      </c>
      <c r="G40" s="66" t="s">
        <v>51</v>
      </c>
      <c r="H40" s="66" t="s">
        <v>51</v>
      </c>
      <c r="I40" s="66" t="s">
        <v>197</v>
      </c>
      <c r="J40" s="67">
        <v>45938</v>
      </c>
      <c r="K40" s="66"/>
      <c r="L40" s="66"/>
      <c r="M40" s="66"/>
      <c r="N40" s="66"/>
      <c r="O40" s="66"/>
      <c r="P40" s="66" t="s">
        <v>188</v>
      </c>
      <c r="Q40" s="66" t="s">
        <v>182</v>
      </c>
      <c r="R40" s="66" t="s">
        <v>183</v>
      </c>
      <c r="S40" s="66"/>
      <c r="T40" s="66"/>
      <c r="U40" s="69">
        <v>11020458</v>
      </c>
      <c r="V40" s="69">
        <v>11020458</v>
      </c>
      <c r="W40" s="67">
        <v>45907.512858796297</v>
      </c>
      <c r="X40" s="66"/>
      <c r="Y40" s="66" t="s">
        <v>183</v>
      </c>
      <c r="Z40" s="66" t="s">
        <v>184</v>
      </c>
      <c r="AA40" s="66" t="s">
        <v>212</v>
      </c>
      <c r="AB40" s="66" t="s">
        <v>213</v>
      </c>
      <c r="AC40" s="66" t="s">
        <v>42</v>
      </c>
      <c r="AD40" s="66"/>
      <c r="AE40" s="69">
        <v>262296</v>
      </c>
      <c r="AF40" s="70"/>
      <c r="AG40" s="66" t="s">
        <v>256</v>
      </c>
    </row>
    <row r="41" spans="1:33" x14ac:dyDescent="0.25">
      <c r="A41" s="66" t="s">
        <v>179</v>
      </c>
      <c r="B41" s="66">
        <v>901541137</v>
      </c>
      <c r="C41" s="66">
        <v>139823</v>
      </c>
      <c r="D41" s="67">
        <v>45938.428703703707</v>
      </c>
      <c r="E41" s="68">
        <v>2025</v>
      </c>
      <c r="F41" s="66">
        <v>10</v>
      </c>
      <c r="G41" s="66" t="s">
        <v>51</v>
      </c>
      <c r="H41" s="66" t="s">
        <v>51</v>
      </c>
      <c r="I41" s="66" t="s">
        <v>197</v>
      </c>
      <c r="J41" s="67">
        <v>45938</v>
      </c>
      <c r="K41" s="66"/>
      <c r="L41" s="66"/>
      <c r="M41" s="66"/>
      <c r="N41" s="66"/>
      <c r="O41" s="66"/>
      <c r="P41" s="66" t="s">
        <v>188</v>
      </c>
      <c r="Q41" s="66" t="s">
        <v>182</v>
      </c>
      <c r="R41" s="66" t="s">
        <v>183</v>
      </c>
      <c r="S41" s="66"/>
      <c r="T41" s="66"/>
      <c r="U41" s="69">
        <v>11020458</v>
      </c>
      <c r="V41" s="69">
        <v>11020458</v>
      </c>
      <c r="W41" s="67">
        <v>45907.512858796297</v>
      </c>
      <c r="X41" s="66"/>
      <c r="Y41" s="66" t="s">
        <v>183</v>
      </c>
      <c r="Z41" s="66" t="s">
        <v>184</v>
      </c>
      <c r="AA41" s="66" t="s">
        <v>198</v>
      </c>
      <c r="AB41" s="66" t="s">
        <v>199</v>
      </c>
      <c r="AC41" s="66" t="s">
        <v>42</v>
      </c>
      <c r="AD41" s="66"/>
      <c r="AE41" s="69">
        <v>153976</v>
      </c>
      <c r="AF41" s="70"/>
      <c r="AG41" s="66" t="s">
        <v>257</v>
      </c>
    </row>
    <row r="42" spans="1:33" x14ac:dyDescent="0.25">
      <c r="A42" s="66" t="s">
        <v>179</v>
      </c>
      <c r="B42" s="66">
        <v>901541137</v>
      </c>
      <c r="C42" s="66">
        <v>139824</v>
      </c>
      <c r="D42" s="67">
        <v>45938.430462962962</v>
      </c>
      <c r="E42" s="68">
        <v>2025</v>
      </c>
      <c r="F42" s="66">
        <v>10</v>
      </c>
      <c r="G42" s="66" t="s">
        <v>52</v>
      </c>
      <c r="H42" s="66" t="s">
        <v>52</v>
      </c>
      <c r="I42" s="66" t="s">
        <v>180</v>
      </c>
      <c r="J42" s="67">
        <v>45938</v>
      </c>
      <c r="K42" s="66"/>
      <c r="L42" s="66"/>
      <c r="M42" s="66"/>
      <c r="N42" s="66"/>
      <c r="O42" s="66"/>
      <c r="P42" s="66" t="s">
        <v>188</v>
      </c>
      <c r="Q42" s="66" t="s">
        <v>182</v>
      </c>
      <c r="R42" s="66" t="s">
        <v>183</v>
      </c>
      <c r="S42" s="66"/>
      <c r="T42" s="66"/>
      <c r="U42" s="69">
        <v>20079205</v>
      </c>
      <c r="V42" s="69">
        <v>20079205</v>
      </c>
      <c r="W42" s="67">
        <v>45909.308125000003</v>
      </c>
      <c r="X42" s="66"/>
      <c r="Y42" s="66" t="s">
        <v>183</v>
      </c>
      <c r="Z42" s="66" t="s">
        <v>184</v>
      </c>
      <c r="AA42" s="66" t="s">
        <v>208</v>
      </c>
      <c r="AB42" s="66" t="s">
        <v>209</v>
      </c>
      <c r="AC42" s="66" t="s">
        <v>42</v>
      </c>
      <c r="AD42" s="66"/>
      <c r="AE42" s="69">
        <v>650731</v>
      </c>
      <c r="AF42" s="70"/>
      <c r="AG42" s="66" t="s">
        <v>258</v>
      </c>
    </row>
    <row r="43" spans="1:33" x14ac:dyDescent="0.25">
      <c r="A43" s="66" t="s">
        <v>179</v>
      </c>
      <c r="B43" s="66">
        <v>901541137</v>
      </c>
      <c r="C43" s="66">
        <v>139824</v>
      </c>
      <c r="D43" s="67">
        <v>45938.430462962962</v>
      </c>
      <c r="E43" s="68">
        <v>2025</v>
      </c>
      <c r="F43" s="66">
        <v>10</v>
      </c>
      <c r="G43" s="66" t="s">
        <v>52</v>
      </c>
      <c r="H43" s="66" t="s">
        <v>52</v>
      </c>
      <c r="I43" s="66" t="s">
        <v>180</v>
      </c>
      <c r="J43" s="67">
        <v>45938</v>
      </c>
      <c r="K43" s="66"/>
      <c r="L43" s="66"/>
      <c r="M43" s="66"/>
      <c r="N43" s="66"/>
      <c r="O43" s="66"/>
      <c r="P43" s="66" t="s">
        <v>188</v>
      </c>
      <c r="Q43" s="66" t="s">
        <v>182</v>
      </c>
      <c r="R43" s="66" t="s">
        <v>183</v>
      </c>
      <c r="S43" s="66"/>
      <c r="T43" s="66"/>
      <c r="U43" s="69">
        <v>20079205</v>
      </c>
      <c r="V43" s="69">
        <v>20079205</v>
      </c>
      <c r="W43" s="67">
        <v>45909.308125000003</v>
      </c>
      <c r="X43" s="66"/>
      <c r="Y43" s="66" t="s">
        <v>183</v>
      </c>
      <c r="Z43" s="66" t="s">
        <v>184</v>
      </c>
      <c r="AA43" s="66" t="s">
        <v>212</v>
      </c>
      <c r="AB43" s="66" t="s">
        <v>213</v>
      </c>
      <c r="AC43" s="66" t="s">
        <v>42</v>
      </c>
      <c r="AD43" s="66"/>
      <c r="AE43" s="69">
        <v>173545</v>
      </c>
      <c r="AF43" s="70"/>
      <c r="AG43" s="66" t="s">
        <v>259</v>
      </c>
    </row>
    <row r="44" spans="1:33" x14ac:dyDescent="0.25">
      <c r="A44" s="66" t="s">
        <v>179</v>
      </c>
      <c r="B44" s="66">
        <v>901541137</v>
      </c>
      <c r="C44" s="66">
        <v>139825</v>
      </c>
      <c r="D44" s="67">
        <v>45938.432233796295</v>
      </c>
      <c r="E44" s="68">
        <v>2025</v>
      </c>
      <c r="F44" s="66">
        <v>10</v>
      </c>
      <c r="G44" s="66" t="s">
        <v>60</v>
      </c>
      <c r="H44" s="66" t="s">
        <v>60</v>
      </c>
      <c r="I44" s="66" t="s">
        <v>180</v>
      </c>
      <c r="J44" s="67">
        <v>45938</v>
      </c>
      <c r="K44" s="66"/>
      <c r="L44" s="66"/>
      <c r="M44" s="66"/>
      <c r="N44" s="66"/>
      <c r="O44" s="66"/>
      <c r="P44" s="66" t="s">
        <v>188</v>
      </c>
      <c r="Q44" s="66" t="s">
        <v>182</v>
      </c>
      <c r="R44" s="66" t="s">
        <v>183</v>
      </c>
      <c r="S44" s="66"/>
      <c r="T44" s="66"/>
      <c r="U44" s="69">
        <v>6637772</v>
      </c>
      <c r="V44" s="69">
        <v>6637772</v>
      </c>
      <c r="W44" s="67">
        <v>45911.353946759256</v>
      </c>
      <c r="X44" s="66"/>
      <c r="Y44" s="66" t="s">
        <v>183</v>
      </c>
      <c r="Z44" s="66" t="s">
        <v>184</v>
      </c>
      <c r="AA44" s="66" t="s">
        <v>260</v>
      </c>
      <c r="AB44" s="66" t="s">
        <v>261</v>
      </c>
      <c r="AC44" s="66" t="s">
        <v>42</v>
      </c>
      <c r="AD44" s="66"/>
      <c r="AE44" s="69">
        <v>216048</v>
      </c>
      <c r="AF44" s="70"/>
      <c r="AG44" s="66" t="s">
        <v>262</v>
      </c>
    </row>
    <row r="45" spans="1:33" x14ac:dyDescent="0.25">
      <c r="A45" s="66" t="s">
        <v>179</v>
      </c>
      <c r="B45" s="66">
        <v>901541137</v>
      </c>
      <c r="C45" s="66">
        <v>139849</v>
      </c>
      <c r="D45" s="67">
        <v>45944.580763888887</v>
      </c>
      <c r="E45" s="68">
        <v>2025</v>
      </c>
      <c r="F45" s="66">
        <v>10</v>
      </c>
      <c r="G45" s="66" t="s">
        <v>59</v>
      </c>
      <c r="H45" s="66" t="s">
        <v>59</v>
      </c>
      <c r="I45" s="66" t="s">
        <v>180</v>
      </c>
      <c r="J45" s="67">
        <v>45944</v>
      </c>
      <c r="K45" s="66"/>
      <c r="L45" s="66"/>
      <c r="M45" s="66"/>
      <c r="N45" s="66"/>
      <c r="O45" s="66"/>
      <c r="P45" s="66" t="s">
        <v>188</v>
      </c>
      <c r="Q45" s="66" t="s">
        <v>182</v>
      </c>
      <c r="R45" s="66" t="s">
        <v>183</v>
      </c>
      <c r="S45" s="66"/>
      <c r="T45" s="66"/>
      <c r="U45" s="69">
        <v>32396282</v>
      </c>
      <c r="V45" s="69">
        <v>32396282</v>
      </c>
      <c r="W45" s="67">
        <v>45910.434305555558</v>
      </c>
      <c r="X45" s="66"/>
      <c r="Y45" s="66" t="s">
        <v>183</v>
      </c>
      <c r="Z45" s="66" t="s">
        <v>184</v>
      </c>
      <c r="AA45" s="66" t="s">
        <v>227</v>
      </c>
      <c r="AB45" s="66" t="s">
        <v>228</v>
      </c>
      <c r="AC45" s="66" t="s">
        <v>42</v>
      </c>
      <c r="AD45" s="66"/>
      <c r="AE45" s="69">
        <v>10903900</v>
      </c>
      <c r="AF45" s="70"/>
      <c r="AG45" s="66" t="s">
        <v>263</v>
      </c>
    </row>
    <row r="46" spans="1:33" x14ac:dyDescent="0.25">
      <c r="A46" s="66" t="s">
        <v>179</v>
      </c>
      <c r="B46" s="66">
        <v>901541137</v>
      </c>
      <c r="C46" s="66">
        <v>139849</v>
      </c>
      <c r="D46" s="67">
        <v>45944.580763888887</v>
      </c>
      <c r="E46" s="68">
        <v>2025</v>
      </c>
      <c r="F46" s="66">
        <v>10</v>
      </c>
      <c r="G46" s="66" t="s">
        <v>59</v>
      </c>
      <c r="H46" s="66" t="s">
        <v>59</v>
      </c>
      <c r="I46" s="66" t="s">
        <v>180</v>
      </c>
      <c r="J46" s="67">
        <v>45944</v>
      </c>
      <c r="K46" s="66"/>
      <c r="L46" s="66"/>
      <c r="M46" s="66"/>
      <c r="N46" s="66"/>
      <c r="O46" s="66"/>
      <c r="P46" s="66" t="s">
        <v>188</v>
      </c>
      <c r="Q46" s="66" t="s">
        <v>182</v>
      </c>
      <c r="R46" s="66" t="s">
        <v>183</v>
      </c>
      <c r="S46" s="66"/>
      <c r="T46" s="66"/>
      <c r="U46" s="69">
        <v>32396282</v>
      </c>
      <c r="V46" s="69">
        <v>32396282</v>
      </c>
      <c r="W46" s="67">
        <v>45910.434305555558</v>
      </c>
      <c r="X46" s="66"/>
      <c r="Y46" s="66" t="s">
        <v>183</v>
      </c>
      <c r="Z46" s="66" t="s">
        <v>184</v>
      </c>
      <c r="AA46" s="66" t="s">
        <v>215</v>
      </c>
      <c r="AB46" s="66" t="s">
        <v>216</v>
      </c>
      <c r="AC46" s="66" t="s">
        <v>42</v>
      </c>
      <c r="AD46" s="66"/>
      <c r="AE46" s="69">
        <v>3323567</v>
      </c>
      <c r="AF46" s="70"/>
      <c r="AG46" s="66" t="s">
        <v>264</v>
      </c>
    </row>
    <row r="47" spans="1:33" x14ac:dyDescent="0.25">
      <c r="A47" s="66" t="s">
        <v>179</v>
      </c>
      <c r="B47" s="66">
        <v>901541137</v>
      </c>
      <c r="C47" s="66">
        <v>140237</v>
      </c>
      <c r="D47" s="67">
        <v>45946.596180555556</v>
      </c>
      <c r="E47" s="68">
        <v>2025</v>
      </c>
      <c r="F47" s="66">
        <v>10</v>
      </c>
      <c r="G47" s="66" t="s">
        <v>63</v>
      </c>
      <c r="H47" s="66" t="s">
        <v>63</v>
      </c>
      <c r="I47" s="66" t="s">
        <v>180</v>
      </c>
      <c r="J47" s="67">
        <v>45946</v>
      </c>
      <c r="K47" s="66"/>
      <c r="L47" s="66"/>
      <c r="M47" s="66"/>
      <c r="N47" s="66"/>
      <c r="O47" s="66"/>
      <c r="P47" s="66" t="s">
        <v>188</v>
      </c>
      <c r="Q47" s="66" t="s">
        <v>182</v>
      </c>
      <c r="R47" s="66" t="s">
        <v>183</v>
      </c>
      <c r="S47" s="66"/>
      <c r="T47" s="66"/>
      <c r="U47" s="69">
        <v>22175283</v>
      </c>
      <c r="V47" s="69">
        <v>22175283</v>
      </c>
      <c r="W47" s="67">
        <v>45917.691782407404</v>
      </c>
      <c r="X47" s="66"/>
      <c r="Y47" s="66" t="s">
        <v>183</v>
      </c>
      <c r="Z47" s="66" t="s">
        <v>184</v>
      </c>
      <c r="AA47" s="66" t="s">
        <v>227</v>
      </c>
      <c r="AB47" s="66" t="s">
        <v>228</v>
      </c>
      <c r="AC47" s="66" t="s">
        <v>42</v>
      </c>
      <c r="AD47" s="66"/>
      <c r="AE47" s="69">
        <v>2867499</v>
      </c>
      <c r="AF47" s="70"/>
      <c r="AG47" s="66" t="s">
        <v>265</v>
      </c>
    </row>
    <row r="48" spans="1:33" x14ac:dyDescent="0.25">
      <c r="A48" s="66" t="s">
        <v>179</v>
      </c>
      <c r="B48" s="66">
        <v>901541137</v>
      </c>
      <c r="C48" s="66">
        <v>140237</v>
      </c>
      <c r="D48" s="67">
        <v>45946.596180555556</v>
      </c>
      <c r="E48" s="68">
        <v>2025</v>
      </c>
      <c r="F48" s="66">
        <v>10</v>
      </c>
      <c r="G48" s="66" t="s">
        <v>63</v>
      </c>
      <c r="H48" s="66" t="s">
        <v>63</v>
      </c>
      <c r="I48" s="66" t="s">
        <v>180</v>
      </c>
      <c r="J48" s="67">
        <v>45946</v>
      </c>
      <c r="K48" s="66"/>
      <c r="L48" s="66"/>
      <c r="M48" s="66"/>
      <c r="N48" s="66"/>
      <c r="O48" s="66"/>
      <c r="P48" s="66" t="s">
        <v>188</v>
      </c>
      <c r="Q48" s="66" t="s">
        <v>182</v>
      </c>
      <c r="R48" s="66" t="s">
        <v>183</v>
      </c>
      <c r="S48" s="66"/>
      <c r="T48" s="66"/>
      <c r="U48" s="69">
        <v>22175283</v>
      </c>
      <c r="V48" s="69">
        <v>22175283</v>
      </c>
      <c r="W48" s="67">
        <v>45917.691782407404</v>
      </c>
      <c r="X48" s="66"/>
      <c r="Y48" s="66" t="s">
        <v>183</v>
      </c>
      <c r="Z48" s="66" t="s">
        <v>184</v>
      </c>
      <c r="AA48" s="66" t="s">
        <v>266</v>
      </c>
      <c r="AB48" s="66" t="s">
        <v>267</v>
      </c>
      <c r="AC48" s="66" t="s">
        <v>42</v>
      </c>
      <c r="AD48" s="66"/>
      <c r="AE48" s="69">
        <v>474915</v>
      </c>
      <c r="AF48" s="70"/>
      <c r="AG48" s="66" t="s">
        <v>268</v>
      </c>
    </row>
    <row r="49" spans="1:33" x14ac:dyDescent="0.25">
      <c r="A49" s="66" t="s">
        <v>179</v>
      </c>
      <c r="B49" s="66">
        <v>901541137</v>
      </c>
      <c r="C49" s="66">
        <v>140238</v>
      </c>
      <c r="D49" s="67">
        <v>45946.601504629631</v>
      </c>
      <c r="E49" s="68">
        <v>2025</v>
      </c>
      <c r="F49" s="66">
        <v>10</v>
      </c>
      <c r="G49" s="66" t="s">
        <v>62</v>
      </c>
      <c r="H49" s="66" t="s">
        <v>62</v>
      </c>
      <c r="I49" s="66" t="s">
        <v>193</v>
      </c>
      <c r="J49" s="67">
        <v>45946</v>
      </c>
      <c r="K49" s="66"/>
      <c r="L49" s="66"/>
      <c r="M49" s="66"/>
      <c r="N49" s="66"/>
      <c r="O49" s="66"/>
      <c r="P49" s="66" t="s">
        <v>188</v>
      </c>
      <c r="Q49" s="66" t="s">
        <v>182</v>
      </c>
      <c r="R49" s="66" t="s">
        <v>183</v>
      </c>
      <c r="S49" s="66"/>
      <c r="T49" s="66"/>
      <c r="U49" s="69">
        <v>16131730</v>
      </c>
      <c r="V49" s="69">
        <v>16131730</v>
      </c>
      <c r="W49" s="67">
        <v>45917.676261574074</v>
      </c>
      <c r="X49" s="66"/>
      <c r="Y49" s="66" t="s">
        <v>183</v>
      </c>
      <c r="Z49" s="66" t="s">
        <v>184</v>
      </c>
      <c r="AA49" s="66" t="s">
        <v>224</v>
      </c>
      <c r="AB49" s="66" t="s">
        <v>225</v>
      </c>
      <c r="AC49" s="66" t="s">
        <v>42</v>
      </c>
      <c r="AD49" s="66"/>
      <c r="AE49" s="69">
        <v>1430800</v>
      </c>
      <c r="AF49" s="70"/>
      <c r="AG49" s="66" t="s">
        <v>269</v>
      </c>
    </row>
    <row r="50" spans="1:33" x14ac:dyDescent="0.25">
      <c r="A50" s="66" t="s">
        <v>179</v>
      </c>
      <c r="B50" s="66">
        <v>901541137</v>
      </c>
      <c r="C50" s="66">
        <v>140238</v>
      </c>
      <c r="D50" s="67">
        <v>45946.601504629631</v>
      </c>
      <c r="E50" s="68">
        <v>2025</v>
      </c>
      <c r="F50" s="66">
        <v>10</v>
      </c>
      <c r="G50" s="66" t="s">
        <v>62</v>
      </c>
      <c r="H50" s="66" t="s">
        <v>62</v>
      </c>
      <c r="I50" s="66" t="s">
        <v>193</v>
      </c>
      <c r="J50" s="67">
        <v>45946</v>
      </c>
      <c r="K50" s="66"/>
      <c r="L50" s="66"/>
      <c r="M50" s="66"/>
      <c r="N50" s="66"/>
      <c r="O50" s="66"/>
      <c r="P50" s="66" t="s">
        <v>188</v>
      </c>
      <c r="Q50" s="66" t="s">
        <v>182</v>
      </c>
      <c r="R50" s="66" t="s">
        <v>183</v>
      </c>
      <c r="S50" s="66"/>
      <c r="T50" s="66"/>
      <c r="U50" s="69">
        <v>16131730</v>
      </c>
      <c r="V50" s="69">
        <v>16131730</v>
      </c>
      <c r="W50" s="67">
        <v>45917.676261574074</v>
      </c>
      <c r="X50" s="66"/>
      <c r="Y50" s="66" t="s">
        <v>183</v>
      </c>
      <c r="Z50" s="66" t="s">
        <v>184</v>
      </c>
      <c r="AA50" s="66" t="s">
        <v>194</v>
      </c>
      <c r="AB50" s="66" t="s">
        <v>195</v>
      </c>
      <c r="AC50" s="66" t="s">
        <v>42</v>
      </c>
      <c r="AD50" s="66"/>
      <c r="AE50" s="69">
        <v>5903439</v>
      </c>
      <c r="AF50" s="70"/>
      <c r="AG50" s="66" t="s">
        <v>270</v>
      </c>
    </row>
    <row r="51" spans="1:33" x14ac:dyDescent="0.25">
      <c r="A51" s="66" t="s">
        <v>179</v>
      </c>
      <c r="B51" s="66">
        <v>901541137</v>
      </c>
      <c r="C51" s="66">
        <v>140238</v>
      </c>
      <c r="D51" s="67">
        <v>45946.601504629631</v>
      </c>
      <c r="E51" s="68">
        <v>2025</v>
      </c>
      <c r="F51" s="66">
        <v>10</v>
      </c>
      <c r="G51" s="66" t="s">
        <v>62</v>
      </c>
      <c r="H51" s="66" t="s">
        <v>62</v>
      </c>
      <c r="I51" s="66" t="s">
        <v>193</v>
      </c>
      <c r="J51" s="67">
        <v>45946</v>
      </c>
      <c r="K51" s="66"/>
      <c r="L51" s="66"/>
      <c r="M51" s="66"/>
      <c r="N51" s="66"/>
      <c r="O51" s="66"/>
      <c r="P51" s="66" t="s">
        <v>188</v>
      </c>
      <c r="Q51" s="66" t="s">
        <v>182</v>
      </c>
      <c r="R51" s="66" t="s">
        <v>183</v>
      </c>
      <c r="S51" s="66"/>
      <c r="T51" s="66"/>
      <c r="U51" s="69">
        <v>16131730</v>
      </c>
      <c r="V51" s="69">
        <v>16131730</v>
      </c>
      <c r="W51" s="67">
        <v>45917.676261574074</v>
      </c>
      <c r="X51" s="66"/>
      <c r="Y51" s="66" t="s">
        <v>183</v>
      </c>
      <c r="Z51" s="66" t="s">
        <v>184</v>
      </c>
      <c r="AA51" s="66" t="s">
        <v>271</v>
      </c>
      <c r="AB51" s="66" t="s">
        <v>272</v>
      </c>
      <c r="AC51" s="66" t="s">
        <v>42</v>
      </c>
      <c r="AD51" s="66"/>
      <c r="AE51" s="69">
        <v>367200</v>
      </c>
      <c r="AF51" s="70"/>
      <c r="AG51" s="66" t="s">
        <v>273</v>
      </c>
    </row>
    <row r="52" spans="1:33" x14ac:dyDescent="0.25">
      <c r="A52" s="66" t="s">
        <v>179</v>
      </c>
      <c r="B52" s="66">
        <v>901541137</v>
      </c>
      <c r="C52" s="66">
        <v>140238</v>
      </c>
      <c r="D52" s="67">
        <v>45946.601504629631</v>
      </c>
      <c r="E52" s="68">
        <v>2025</v>
      </c>
      <c r="F52" s="66">
        <v>10</v>
      </c>
      <c r="G52" s="66" t="s">
        <v>62</v>
      </c>
      <c r="H52" s="66" t="s">
        <v>62</v>
      </c>
      <c r="I52" s="66" t="s">
        <v>193</v>
      </c>
      <c r="J52" s="67">
        <v>45946</v>
      </c>
      <c r="K52" s="66"/>
      <c r="L52" s="66"/>
      <c r="M52" s="66"/>
      <c r="N52" s="66"/>
      <c r="O52" s="66"/>
      <c r="P52" s="66" t="s">
        <v>188</v>
      </c>
      <c r="Q52" s="66" t="s">
        <v>182</v>
      </c>
      <c r="R52" s="66" t="s">
        <v>183</v>
      </c>
      <c r="S52" s="66"/>
      <c r="T52" s="66"/>
      <c r="U52" s="69">
        <v>16131730</v>
      </c>
      <c r="V52" s="69">
        <v>16131730</v>
      </c>
      <c r="W52" s="67">
        <v>45917.676261574074</v>
      </c>
      <c r="X52" s="66"/>
      <c r="Y52" s="66" t="s">
        <v>183</v>
      </c>
      <c r="Z52" s="66" t="s">
        <v>184</v>
      </c>
      <c r="AA52" s="66" t="s">
        <v>241</v>
      </c>
      <c r="AB52" s="66" t="s">
        <v>242</v>
      </c>
      <c r="AC52" s="66" t="s">
        <v>42</v>
      </c>
      <c r="AD52" s="66"/>
      <c r="AE52" s="69">
        <v>1083664</v>
      </c>
      <c r="AF52" s="70"/>
      <c r="AG52" s="66" t="s">
        <v>274</v>
      </c>
    </row>
    <row r="53" spans="1:33" x14ac:dyDescent="0.25">
      <c r="A53" s="66" t="s">
        <v>179</v>
      </c>
      <c r="B53" s="66">
        <v>901541137</v>
      </c>
      <c r="C53" s="66">
        <v>140238</v>
      </c>
      <c r="D53" s="67">
        <v>45946.601504629631</v>
      </c>
      <c r="E53" s="68">
        <v>2025</v>
      </c>
      <c r="F53" s="66">
        <v>10</v>
      </c>
      <c r="G53" s="66" t="s">
        <v>62</v>
      </c>
      <c r="H53" s="66" t="s">
        <v>62</v>
      </c>
      <c r="I53" s="66" t="s">
        <v>193</v>
      </c>
      <c r="J53" s="67">
        <v>45946</v>
      </c>
      <c r="K53" s="66"/>
      <c r="L53" s="66"/>
      <c r="M53" s="66"/>
      <c r="N53" s="66"/>
      <c r="O53" s="66"/>
      <c r="P53" s="66" t="s">
        <v>188</v>
      </c>
      <c r="Q53" s="66" t="s">
        <v>182</v>
      </c>
      <c r="R53" s="66" t="s">
        <v>183</v>
      </c>
      <c r="S53" s="66"/>
      <c r="T53" s="66"/>
      <c r="U53" s="69">
        <v>16131730</v>
      </c>
      <c r="V53" s="69">
        <v>16131730</v>
      </c>
      <c r="W53" s="67">
        <v>45917.676261574074</v>
      </c>
      <c r="X53" s="66"/>
      <c r="Y53" s="66" t="s">
        <v>183</v>
      </c>
      <c r="Z53" s="66" t="s">
        <v>184</v>
      </c>
      <c r="AA53" s="66" t="s">
        <v>275</v>
      </c>
      <c r="AB53" s="66" t="s">
        <v>276</v>
      </c>
      <c r="AC53" s="66" t="s">
        <v>42</v>
      </c>
      <c r="AD53" s="66"/>
      <c r="AE53" s="69">
        <v>1004799</v>
      </c>
      <c r="AF53" s="70"/>
      <c r="AG53" s="66" t="s">
        <v>277</v>
      </c>
    </row>
    <row r="54" spans="1:33" x14ac:dyDescent="0.25">
      <c r="A54" s="66" t="s">
        <v>179</v>
      </c>
      <c r="B54" s="66">
        <v>901541137</v>
      </c>
      <c r="C54" s="66">
        <v>140238</v>
      </c>
      <c r="D54" s="67">
        <v>45946.601504629631</v>
      </c>
      <c r="E54" s="68">
        <v>2025</v>
      </c>
      <c r="F54" s="66">
        <v>10</v>
      </c>
      <c r="G54" s="66" t="s">
        <v>62</v>
      </c>
      <c r="H54" s="66" t="s">
        <v>62</v>
      </c>
      <c r="I54" s="66" t="s">
        <v>193</v>
      </c>
      <c r="J54" s="67">
        <v>45946</v>
      </c>
      <c r="K54" s="66"/>
      <c r="L54" s="66"/>
      <c r="M54" s="66"/>
      <c r="N54" s="66"/>
      <c r="O54" s="66"/>
      <c r="P54" s="66" t="s">
        <v>188</v>
      </c>
      <c r="Q54" s="66" t="s">
        <v>182</v>
      </c>
      <c r="R54" s="66" t="s">
        <v>183</v>
      </c>
      <c r="S54" s="66"/>
      <c r="T54" s="66"/>
      <c r="U54" s="69">
        <v>16131730</v>
      </c>
      <c r="V54" s="69">
        <v>16131730</v>
      </c>
      <c r="W54" s="67">
        <v>45917.676261574074</v>
      </c>
      <c r="X54" s="66"/>
      <c r="Y54" s="66" t="s">
        <v>183</v>
      </c>
      <c r="Z54" s="66" t="s">
        <v>184</v>
      </c>
      <c r="AA54" s="66" t="s">
        <v>198</v>
      </c>
      <c r="AB54" s="66" t="s">
        <v>199</v>
      </c>
      <c r="AC54" s="66" t="s">
        <v>42</v>
      </c>
      <c r="AD54" s="66"/>
      <c r="AE54" s="69">
        <v>1036875</v>
      </c>
      <c r="AF54" s="70"/>
      <c r="AG54" s="66" t="s">
        <v>278</v>
      </c>
    </row>
    <row r="55" spans="1:33" x14ac:dyDescent="0.25">
      <c r="A55" s="66" t="s">
        <v>179</v>
      </c>
      <c r="B55" s="66">
        <v>901541137</v>
      </c>
      <c r="C55" s="66">
        <v>140238</v>
      </c>
      <c r="D55" s="67">
        <v>45946.601504629631</v>
      </c>
      <c r="E55" s="68">
        <v>2025</v>
      </c>
      <c r="F55" s="66">
        <v>10</v>
      </c>
      <c r="G55" s="66" t="s">
        <v>62</v>
      </c>
      <c r="H55" s="66" t="s">
        <v>62</v>
      </c>
      <c r="I55" s="66" t="s">
        <v>193</v>
      </c>
      <c r="J55" s="67">
        <v>45946</v>
      </c>
      <c r="K55" s="66"/>
      <c r="L55" s="66"/>
      <c r="M55" s="66"/>
      <c r="N55" s="66"/>
      <c r="O55" s="66"/>
      <c r="P55" s="66" t="s">
        <v>188</v>
      </c>
      <c r="Q55" s="66" t="s">
        <v>182</v>
      </c>
      <c r="R55" s="66" t="s">
        <v>183</v>
      </c>
      <c r="S55" s="66"/>
      <c r="T55" s="66"/>
      <c r="U55" s="69">
        <v>16131730</v>
      </c>
      <c r="V55" s="69">
        <v>16131730</v>
      </c>
      <c r="W55" s="67">
        <v>45917.676261574074</v>
      </c>
      <c r="X55" s="66"/>
      <c r="Y55" s="66" t="s">
        <v>183</v>
      </c>
      <c r="Z55" s="66" t="s">
        <v>184</v>
      </c>
      <c r="AA55" s="66" t="s">
        <v>279</v>
      </c>
      <c r="AB55" s="66" t="s">
        <v>280</v>
      </c>
      <c r="AC55" s="66" t="s">
        <v>42</v>
      </c>
      <c r="AD55" s="66"/>
      <c r="AE55" s="69">
        <v>1847550</v>
      </c>
      <c r="AF55" s="70"/>
      <c r="AG55" s="66" t="s">
        <v>281</v>
      </c>
    </row>
    <row r="56" spans="1:33" x14ac:dyDescent="0.25">
      <c r="A56" s="66" t="s">
        <v>179</v>
      </c>
      <c r="B56" s="66">
        <v>901541137</v>
      </c>
      <c r="C56" s="66">
        <v>142354</v>
      </c>
      <c r="D56" s="67">
        <v>45959.671990740739</v>
      </c>
      <c r="E56" s="68">
        <v>2025</v>
      </c>
      <c r="F56" s="66">
        <v>10</v>
      </c>
      <c r="G56" s="66" t="s">
        <v>66</v>
      </c>
      <c r="H56" s="66" t="s">
        <v>66</v>
      </c>
      <c r="I56" s="66" t="s">
        <v>193</v>
      </c>
      <c r="J56" s="67">
        <v>45950</v>
      </c>
      <c r="K56" s="66"/>
      <c r="L56" s="66"/>
      <c r="M56" s="66"/>
      <c r="N56" s="66"/>
      <c r="O56" s="66"/>
      <c r="P56" s="66" t="s">
        <v>188</v>
      </c>
      <c r="Q56" s="66" t="s">
        <v>182</v>
      </c>
      <c r="R56" s="66" t="s">
        <v>183</v>
      </c>
      <c r="S56" s="66"/>
      <c r="T56" s="66"/>
      <c r="U56" s="69">
        <v>20232778</v>
      </c>
      <c r="V56" s="69">
        <v>20232778</v>
      </c>
      <c r="W56" s="67">
        <v>45916.565069444441</v>
      </c>
      <c r="X56" s="66"/>
      <c r="Y56" s="66" t="s">
        <v>183</v>
      </c>
      <c r="Z56" s="66" t="s">
        <v>184</v>
      </c>
      <c r="AA56" s="66" t="s">
        <v>194</v>
      </c>
      <c r="AB56" s="66" t="s">
        <v>195</v>
      </c>
      <c r="AC56" s="66" t="s">
        <v>42</v>
      </c>
      <c r="AD56" s="66"/>
      <c r="AE56" s="69">
        <v>1992900</v>
      </c>
      <c r="AF56" s="70"/>
      <c r="AG56" s="66" t="s">
        <v>282</v>
      </c>
    </row>
    <row r="57" spans="1:33" x14ac:dyDescent="0.25">
      <c r="A57" s="66" t="s">
        <v>179</v>
      </c>
      <c r="B57" s="66">
        <v>901541137</v>
      </c>
      <c r="C57" s="66">
        <v>142354</v>
      </c>
      <c r="D57" s="67">
        <v>45959.671990740739</v>
      </c>
      <c r="E57" s="68">
        <v>2025</v>
      </c>
      <c r="F57" s="66">
        <v>10</v>
      </c>
      <c r="G57" s="66" t="s">
        <v>66</v>
      </c>
      <c r="H57" s="66" t="s">
        <v>66</v>
      </c>
      <c r="I57" s="66" t="s">
        <v>193</v>
      </c>
      <c r="J57" s="67">
        <v>45950</v>
      </c>
      <c r="K57" s="66"/>
      <c r="L57" s="66"/>
      <c r="M57" s="66"/>
      <c r="N57" s="66"/>
      <c r="O57" s="66"/>
      <c r="P57" s="66" t="s">
        <v>188</v>
      </c>
      <c r="Q57" s="66" t="s">
        <v>182</v>
      </c>
      <c r="R57" s="66" t="s">
        <v>183</v>
      </c>
      <c r="S57" s="66"/>
      <c r="T57" s="66"/>
      <c r="U57" s="69">
        <v>20232778</v>
      </c>
      <c r="V57" s="69">
        <v>20232778</v>
      </c>
      <c r="W57" s="67">
        <v>45916.565069444441</v>
      </c>
      <c r="X57" s="66"/>
      <c r="Y57" s="66" t="s">
        <v>183</v>
      </c>
      <c r="Z57" s="66" t="s">
        <v>184</v>
      </c>
      <c r="AA57" s="66" t="s">
        <v>283</v>
      </c>
      <c r="AB57" s="66" t="s">
        <v>284</v>
      </c>
      <c r="AC57" s="66" t="s">
        <v>42</v>
      </c>
      <c r="AD57" s="66"/>
      <c r="AE57" s="69">
        <v>76988</v>
      </c>
      <c r="AF57" s="70"/>
      <c r="AG57" s="66" t="s">
        <v>285</v>
      </c>
    </row>
    <row r="58" spans="1:33" x14ac:dyDescent="0.25">
      <c r="A58" s="66" t="s">
        <v>179</v>
      </c>
      <c r="B58" s="66">
        <v>901541137</v>
      </c>
      <c r="C58" s="66">
        <v>142376</v>
      </c>
      <c r="D58" s="67">
        <v>45950.327199074076</v>
      </c>
      <c r="E58" s="68">
        <v>2025</v>
      </c>
      <c r="F58" s="66">
        <v>10</v>
      </c>
      <c r="G58" s="66" t="s">
        <v>65</v>
      </c>
      <c r="H58" s="66" t="s">
        <v>65</v>
      </c>
      <c r="I58" s="66" t="s">
        <v>193</v>
      </c>
      <c r="J58" s="67">
        <v>45950</v>
      </c>
      <c r="K58" s="66"/>
      <c r="L58" s="66"/>
      <c r="M58" s="66"/>
      <c r="N58" s="66"/>
      <c r="O58" s="66"/>
      <c r="P58" s="66" t="s">
        <v>188</v>
      </c>
      <c r="Q58" s="66" t="s">
        <v>182</v>
      </c>
      <c r="R58" s="66" t="s">
        <v>183</v>
      </c>
      <c r="S58" s="66"/>
      <c r="T58" s="66"/>
      <c r="U58" s="69">
        <v>8154685</v>
      </c>
      <c r="V58" s="69">
        <v>8154685</v>
      </c>
      <c r="W58" s="67">
        <v>45915.519467592596</v>
      </c>
      <c r="X58" s="66"/>
      <c r="Y58" s="66" t="s">
        <v>183</v>
      </c>
      <c r="Z58" s="66" t="s">
        <v>184</v>
      </c>
      <c r="AA58" s="66" t="s">
        <v>194</v>
      </c>
      <c r="AB58" s="66" t="s">
        <v>195</v>
      </c>
      <c r="AC58" s="66" t="s">
        <v>42</v>
      </c>
      <c r="AD58" s="66"/>
      <c r="AE58" s="69">
        <v>1195740</v>
      </c>
      <c r="AF58" s="70"/>
      <c r="AG58" s="66" t="s">
        <v>286</v>
      </c>
    </row>
    <row r="59" spans="1:33" x14ac:dyDescent="0.25">
      <c r="A59" s="66" t="s">
        <v>179</v>
      </c>
      <c r="B59" s="66">
        <v>901541137</v>
      </c>
      <c r="C59" s="66">
        <v>142378</v>
      </c>
      <c r="D59" s="67">
        <v>45950.330914351849</v>
      </c>
      <c r="E59" s="68">
        <v>2025</v>
      </c>
      <c r="F59" s="66">
        <v>10</v>
      </c>
      <c r="G59" s="66" t="s">
        <v>67</v>
      </c>
      <c r="H59" s="66" t="s">
        <v>67</v>
      </c>
      <c r="I59" s="66" t="s">
        <v>193</v>
      </c>
      <c r="J59" s="67">
        <v>45950</v>
      </c>
      <c r="K59" s="66"/>
      <c r="L59" s="66"/>
      <c r="M59" s="66"/>
      <c r="N59" s="66"/>
      <c r="O59" s="66"/>
      <c r="P59" s="66" t="s">
        <v>188</v>
      </c>
      <c r="Q59" s="66" t="s">
        <v>182</v>
      </c>
      <c r="R59" s="66" t="s">
        <v>183</v>
      </c>
      <c r="S59" s="66"/>
      <c r="T59" s="66"/>
      <c r="U59" s="69">
        <v>3757260</v>
      </c>
      <c r="V59" s="69">
        <v>3757260</v>
      </c>
      <c r="W59" s="67">
        <v>45916.63585648148</v>
      </c>
      <c r="X59" s="66"/>
      <c r="Y59" s="66" t="s">
        <v>183</v>
      </c>
      <c r="Z59" s="66" t="s">
        <v>184</v>
      </c>
      <c r="AA59" s="66" t="s">
        <v>283</v>
      </c>
      <c r="AB59" s="66" t="s">
        <v>284</v>
      </c>
      <c r="AC59" s="66" t="s">
        <v>42</v>
      </c>
      <c r="AD59" s="66"/>
      <c r="AE59" s="69">
        <v>161635</v>
      </c>
      <c r="AF59" s="70"/>
      <c r="AG59" s="66" t="s">
        <v>287</v>
      </c>
    </row>
    <row r="60" spans="1:33" x14ac:dyDescent="0.25">
      <c r="A60" s="66" t="s">
        <v>179</v>
      </c>
      <c r="B60" s="66">
        <v>901541137</v>
      </c>
      <c r="C60" s="66">
        <v>142379</v>
      </c>
      <c r="D60" s="67">
        <v>45950.331990740742</v>
      </c>
      <c r="E60" s="68">
        <v>2025</v>
      </c>
      <c r="F60" s="66">
        <v>10</v>
      </c>
      <c r="G60" s="66" t="s">
        <v>72</v>
      </c>
      <c r="H60" s="66" t="s">
        <v>72</v>
      </c>
      <c r="I60" s="66" t="s">
        <v>193</v>
      </c>
      <c r="J60" s="67">
        <v>45950</v>
      </c>
      <c r="K60" s="66"/>
      <c r="L60" s="66"/>
      <c r="M60" s="66"/>
      <c r="N60" s="66"/>
      <c r="O60" s="66"/>
      <c r="P60" s="66" t="s">
        <v>188</v>
      </c>
      <c r="Q60" s="66" t="s">
        <v>182</v>
      </c>
      <c r="R60" s="66" t="s">
        <v>183</v>
      </c>
      <c r="S60" s="66"/>
      <c r="T60" s="66"/>
      <c r="U60" s="69">
        <v>4170179</v>
      </c>
      <c r="V60" s="69">
        <v>4170179</v>
      </c>
      <c r="W60" s="67">
        <v>45916.667291666665</v>
      </c>
      <c r="X60" s="66"/>
      <c r="Y60" s="66" t="s">
        <v>183</v>
      </c>
      <c r="Z60" s="66" t="s">
        <v>184</v>
      </c>
      <c r="AA60" s="66" t="s">
        <v>224</v>
      </c>
      <c r="AB60" s="66" t="s">
        <v>225</v>
      </c>
      <c r="AC60" s="66" t="s">
        <v>42</v>
      </c>
      <c r="AD60" s="66"/>
      <c r="AE60" s="69">
        <v>42800</v>
      </c>
      <c r="AF60" s="70"/>
      <c r="AG60" s="66" t="s">
        <v>288</v>
      </c>
    </row>
    <row r="61" spans="1:33" x14ac:dyDescent="0.25">
      <c r="A61" s="66" t="s">
        <v>179</v>
      </c>
      <c r="B61" s="66">
        <v>901541137</v>
      </c>
      <c r="C61" s="66">
        <v>142380</v>
      </c>
      <c r="D61" s="67">
        <v>45950.332789351851</v>
      </c>
      <c r="E61" s="68">
        <v>2025</v>
      </c>
      <c r="F61" s="66">
        <v>10</v>
      </c>
      <c r="G61" s="66" t="s">
        <v>68</v>
      </c>
      <c r="H61" s="66" t="s">
        <v>68</v>
      </c>
      <c r="I61" s="66" t="s">
        <v>193</v>
      </c>
      <c r="J61" s="67">
        <v>45950</v>
      </c>
      <c r="K61" s="66"/>
      <c r="L61" s="66"/>
      <c r="M61" s="66"/>
      <c r="N61" s="66"/>
      <c r="O61" s="66"/>
      <c r="P61" s="66" t="s">
        <v>188</v>
      </c>
      <c r="Q61" s="66" t="s">
        <v>182</v>
      </c>
      <c r="R61" s="66" t="s">
        <v>183</v>
      </c>
      <c r="S61" s="66"/>
      <c r="T61" s="66"/>
      <c r="U61" s="69">
        <v>3190379</v>
      </c>
      <c r="V61" s="69">
        <v>3190379</v>
      </c>
      <c r="W61" s="67">
        <v>45919.409039351849</v>
      </c>
      <c r="X61" s="66"/>
      <c r="Y61" s="66" t="s">
        <v>183</v>
      </c>
      <c r="Z61" s="66" t="s">
        <v>184</v>
      </c>
      <c r="AA61" s="66" t="s">
        <v>198</v>
      </c>
      <c r="AB61" s="66" t="s">
        <v>199</v>
      </c>
      <c r="AC61" s="66" t="s">
        <v>42</v>
      </c>
      <c r="AD61" s="66"/>
      <c r="AE61" s="69">
        <v>76988</v>
      </c>
      <c r="AF61" s="70"/>
      <c r="AG61" s="66" t="s">
        <v>289</v>
      </c>
    </row>
    <row r="62" spans="1:33" x14ac:dyDescent="0.25">
      <c r="A62" s="66" t="s">
        <v>179</v>
      </c>
      <c r="B62" s="66">
        <v>901541137</v>
      </c>
      <c r="C62" s="66">
        <v>142381</v>
      </c>
      <c r="D62" s="67">
        <v>45950.333287037036</v>
      </c>
      <c r="E62" s="68">
        <v>2025</v>
      </c>
      <c r="F62" s="66">
        <v>10</v>
      </c>
      <c r="G62" s="66" t="s">
        <v>69</v>
      </c>
      <c r="H62" s="66" t="s">
        <v>69</v>
      </c>
      <c r="I62" s="66" t="s">
        <v>193</v>
      </c>
      <c r="J62" s="67">
        <v>45950</v>
      </c>
      <c r="K62" s="66"/>
      <c r="L62" s="66"/>
      <c r="M62" s="66"/>
      <c r="N62" s="66"/>
      <c r="O62" s="66"/>
      <c r="P62" s="66" t="s">
        <v>188</v>
      </c>
      <c r="Q62" s="66" t="s">
        <v>182</v>
      </c>
      <c r="R62" s="66" t="s">
        <v>183</v>
      </c>
      <c r="S62" s="66"/>
      <c r="T62" s="66"/>
      <c r="U62" s="69">
        <v>20627343</v>
      </c>
      <c r="V62" s="69">
        <v>20627343</v>
      </c>
      <c r="W62" s="67">
        <v>45921.598182870373</v>
      </c>
      <c r="X62" s="66"/>
      <c r="Y62" s="66" t="s">
        <v>183</v>
      </c>
      <c r="Z62" s="66" t="s">
        <v>184</v>
      </c>
      <c r="AA62" s="66" t="s">
        <v>194</v>
      </c>
      <c r="AB62" s="66" t="s">
        <v>195</v>
      </c>
      <c r="AC62" s="66" t="s">
        <v>42</v>
      </c>
      <c r="AD62" s="66"/>
      <c r="AE62" s="69">
        <v>2003145</v>
      </c>
      <c r="AF62" s="70"/>
      <c r="AG62" s="66" t="s">
        <v>290</v>
      </c>
    </row>
    <row r="63" spans="1:33" x14ac:dyDescent="0.25">
      <c r="A63" s="66" t="s">
        <v>179</v>
      </c>
      <c r="B63" s="66">
        <v>901541137</v>
      </c>
      <c r="C63" s="66">
        <v>142381</v>
      </c>
      <c r="D63" s="67">
        <v>45950.333287037036</v>
      </c>
      <c r="E63" s="68">
        <v>2025</v>
      </c>
      <c r="F63" s="66">
        <v>10</v>
      </c>
      <c r="G63" s="66" t="s">
        <v>69</v>
      </c>
      <c r="H63" s="66" t="s">
        <v>69</v>
      </c>
      <c r="I63" s="66" t="s">
        <v>193</v>
      </c>
      <c r="J63" s="67">
        <v>45950</v>
      </c>
      <c r="K63" s="66"/>
      <c r="L63" s="66"/>
      <c r="M63" s="66"/>
      <c r="N63" s="66"/>
      <c r="O63" s="66"/>
      <c r="P63" s="66" t="s">
        <v>188</v>
      </c>
      <c r="Q63" s="66" t="s">
        <v>182</v>
      </c>
      <c r="R63" s="66" t="s">
        <v>183</v>
      </c>
      <c r="S63" s="66"/>
      <c r="T63" s="66"/>
      <c r="U63" s="69">
        <v>20627343</v>
      </c>
      <c r="V63" s="69">
        <v>20627343</v>
      </c>
      <c r="W63" s="67">
        <v>45921.598182870373</v>
      </c>
      <c r="X63" s="66"/>
      <c r="Y63" s="66" t="s">
        <v>183</v>
      </c>
      <c r="Z63" s="66" t="s">
        <v>184</v>
      </c>
      <c r="AA63" s="66" t="s">
        <v>241</v>
      </c>
      <c r="AB63" s="66" t="s">
        <v>242</v>
      </c>
      <c r="AC63" s="66" t="s">
        <v>42</v>
      </c>
      <c r="AD63" s="66"/>
      <c r="AE63" s="69">
        <v>108024</v>
      </c>
      <c r="AF63" s="70"/>
      <c r="AG63" s="66" t="s">
        <v>291</v>
      </c>
    </row>
    <row r="64" spans="1:33" x14ac:dyDescent="0.25">
      <c r="A64" s="66" t="s">
        <v>179</v>
      </c>
      <c r="B64" s="66">
        <v>901541137</v>
      </c>
      <c r="C64" s="66">
        <v>142383</v>
      </c>
      <c r="D64" s="67">
        <v>45950.336909722224</v>
      </c>
      <c r="E64" s="68">
        <v>2025</v>
      </c>
      <c r="F64" s="66">
        <v>10</v>
      </c>
      <c r="G64" s="66" t="s">
        <v>70</v>
      </c>
      <c r="H64" s="66" t="s">
        <v>70</v>
      </c>
      <c r="I64" s="66" t="s">
        <v>180</v>
      </c>
      <c r="J64" s="67">
        <v>45950</v>
      </c>
      <c r="K64" s="66"/>
      <c r="L64" s="66"/>
      <c r="M64" s="66"/>
      <c r="N64" s="66"/>
      <c r="O64" s="66"/>
      <c r="P64" s="66" t="s">
        <v>188</v>
      </c>
      <c r="Q64" s="66" t="s">
        <v>182</v>
      </c>
      <c r="R64" s="66" t="s">
        <v>183</v>
      </c>
      <c r="S64" s="66"/>
      <c r="T64" s="66"/>
      <c r="U64" s="69">
        <v>55315347</v>
      </c>
      <c r="V64" s="69">
        <v>55315347</v>
      </c>
      <c r="W64" s="67">
        <v>45922.43949074074</v>
      </c>
      <c r="X64" s="66"/>
      <c r="Y64" s="66" t="s">
        <v>183</v>
      </c>
      <c r="Z64" s="66" t="s">
        <v>184</v>
      </c>
      <c r="AA64" s="66" t="s">
        <v>227</v>
      </c>
      <c r="AB64" s="66" t="s">
        <v>228</v>
      </c>
      <c r="AC64" s="66" t="s">
        <v>42</v>
      </c>
      <c r="AD64" s="66"/>
      <c r="AE64" s="69">
        <v>12216800</v>
      </c>
      <c r="AF64" s="70"/>
      <c r="AG64" s="66" t="s">
        <v>292</v>
      </c>
    </row>
    <row r="65" spans="1:33" x14ac:dyDescent="0.25">
      <c r="A65" s="66" t="s">
        <v>179</v>
      </c>
      <c r="B65" s="66">
        <v>901541137</v>
      </c>
      <c r="C65" s="66">
        <v>142383</v>
      </c>
      <c r="D65" s="67">
        <v>45950.336909722224</v>
      </c>
      <c r="E65" s="68">
        <v>2025</v>
      </c>
      <c r="F65" s="66">
        <v>10</v>
      </c>
      <c r="G65" s="66" t="s">
        <v>70</v>
      </c>
      <c r="H65" s="66" t="s">
        <v>70</v>
      </c>
      <c r="I65" s="66" t="s">
        <v>180</v>
      </c>
      <c r="J65" s="67">
        <v>45950</v>
      </c>
      <c r="K65" s="66"/>
      <c r="L65" s="66"/>
      <c r="M65" s="66"/>
      <c r="N65" s="66"/>
      <c r="O65" s="66"/>
      <c r="P65" s="66" t="s">
        <v>188</v>
      </c>
      <c r="Q65" s="66" t="s">
        <v>182</v>
      </c>
      <c r="R65" s="66" t="s">
        <v>183</v>
      </c>
      <c r="S65" s="66"/>
      <c r="T65" s="66"/>
      <c r="U65" s="69">
        <v>55315347</v>
      </c>
      <c r="V65" s="69">
        <v>55315347</v>
      </c>
      <c r="W65" s="67">
        <v>45922.43949074074</v>
      </c>
      <c r="X65" s="66"/>
      <c r="Y65" s="66" t="s">
        <v>183</v>
      </c>
      <c r="Z65" s="66" t="s">
        <v>184</v>
      </c>
      <c r="AA65" s="66" t="s">
        <v>201</v>
      </c>
      <c r="AB65" s="66" t="s">
        <v>202</v>
      </c>
      <c r="AC65" s="66" t="s">
        <v>42</v>
      </c>
      <c r="AD65" s="66"/>
      <c r="AE65" s="69">
        <v>11818564</v>
      </c>
      <c r="AF65" s="70"/>
      <c r="AG65" s="66" t="s">
        <v>293</v>
      </c>
    </row>
    <row r="66" spans="1:33" x14ac:dyDescent="0.25">
      <c r="A66" s="66" t="s">
        <v>179</v>
      </c>
      <c r="B66" s="66">
        <v>901541137</v>
      </c>
      <c r="C66" s="66">
        <v>142386</v>
      </c>
      <c r="D66" s="67">
        <v>45953.326874999999</v>
      </c>
      <c r="E66" s="68">
        <v>2025</v>
      </c>
      <c r="F66" s="66">
        <v>10</v>
      </c>
      <c r="G66" s="66" t="s">
        <v>64</v>
      </c>
      <c r="H66" s="66" t="s">
        <v>64</v>
      </c>
      <c r="I66" s="66" t="s">
        <v>197</v>
      </c>
      <c r="J66" s="67">
        <v>45953</v>
      </c>
      <c r="K66" s="66"/>
      <c r="L66" s="66"/>
      <c r="M66" s="66"/>
      <c r="N66" s="66"/>
      <c r="O66" s="66"/>
      <c r="P66" s="66" t="s">
        <v>294</v>
      </c>
      <c r="Q66" s="66" t="s">
        <v>182</v>
      </c>
      <c r="R66" s="66" t="s">
        <v>189</v>
      </c>
      <c r="S66" s="66"/>
      <c r="T66" s="66"/>
      <c r="U66" s="69">
        <v>85111531</v>
      </c>
      <c r="V66" s="69">
        <v>85111531</v>
      </c>
      <c r="W66" s="67">
        <v>45917.704722222225</v>
      </c>
      <c r="X66" s="66"/>
      <c r="Y66" s="66" t="s">
        <v>189</v>
      </c>
      <c r="Z66" s="66" t="s">
        <v>184</v>
      </c>
      <c r="AA66" s="66" t="s">
        <v>194</v>
      </c>
      <c r="AB66" s="66" t="s">
        <v>195</v>
      </c>
      <c r="AC66" s="66" t="s">
        <v>42</v>
      </c>
      <c r="AD66" s="66"/>
      <c r="AE66" s="69">
        <v>3188640</v>
      </c>
      <c r="AF66" s="70"/>
      <c r="AG66" s="66" t="s">
        <v>295</v>
      </c>
    </row>
    <row r="67" spans="1:33" x14ac:dyDescent="0.25">
      <c r="A67" s="66" t="s">
        <v>179</v>
      </c>
      <c r="B67" s="66">
        <v>901541137</v>
      </c>
      <c r="C67" s="66">
        <v>142386</v>
      </c>
      <c r="D67" s="67">
        <v>45953.326874999999</v>
      </c>
      <c r="E67" s="68">
        <v>2025</v>
      </c>
      <c r="F67" s="66">
        <v>10</v>
      </c>
      <c r="G67" s="66" t="s">
        <v>64</v>
      </c>
      <c r="H67" s="66" t="s">
        <v>64</v>
      </c>
      <c r="I67" s="66" t="s">
        <v>197</v>
      </c>
      <c r="J67" s="67">
        <v>45953</v>
      </c>
      <c r="K67" s="66"/>
      <c r="L67" s="66"/>
      <c r="M67" s="66"/>
      <c r="N67" s="66"/>
      <c r="O67" s="66"/>
      <c r="P67" s="66" t="s">
        <v>294</v>
      </c>
      <c r="Q67" s="66" t="s">
        <v>182</v>
      </c>
      <c r="R67" s="66" t="s">
        <v>189</v>
      </c>
      <c r="S67" s="66"/>
      <c r="T67" s="66"/>
      <c r="U67" s="69">
        <v>85111531</v>
      </c>
      <c r="V67" s="69">
        <v>85111531</v>
      </c>
      <c r="W67" s="67">
        <v>45917.704722222225</v>
      </c>
      <c r="X67" s="66"/>
      <c r="Y67" s="66" t="s">
        <v>189</v>
      </c>
      <c r="Z67" s="66" t="s">
        <v>184</v>
      </c>
      <c r="AA67" s="66" t="s">
        <v>230</v>
      </c>
      <c r="AB67" s="66" t="s">
        <v>231</v>
      </c>
      <c r="AC67" s="66" t="s">
        <v>42</v>
      </c>
      <c r="AD67" s="66"/>
      <c r="AE67" s="69">
        <v>71200</v>
      </c>
      <c r="AF67" s="70"/>
      <c r="AG67" s="66" t="s">
        <v>296</v>
      </c>
    </row>
    <row r="68" spans="1:33" x14ac:dyDescent="0.25">
      <c r="A68" s="66" t="s">
        <v>179</v>
      </c>
      <c r="B68" s="66">
        <v>901541137</v>
      </c>
      <c r="C68" s="66">
        <v>144529</v>
      </c>
      <c r="D68" s="67">
        <v>45972.817361111112</v>
      </c>
      <c r="E68" s="68">
        <v>2025</v>
      </c>
      <c r="F68" s="66">
        <v>11</v>
      </c>
      <c r="G68" s="66" t="s">
        <v>87</v>
      </c>
      <c r="H68" s="66" t="s">
        <v>87</v>
      </c>
      <c r="I68" s="66" t="s">
        <v>180</v>
      </c>
      <c r="J68" s="67">
        <v>45972</v>
      </c>
      <c r="K68" s="66"/>
      <c r="L68" s="66"/>
      <c r="M68" s="66"/>
      <c r="N68" s="66"/>
      <c r="O68" s="66"/>
      <c r="P68" s="66" t="s">
        <v>181</v>
      </c>
      <c r="Q68" s="66" t="s">
        <v>182</v>
      </c>
      <c r="R68" s="66" t="s">
        <v>183</v>
      </c>
      <c r="S68" s="66"/>
      <c r="T68" s="66"/>
      <c r="U68" s="69">
        <v>106697</v>
      </c>
      <c r="V68" s="69">
        <v>106697</v>
      </c>
      <c r="W68" s="67">
        <v>45939.485335648147</v>
      </c>
      <c r="X68" s="66"/>
      <c r="Y68" s="66" t="s">
        <v>183</v>
      </c>
      <c r="Z68" s="66" t="s">
        <v>184</v>
      </c>
      <c r="AA68" s="66" t="s">
        <v>185</v>
      </c>
      <c r="AB68" s="66" t="s">
        <v>186</v>
      </c>
      <c r="AC68" s="66"/>
      <c r="AD68" s="66"/>
      <c r="AE68" s="69">
        <v>31297</v>
      </c>
      <c r="AF68" s="70"/>
      <c r="AG68" s="66" t="s">
        <v>297</v>
      </c>
    </row>
    <row r="69" spans="1:33" x14ac:dyDescent="0.25">
      <c r="A69" s="66" t="s">
        <v>179</v>
      </c>
      <c r="B69" s="66">
        <v>901541137</v>
      </c>
      <c r="C69" s="66">
        <v>144543</v>
      </c>
      <c r="D69" s="67">
        <v>45972.825462962966</v>
      </c>
      <c r="E69" s="68">
        <v>2025</v>
      </c>
      <c r="F69" s="66">
        <v>11</v>
      </c>
      <c r="G69" s="66" t="s">
        <v>89</v>
      </c>
      <c r="H69" s="66" t="s">
        <v>89</v>
      </c>
      <c r="I69" s="66" t="s">
        <v>180</v>
      </c>
      <c r="J69" s="67">
        <v>45972</v>
      </c>
      <c r="K69" s="66"/>
      <c r="L69" s="66"/>
      <c r="M69" s="66"/>
      <c r="N69" s="66"/>
      <c r="O69" s="66"/>
      <c r="P69" s="66" t="s">
        <v>181</v>
      </c>
      <c r="Q69" s="66" t="s">
        <v>182</v>
      </c>
      <c r="R69" s="66" t="s">
        <v>183</v>
      </c>
      <c r="S69" s="66"/>
      <c r="T69" s="66"/>
      <c r="U69" s="69">
        <v>106697</v>
      </c>
      <c r="V69" s="69">
        <v>106697</v>
      </c>
      <c r="W69" s="67">
        <v>45947.495497685188</v>
      </c>
      <c r="X69" s="66"/>
      <c r="Y69" s="66" t="s">
        <v>183</v>
      </c>
      <c r="Z69" s="66" t="s">
        <v>184</v>
      </c>
      <c r="AA69" s="66" t="s">
        <v>185</v>
      </c>
      <c r="AB69" s="66" t="s">
        <v>186</v>
      </c>
      <c r="AC69" s="66"/>
      <c r="AD69" s="66"/>
      <c r="AE69" s="69">
        <v>31297</v>
      </c>
      <c r="AF69" s="70"/>
      <c r="AG69" s="66" t="s">
        <v>297</v>
      </c>
    </row>
    <row r="70" spans="1:33" x14ac:dyDescent="0.25">
      <c r="A70" s="66" t="s">
        <v>179</v>
      </c>
      <c r="B70" s="66">
        <v>901541137</v>
      </c>
      <c r="C70" s="66">
        <v>145653</v>
      </c>
      <c r="D70" s="67">
        <v>45979.427210648151</v>
      </c>
      <c r="E70" s="68">
        <v>2025</v>
      </c>
      <c r="F70" s="66">
        <v>11</v>
      </c>
      <c r="G70" s="66" t="s">
        <v>121</v>
      </c>
      <c r="H70" s="66" t="s">
        <v>121</v>
      </c>
      <c r="I70" s="66" t="s">
        <v>180</v>
      </c>
      <c r="J70" s="67">
        <v>45979</v>
      </c>
      <c r="K70" s="66"/>
      <c r="L70" s="66"/>
      <c r="M70" s="66"/>
      <c r="N70" s="66"/>
      <c r="O70" s="66"/>
      <c r="P70" s="66" t="s">
        <v>181</v>
      </c>
      <c r="Q70" s="66" t="s">
        <v>182</v>
      </c>
      <c r="R70" s="66" t="s">
        <v>183</v>
      </c>
      <c r="S70" s="66"/>
      <c r="T70" s="66"/>
      <c r="U70" s="69">
        <v>106697</v>
      </c>
      <c r="V70" s="69">
        <v>106697</v>
      </c>
      <c r="W70" s="67">
        <v>45947.477268518516</v>
      </c>
      <c r="X70" s="66"/>
      <c r="Y70" s="66" t="s">
        <v>183</v>
      </c>
      <c r="Z70" s="66" t="s">
        <v>184</v>
      </c>
      <c r="AA70" s="66" t="s">
        <v>185</v>
      </c>
      <c r="AB70" s="66" t="s">
        <v>186</v>
      </c>
      <c r="AC70" s="66"/>
      <c r="AD70" s="66"/>
      <c r="AE70" s="69">
        <v>31297</v>
      </c>
      <c r="AF70" s="70"/>
      <c r="AG70" s="66" t="s">
        <v>297</v>
      </c>
    </row>
    <row r="71" spans="1:33" x14ac:dyDescent="0.25">
      <c r="A71" s="66" t="s">
        <v>179</v>
      </c>
      <c r="B71" s="66">
        <v>901541137</v>
      </c>
      <c r="C71" s="66">
        <v>146146</v>
      </c>
      <c r="D71" s="67">
        <v>45981.728009259263</v>
      </c>
      <c r="E71" s="68">
        <v>2025</v>
      </c>
      <c r="F71" s="66">
        <v>11</v>
      </c>
      <c r="G71" s="66" t="s">
        <v>103</v>
      </c>
      <c r="H71" s="66" t="s">
        <v>103</v>
      </c>
      <c r="I71" s="66" t="s">
        <v>180</v>
      </c>
      <c r="J71" s="67">
        <v>45981</v>
      </c>
      <c r="K71" s="66"/>
      <c r="L71" s="66"/>
      <c r="M71" s="66"/>
      <c r="N71" s="66"/>
      <c r="O71" s="66"/>
      <c r="P71" s="66" t="s">
        <v>181</v>
      </c>
      <c r="Q71" s="66" t="s">
        <v>182</v>
      </c>
      <c r="R71" s="66" t="s">
        <v>183</v>
      </c>
      <c r="S71" s="66"/>
      <c r="T71" s="66"/>
      <c r="U71" s="69">
        <v>106697</v>
      </c>
      <c r="V71" s="69">
        <v>106697</v>
      </c>
      <c r="W71" s="67">
        <v>45952.706793981481</v>
      </c>
      <c r="X71" s="66"/>
      <c r="Y71" s="66" t="s">
        <v>183</v>
      </c>
      <c r="Z71" s="66" t="s">
        <v>184</v>
      </c>
      <c r="AA71" s="66" t="s">
        <v>185</v>
      </c>
      <c r="AB71" s="66" t="s">
        <v>186</v>
      </c>
      <c r="AC71" s="66"/>
      <c r="AD71" s="66"/>
      <c r="AE71" s="69">
        <v>31297</v>
      </c>
      <c r="AF71" s="70"/>
      <c r="AG71" s="66" t="s">
        <v>187</v>
      </c>
    </row>
    <row r="72" spans="1:33" x14ac:dyDescent="0.25">
      <c r="A72" s="66" t="s">
        <v>179</v>
      </c>
      <c r="B72" s="66">
        <v>901541137</v>
      </c>
      <c r="C72" s="66">
        <v>146265</v>
      </c>
      <c r="D72" s="67">
        <v>45982.713067129633</v>
      </c>
      <c r="E72" s="68">
        <v>2025</v>
      </c>
      <c r="F72" s="66">
        <v>11</v>
      </c>
      <c r="G72" s="66" t="s">
        <v>127</v>
      </c>
      <c r="H72" s="66" t="s">
        <v>127</v>
      </c>
      <c r="I72" s="66" t="s">
        <v>180</v>
      </c>
      <c r="J72" s="67">
        <v>45982</v>
      </c>
      <c r="K72" s="66"/>
      <c r="L72" s="66"/>
      <c r="M72" s="66"/>
      <c r="N72" s="66"/>
      <c r="O72" s="66"/>
      <c r="P72" s="66" t="s">
        <v>298</v>
      </c>
      <c r="Q72" s="66" t="s">
        <v>182</v>
      </c>
      <c r="R72" s="66" t="s">
        <v>183</v>
      </c>
      <c r="S72" s="66"/>
      <c r="T72" s="66"/>
      <c r="U72" s="69">
        <v>106697</v>
      </c>
      <c r="V72" s="69">
        <v>106697</v>
      </c>
      <c r="W72" s="67">
        <v>45967.339884259258</v>
      </c>
      <c r="X72" s="66"/>
      <c r="Y72" s="66" t="s">
        <v>183</v>
      </c>
      <c r="Z72" s="66" t="s">
        <v>184</v>
      </c>
      <c r="AA72" s="66" t="s">
        <v>185</v>
      </c>
      <c r="AB72" s="66" t="s">
        <v>186</v>
      </c>
      <c r="AC72" s="66"/>
      <c r="AD72" s="66"/>
      <c r="AE72" s="69">
        <v>31297</v>
      </c>
      <c r="AF72" s="70"/>
      <c r="AG72" s="66" t="s">
        <v>299</v>
      </c>
    </row>
    <row r="73" spans="1:33" x14ac:dyDescent="0.25">
      <c r="A73" s="66" t="s">
        <v>179</v>
      </c>
      <c r="B73" s="66">
        <v>901541137</v>
      </c>
      <c r="C73" s="66">
        <v>146267</v>
      </c>
      <c r="D73" s="67">
        <v>45982.714236111111</v>
      </c>
      <c r="E73" s="68">
        <v>2025</v>
      </c>
      <c r="F73" s="66">
        <v>11</v>
      </c>
      <c r="G73" s="66" t="s">
        <v>129</v>
      </c>
      <c r="H73" s="66" t="s">
        <v>129</v>
      </c>
      <c r="I73" s="66" t="s">
        <v>180</v>
      </c>
      <c r="J73" s="67">
        <v>45982</v>
      </c>
      <c r="K73" s="66"/>
      <c r="L73" s="66"/>
      <c r="M73" s="66"/>
      <c r="N73" s="66"/>
      <c r="O73" s="66"/>
      <c r="P73" s="66" t="s">
        <v>298</v>
      </c>
      <c r="Q73" s="66" t="s">
        <v>182</v>
      </c>
      <c r="R73" s="66" t="s">
        <v>183</v>
      </c>
      <c r="S73" s="66"/>
      <c r="T73" s="66"/>
      <c r="U73" s="69">
        <v>106697</v>
      </c>
      <c r="V73" s="69">
        <v>106697</v>
      </c>
      <c r="W73" s="67">
        <v>45967.419687499998</v>
      </c>
      <c r="X73" s="66"/>
      <c r="Y73" s="66" t="s">
        <v>183</v>
      </c>
      <c r="Z73" s="66" t="s">
        <v>184</v>
      </c>
      <c r="AA73" s="66" t="s">
        <v>185</v>
      </c>
      <c r="AB73" s="66" t="s">
        <v>186</v>
      </c>
      <c r="AC73" s="66"/>
      <c r="AD73" s="66"/>
      <c r="AE73" s="69">
        <v>31297</v>
      </c>
      <c r="AF73" s="70"/>
      <c r="AG73" s="66" t="s">
        <v>299</v>
      </c>
    </row>
    <row r="74" spans="1:33" x14ac:dyDescent="0.25">
      <c r="A74" s="66" t="s">
        <v>179</v>
      </c>
      <c r="B74" s="66">
        <v>901541137</v>
      </c>
      <c r="C74" s="66">
        <v>146270</v>
      </c>
      <c r="D74" s="67">
        <v>45982.716180555559</v>
      </c>
      <c r="E74" s="68">
        <v>2025</v>
      </c>
      <c r="F74" s="66">
        <v>11</v>
      </c>
      <c r="G74" s="66" t="s">
        <v>130</v>
      </c>
      <c r="H74" s="66" t="s">
        <v>130</v>
      </c>
      <c r="I74" s="66" t="s">
        <v>180</v>
      </c>
      <c r="J74" s="67">
        <v>45982</v>
      </c>
      <c r="K74" s="66"/>
      <c r="L74" s="66"/>
      <c r="M74" s="66"/>
      <c r="N74" s="66"/>
      <c r="O74" s="66"/>
      <c r="P74" s="66" t="s">
        <v>298</v>
      </c>
      <c r="Q74" s="66" t="s">
        <v>182</v>
      </c>
      <c r="R74" s="66" t="s">
        <v>183</v>
      </c>
      <c r="S74" s="66"/>
      <c r="T74" s="66"/>
      <c r="U74" s="69">
        <v>106697</v>
      </c>
      <c r="V74" s="69">
        <v>106697</v>
      </c>
      <c r="W74" s="67">
        <v>45967.508437500001</v>
      </c>
      <c r="X74" s="66"/>
      <c r="Y74" s="66" t="s">
        <v>183</v>
      </c>
      <c r="Z74" s="66" t="s">
        <v>184</v>
      </c>
      <c r="AA74" s="66" t="s">
        <v>185</v>
      </c>
      <c r="AB74" s="66" t="s">
        <v>186</v>
      </c>
      <c r="AC74" s="66"/>
      <c r="AD74" s="66"/>
      <c r="AE74" s="69">
        <v>31297</v>
      </c>
      <c r="AF74" s="70"/>
      <c r="AG74" s="66" t="s">
        <v>299</v>
      </c>
    </row>
    <row r="75" spans="1:33" x14ac:dyDescent="0.25">
      <c r="A75" s="66" t="s">
        <v>179</v>
      </c>
      <c r="B75" s="66">
        <v>901541137</v>
      </c>
      <c r="C75" s="66">
        <v>144528</v>
      </c>
      <c r="D75" s="67">
        <v>45972.816840277781</v>
      </c>
      <c r="E75" s="68">
        <v>2025</v>
      </c>
      <c r="F75" s="66">
        <v>11</v>
      </c>
      <c r="G75" s="66" t="s">
        <v>86</v>
      </c>
      <c r="H75" s="66" t="s">
        <v>86</v>
      </c>
      <c r="I75" s="66" t="s">
        <v>180</v>
      </c>
      <c r="J75" s="67">
        <v>45972</v>
      </c>
      <c r="K75" s="66"/>
      <c r="L75" s="66"/>
      <c r="M75" s="66"/>
      <c r="N75" s="66"/>
      <c r="O75" s="66"/>
      <c r="P75" s="66" t="s">
        <v>181</v>
      </c>
      <c r="Q75" s="66" t="s">
        <v>182</v>
      </c>
      <c r="R75" s="66" t="s">
        <v>183</v>
      </c>
      <c r="S75" s="66"/>
      <c r="T75" s="66"/>
      <c r="U75" s="69">
        <v>82085</v>
      </c>
      <c r="V75" s="69">
        <v>82085</v>
      </c>
      <c r="W75" s="67">
        <v>45939.396898148145</v>
      </c>
      <c r="X75" s="66"/>
      <c r="Y75" s="66" t="s">
        <v>183</v>
      </c>
      <c r="Z75" s="66" t="s">
        <v>184</v>
      </c>
      <c r="AA75" s="66" t="s">
        <v>185</v>
      </c>
      <c r="AB75" s="66" t="s">
        <v>186</v>
      </c>
      <c r="AC75" s="66"/>
      <c r="AD75" s="66"/>
      <c r="AE75" s="69">
        <v>6685</v>
      </c>
      <c r="AF75" s="70"/>
      <c r="AG75" s="66" t="s">
        <v>297</v>
      </c>
    </row>
    <row r="76" spans="1:33" x14ac:dyDescent="0.25">
      <c r="A76" s="66" t="s">
        <v>179</v>
      </c>
      <c r="B76" s="66">
        <v>901541137</v>
      </c>
      <c r="C76" s="66">
        <v>144542</v>
      </c>
      <c r="D76" s="67">
        <v>45972.82508101852</v>
      </c>
      <c r="E76" s="68">
        <v>2025</v>
      </c>
      <c r="F76" s="66">
        <v>11</v>
      </c>
      <c r="G76" s="66" t="s">
        <v>88</v>
      </c>
      <c r="H76" s="66" t="s">
        <v>88</v>
      </c>
      <c r="I76" s="66" t="s">
        <v>180</v>
      </c>
      <c r="J76" s="67">
        <v>45972</v>
      </c>
      <c r="K76" s="66"/>
      <c r="L76" s="66"/>
      <c r="M76" s="66"/>
      <c r="N76" s="66"/>
      <c r="O76" s="66"/>
      <c r="P76" s="66" t="s">
        <v>181</v>
      </c>
      <c r="Q76" s="66" t="s">
        <v>182</v>
      </c>
      <c r="R76" s="66" t="s">
        <v>183</v>
      </c>
      <c r="S76" s="66"/>
      <c r="T76" s="66"/>
      <c r="U76" s="69">
        <v>82085</v>
      </c>
      <c r="V76" s="69">
        <v>82085</v>
      </c>
      <c r="W76" s="67">
        <v>45946.656469907408</v>
      </c>
      <c r="X76" s="66"/>
      <c r="Y76" s="66" t="s">
        <v>183</v>
      </c>
      <c r="Z76" s="66" t="s">
        <v>184</v>
      </c>
      <c r="AA76" s="66" t="s">
        <v>185</v>
      </c>
      <c r="AB76" s="66" t="s">
        <v>186</v>
      </c>
      <c r="AC76" s="66"/>
      <c r="AD76" s="66"/>
      <c r="AE76" s="69">
        <v>6685</v>
      </c>
      <c r="AF76" s="70"/>
      <c r="AG76" s="66" t="s">
        <v>297</v>
      </c>
    </row>
    <row r="77" spans="1:33" x14ac:dyDescent="0.25">
      <c r="A77" s="66" t="s">
        <v>179</v>
      </c>
      <c r="B77" s="66">
        <v>901541137</v>
      </c>
      <c r="C77" s="66">
        <v>145651</v>
      </c>
      <c r="D77" s="67">
        <v>45979.425405092596</v>
      </c>
      <c r="E77" s="68">
        <v>2025</v>
      </c>
      <c r="F77" s="66">
        <v>11</v>
      </c>
      <c r="G77" s="66" t="s">
        <v>120</v>
      </c>
      <c r="H77" s="66" t="s">
        <v>120</v>
      </c>
      <c r="I77" s="66" t="s">
        <v>180</v>
      </c>
      <c r="J77" s="67">
        <v>45979</v>
      </c>
      <c r="K77" s="66"/>
      <c r="L77" s="66"/>
      <c r="M77" s="66"/>
      <c r="N77" s="66"/>
      <c r="O77" s="66"/>
      <c r="P77" s="66" t="s">
        <v>181</v>
      </c>
      <c r="Q77" s="66" t="s">
        <v>182</v>
      </c>
      <c r="R77" s="66" t="s">
        <v>183</v>
      </c>
      <c r="S77" s="66"/>
      <c r="T77" s="66"/>
      <c r="U77" s="69">
        <v>82085</v>
      </c>
      <c r="V77" s="69">
        <v>82085</v>
      </c>
      <c r="W77" s="67">
        <v>45947.315011574072</v>
      </c>
      <c r="X77" s="66"/>
      <c r="Y77" s="66" t="s">
        <v>183</v>
      </c>
      <c r="Z77" s="66" t="s">
        <v>184</v>
      </c>
      <c r="AA77" s="66" t="s">
        <v>185</v>
      </c>
      <c r="AB77" s="66" t="s">
        <v>186</v>
      </c>
      <c r="AC77" s="66"/>
      <c r="AD77" s="66"/>
      <c r="AE77" s="69">
        <v>6685</v>
      </c>
      <c r="AF77" s="70"/>
      <c r="AG77" s="66" t="s">
        <v>300</v>
      </c>
    </row>
    <row r="78" spans="1:33" x14ac:dyDescent="0.25">
      <c r="A78" s="66" t="s">
        <v>179</v>
      </c>
      <c r="B78" s="66">
        <v>901541137</v>
      </c>
      <c r="C78" s="66">
        <v>145658</v>
      </c>
      <c r="D78" s="67">
        <v>45979.449201388888</v>
      </c>
      <c r="E78" s="68">
        <v>2025</v>
      </c>
      <c r="F78" s="66">
        <v>11</v>
      </c>
      <c r="G78" s="66" t="s">
        <v>122</v>
      </c>
      <c r="H78" s="66" t="s">
        <v>122</v>
      </c>
      <c r="I78" s="66" t="s">
        <v>180</v>
      </c>
      <c r="J78" s="67">
        <v>45979</v>
      </c>
      <c r="K78" s="66"/>
      <c r="L78" s="66"/>
      <c r="M78" s="66"/>
      <c r="N78" s="66"/>
      <c r="O78" s="66"/>
      <c r="P78" s="66" t="s">
        <v>181</v>
      </c>
      <c r="Q78" s="66" t="s">
        <v>182</v>
      </c>
      <c r="R78" s="66" t="s">
        <v>183</v>
      </c>
      <c r="S78" s="66"/>
      <c r="T78" s="66"/>
      <c r="U78" s="69">
        <v>82085</v>
      </c>
      <c r="V78" s="69">
        <v>82085</v>
      </c>
      <c r="W78" s="67">
        <v>45950.329097222224</v>
      </c>
      <c r="X78" s="66"/>
      <c r="Y78" s="66" t="s">
        <v>183</v>
      </c>
      <c r="Z78" s="66" t="s">
        <v>184</v>
      </c>
      <c r="AA78" s="66" t="s">
        <v>185</v>
      </c>
      <c r="AB78" s="66" t="s">
        <v>186</v>
      </c>
      <c r="AC78" s="66"/>
      <c r="AD78" s="66"/>
      <c r="AE78" s="69">
        <v>6685</v>
      </c>
      <c r="AF78" s="70"/>
      <c r="AG78" s="66" t="s">
        <v>297</v>
      </c>
    </row>
    <row r="79" spans="1:33" x14ac:dyDescent="0.25">
      <c r="A79" s="66" t="s">
        <v>179</v>
      </c>
      <c r="B79" s="66">
        <v>901541137</v>
      </c>
      <c r="C79" s="66">
        <v>146155</v>
      </c>
      <c r="D79" s="67">
        <v>45981.732488425929</v>
      </c>
      <c r="E79" s="68">
        <v>2025</v>
      </c>
      <c r="F79" s="66">
        <v>11</v>
      </c>
      <c r="G79" s="66" t="s">
        <v>104</v>
      </c>
      <c r="H79" s="66" t="s">
        <v>104</v>
      </c>
      <c r="I79" s="66" t="s">
        <v>180</v>
      </c>
      <c r="J79" s="67">
        <v>45981</v>
      </c>
      <c r="K79" s="66"/>
      <c r="L79" s="66"/>
      <c r="M79" s="66"/>
      <c r="N79" s="66"/>
      <c r="O79" s="66"/>
      <c r="P79" s="66" t="s">
        <v>181</v>
      </c>
      <c r="Q79" s="66" t="s">
        <v>182</v>
      </c>
      <c r="R79" s="66" t="s">
        <v>183</v>
      </c>
      <c r="S79" s="66"/>
      <c r="T79" s="66"/>
      <c r="U79" s="69">
        <v>82085</v>
      </c>
      <c r="V79" s="69">
        <v>82085</v>
      </c>
      <c r="W79" s="67">
        <v>45957.378842592596</v>
      </c>
      <c r="X79" s="66"/>
      <c r="Y79" s="66" t="s">
        <v>183</v>
      </c>
      <c r="Z79" s="66" t="s">
        <v>184</v>
      </c>
      <c r="AA79" s="66" t="s">
        <v>185</v>
      </c>
      <c r="AB79" s="66" t="s">
        <v>186</v>
      </c>
      <c r="AC79" s="66"/>
      <c r="AD79" s="66"/>
      <c r="AE79" s="69">
        <v>6685</v>
      </c>
      <c r="AF79" s="70"/>
      <c r="AG79" s="66" t="s">
        <v>187</v>
      </c>
    </row>
    <row r="80" spans="1:33" x14ac:dyDescent="0.25">
      <c r="A80" s="66" t="s">
        <v>179</v>
      </c>
      <c r="B80" s="66">
        <v>901541137</v>
      </c>
      <c r="C80" s="66">
        <v>146266</v>
      </c>
      <c r="D80" s="67">
        <v>45982.71361111111</v>
      </c>
      <c r="E80" s="68">
        <v>2025</v>
      </c>
      <c r="F80" s="66">
        <v>11</v>
      </c>
      <c r="G80" s="66" t="s">
        <v>128</v>
      </c>
      <c r="H80" s="66" t="s">
        <v>128</v>
      </c>
      <c r="I80" s="66" t="s">
        <v>180</v>
      </c>
      <c r="J80" s="67">
        <v>45982</v>
      </c>
      <c r="K80" s="66"/>
      <c r="L80" s="66"/>
      <c r="M80" s="66"/>
      <c r="N80" s="66"/>
      <c r="O80" s="66"/>
      <c r="P80" s="66" t="s">
        <v>298</v>
      </c>
      <c r="Q80" s="66" t="s">
        <v>182</v>
      </c>
      <c r="R80" s="66" t="s">
        <v>183</v>
      </c>
      <c r="S80" s="66"/>
      <c r="T80" s="66"/>
      <c r="U80" s="69">
        <v>82085</v>
      </c>
      <c r="V80" s="69">
        <v>82085</v>
      </c>
      <c r="W80" s="67">
        <v>45967.349780092591</v>
      </c>
      <c r="X80" s="66"/>
      <c r="Y80" s="66" t="s">
        <v>183</v>
      </c>
      <c r="Z80" s="66" t="s">
        <v>184</v>
      </c>
      <c r="AA80" s="66" t="s">
        <v>185</v>
      </c>
      <c r="AB80" s="66" t="s">
        <v>186</v>
      </c>
      <c r="AC80" s="66"/>
      <c r="AD80" s="66"/>
      <c r="AE80" s="69">
        <v>6685</v>
      </c>
      <c r="AF80" s="70"/>
      <c r="AG80" s="66" t="s">
        <v>301</v>
      </c>
    </row>
    <row r="81" spans="1:33" x14ac:dyDescent="0.25">
      <c r="A81" s="66" t="s">
        <v>179</v>
      </c>
      <c r="B81" s="66">
        <v>901541137</v>
      </c>
      <c r="C81" s="66">
        <v>144227</v>
      </c>
      <c r="D81" s="67">
        <v>45971.389918981484</v>
      </c>
      <c r="E81" s="68">
        <v>2025</v>
      </c>
      <c r="F81" s="66">
        <v>11</v>
      </c>
      <c r="G81" s="66" t="s">
        <v>85</v>
      </c>
      <c r="H81" s="66" t="s">
        <v>85</v>
      </c>
      <c r="I81" s="66" t="s">
        <v>180</v>
      </c>
      <c r="J81" s="67">
        <v>45971</v>
      </c>
      <c r="K81" s="66"/>
      <c r="L81" s="66"/>
      <c r="M81" s="66"/>
      <c r="N81" s="66"/>
      <c r="O81" s="66"/>
      <c r="P81" s="66" t="s">
        <v>181</v>
      </c>
      <c r="Q81" s="66" t="s">
        <v>182</v>
      </c>
      <c r="R81" s="66" t="s">
        <v>183</v>
      </c>
      <c r="S81" s="66"/>
      <c r="T81" s="66"/>
      <c r="U81" s="69">
        <v>2083997</v>
      </c>
      <c r="V81" s="69">
        <v>2083997</v>
      </c>
      <c r="W81" s="67">
        <v>45933.451701388891</v>
      </c>
      <c r="X81" s="66"/>
      <c r="Y81" s="66" t="s">
        <v>183</v>
      </c>
      <c r="Z81" s="66" t="s">
        <v>184</v>
      </c>
      <c r="AA81" s="66" t="s">
        <v>215</v>
      </c>
      <c r="AB81" s="66" t="s">
        <v>216</v>
      </c>
      <c r="AC81" s="66"/>
      <c r="AD81" s="66"/>
      <c r="AE81" s="69">
        <v>1927200</v>
      </c>
      <c r="AF81" s="70"/>
      <c r="AG81" s="66" t="s">
        <v>302</v>
      </c>
    </row>
    <row r="82" spans="1:33" x14ac:dyDescent="0.25">
      <c r="A82" s="66" t="s">
        <v>179</v>
      </c>
      <c r="B82" s="66">
        <v>901541137</v>
      </c>
      <c r="C82" s="66">
        <v>145638</v>
      </c>
      <c r="D82" s="67">
        <v>45975.381805555553</v>
      </c>
      <c r="E82" s="68">
        <v>2025</v>
      </c>
      <c r="F82" s="66">
        <v>11</v>
      </c>
      <c r="G82" s="66" t="s">
        <v>106</v>
      </c>
      <c r="H82" s="66" t="s">
        <v>106</v>
      </c>
      <c r="I82" s="66" t="s">
        <v>180</v>
      </c>
      <c r="J82" s="67">
        <v>45975</v>
      </c>
      <c r="K82" s="66"/>
      <c r="L82" s="66"/>
      <c r="M82" s="66"/>
      <c r="N82" s="66"/>
      <c r="O82" s="66"/>
      <c r="P82" s="66" t="s">
        <v>181</v>
      </c>
      <c r="Q82" s="66" t="s">
        <v>182</v>
      </c>
      <c r="R82" s="66" t="s">
        <v>183</v>
      </c>
      <c r="S82" s="66"/>
      <c r="T82" s="66"/>
      <c r="U82" s="69">
        <v>1701716</v>
      </c>
      <c r="V82" s="69">
        <v>1701716</v>
      </c>
      <c r="W82" s="67">
        <v>45952.593865740739</v>
      </c>
      <c r="X82" s="66"/>
      <c r="Y82" s="66" t="s">
        <v>183</v>
      </c>
      <c r="Z82" s="66" t="s">
        <v>184</v>
      </c>
      <c r="AA82" s="66" t="s">
        <v>303</v>
      </c>
      <c r="AB82" s="66" t="s">
        <v>304</v>
      </c>
      <c r="AC82" s="66"/>
      <c r="AD82" s="66"/>
      <c r="AE82" s="69">
        <v>1617070</v>
      </c>
      <c r="AF82" s="70"/>
      <c r="AG82" s="66" t="s">
        <v>305</v>
      </c>
    </row>
    <row r="83" spans="1:33" x14ac:dyDescent="0.25">
      <c r="A83" s="66" t="s">
        <v>179</v>
      </c>
      <c r="B83" s="66">
        <v>901541137</v>
      </c>
      <c r="C83" s="66">
        <v>145685</v>
      </c>
      <c r="D83" s="67">
        <v>45979.555509259262</v>
      </c>
      <c r="E83" s="68">
        <v>2025</v>
      </c>
      <c r="F83" s="66">
        <v>11</v>
      </c>
      <c r="G83" s="66" t="s">
        <v>97</v>
      </c>
      <c r="H83" s="66" t="s">
        <v>97</v>
      </c>
      <c r="I83" s="66" t="s">
        <v>180</v>
      </c>
      <c r="J83" s="67">
        <v>45979</v>
      </c>
      <c r="K83" s="66"/>
      <c r="L83" s="66"/>
      <c r="M83" s="66"/>
      <c r="N83" s="66"/>
      <c r="O83" s="66"/>
      <c r="P83" s="66" t="s">
        <v>181</v>
      </c>
      <c r="Q83" s="66" t="s">
        <v>182</v>
      </c>
      <c r="R83" s="66" t="s">
        <v>306</v>
      </c>
      <c r="S83" s="66"/>
      <c r="T83" s="66"/>
      <c r="U83" s="69">
        <v>87702</v>
      </c>
      <c r="V83" s="69">
        <v>87702</v>
      </c>
      <c r="W83" s="67">
        <v>45938.61074074074</v>
      </c>
      <c r="X83" s="66"/>
      <c r="Y83" s="66" t="s">
        <v>306</v>
      </c>
      <c r="Z83" s="66" t="s">
        <v>184</v>
      </c>
      <c r="AA83" s="66" t="s">
        <v>237</v>
      </c>
      <c r="AB83" s="66" t="s">
        <v>238</v>
      </c>
      <c r="AC83" s="66"/>
      <c r="AD83" s="66"/>
      <c r="AE83" s="69">
        <v>87702</v>
      </c>
      <c r="AF83" s="70"/>
      <c r="AG83" s="66" t="s">
        <v>307</v>
      </c>
    </row>
    <row r="84" spans="1:33" x14ac:dyDescent="0.25">
      <c r="A84" s="66" t="s">
        <v>179</v>
      </c>
      <c r="B84" s="66">
        <v>901541137</v>
      </c>
      <c r="C84" s="66">
        <v>144544</v>
      </c>
      <c r="D84" s="67">
        <v>45972.825787037036</v>
      </c>
      <c r="E84" s="68">
        <v>2025</v>
      </c>
      <c r="F84" s="66">
        <v>11</v>
      </c>
      <c r="G84" s="66" t="s">
        <v>90</v>
      </c>
      <c r="H84" s="66" t="s">
        <v>90</v>
      </c>
      <c r="I84" s="66" t="s">
        <v>180</v>
      </c>
      <c r="J84" s="67">
        <v>45972</v>
      </c>
      <c r="K84" s="66"/>
      <c r="L84" s="66"/>
      <c r="M84" s="66"/>
      <c r="N84" s="66"/>
      <c r="O84" s="66"/>
      <c r="P84" s="66" t="s">
        <v>181</v>
      </c>
      <c r="Q84" s="66" t="s">
        <v>182</v>
      </c>
      <c r="R84" s="66" t="s">
        <v>183</v>
      </c>
      <c r="S84" s="66"/>
      <c r="T84" s="66"/>
      <c r="U84" s="69">
        <v>231405</v>
      </c>
      <c r="V84" s="69">
        <v>231405</v>
      </c>
      <c r="W84" s="67">
        <v>45947.50371527778</v>
      </c>
      <c r="X84" s="66"/>
      <c r="Y84" s="66" t="s">
        <v>183</v>
      </c>
      <c r="Z84" s="66" t="s">
        <v>184</v>
      </c>
      <c r="AA84" s="66" t="s">
        <v>185</v>
      </c>
      <c r="AB84" s="66" t="s">
        <v>186</v>
      </c>
      <c r="AC84" s="66"/>
      <c r="AD84" s="66"/>
      <c r="AE84" s="69">
        <v>31297</v>
      </c>
      <c r="AF84" s="70"/>
      <c r="AG84" s="66" t="s">
        <v>297</v>
      </c>
    </row>
    <row r="85" spans="1:33" x14ac:dyDescent="0.25">
      <c r="A85" s="66" t="s">
        <v>179</v>
      </c>
      <c r="B85" s="66">
        <v>901541137</v>
      </c>
      <c r="C85" s="66">
        <v>145910</v>
      </c>
      <c r="D85" s="67">
        <v>45980.369328703702</v>
      </c>
      <c r="E85" s="68">
        <v>2025</v>
      </c>
      <c r="F85" s="66">
        <v>11</v>
      </c>
      <c r="G85" s="66" t="s">
        <v>111</v>
      </c>
      <c r="H85" s="66" t="s">
        <v>111</v>
      </c>
      <c r="I85" s="66" t="s">
        <v>180</v>
      </c>
      <c r="J85" s="67">
        <v>45980</v>
      </c>
      <c r="K85" s="66"/>
      <c r="L85" s="66"/>
      <c r="M85" s="66"/>
      <c r="N85" s="66"/>
      <c r="O85" s="66"/>
      <c r="P85" s="66" t="s">
        <v>181</v>
      </c>
      <c r="Q85" s="66" t="s">
        <v>182</v>
      </c>
      <c r="R85" s="66" t="s">
        <v>189</v>
      </c>
      <c r="S85" s="66"/>
      <c r="T85" s="66"/>
      <c r="U85" s="69">
        <v>665028</v>
      </c>
      <c r="V85" s="69">
        <v>665028</v>
      </c>
      <c r="W85" s="67">
        <v>45862.772928240738</v>
      </c>
      <c r="X85" s="66"/>
      <c r="Y85" s="66" t="s">
        <v>189</v>
      </c>
      <c r="Z85" s="66" t="s">
        <v>184</v>
      </c>
      <c r="AA85" s="66" t="s">
        <v>212</v>
      </c>
      <c r="AB85" s="66" t="s">
        <v>213</v>
      </c>
      <c r="AC85" s="66"/>
      <c r="AD85" s="66"/>
      <c r="AE85" s="69">
        <v>450</v>
      </c>
      <c r="AF85" s="70"/>
      <c r="AG85" s="66" t="s">
        <v>308</v>
      </c>
    </row>
    <row r="86" spans="1:33" x14ac:dyDescent="0.25">
      <c r="A86" s="66" t="s">
        <v>179</v>
      </c>
      <c r="B86" s="66">
        <v>901541137</v>
      </c>
      <c r="C86" s="66">
        <v>145641</v>
      </c>
      <c r="D86" s="67">
        <v>45975</v>
      </c>
      <c r="E86" s="68">
        <v>2025</v>
      </c>
      <c r="F86" s="66">
        <v>11</v>
      </c>
      <c r="G86" s="66" t="s">
        <v>108</v>
      </c>
      <c r="H86" s="66" t="s">
        <v>108</v>
      </c>
      <c r="I86" s="66" t="s">
        <v>180</v>
      </c>
      <c r="J86" s="67">
        <v>45975</v>
      </c>
      <c r="K86" s="66"/>
      <c r="L86" s="66"/>
      <c r="M86" s="66"/>
      <c r="N86" s="66"/>
      <c r="O86" s="66"/>
      <c r="P86" s="66" t="s">
        <v>181</v>
      </c>
      <c r="Q86" s="66" t="s">
        <v>182</v>
      </c>
      <c r="R86" s="66" t="s">
        <v>183</v>
      </c>
      <c r="S86" s="66"/>
      <c r="T86" s="66"/>
      <c r="U86" s="69">
        <v>1894348</v>
      </c>
      <c r="V86" s="69">
        <v>1894348</v>
      </c>
      <c r="W86" s="67">
        <v>45953.702789351853</v>
      </c>
      <c r="X86" s="66"/>
      <c r="Y86" s="66" t="s">
        <v>183</v>
      </c>
      <c r="Z86" s="66" t="s">
        <v>184</v>
      </c>
      <c r="AA86" s="66" t="s">
        <v>303</v>
      </c>
      <c r="AB86" s="66" t="s">
        <v>304</v>
      </c>
      <c r="AC86" s="66"/>
      <c r="AD86" s="66"/>
      <c r="AE86" s="69">
        <v>1689585</v>
      </c>
      <c r="AF86" s="70"/>
      <c r="AG86" s="66" t="s">
        <v>305</v>
      </c>
    </row>
    <row r="87" spans="1:33" x14ac:dyDescent="0.25">
      <c r="A87" s="66" t="s">
        <v>179</v>
      </c>
      <c r="B87" s="66">
        <v>901541137</v>
      </c>
      <c r="C87" s="66">
        <v>145637</v>
      </c>
      <c r="D87" s="67">
        <v>45975.381249999999</v>
      </c>
      <c r="E87" s="68">
        <v>2025</v>
      </c>
      <c r="F87" s="66">
        <v>11</v>
      </c>
      <c r="G87" s="66" t="s">
        <v>105</v>
      </c>
      <c r="H87" s="66" t="s">
        <v>105</v>
      </c>
      <c r="I87" s="66" t="s">
        <v>180</v>
      </c>
      <c r="J87" s="67">
        <v>45975</v>
      </c>
      <c r="K87" s="66"/>
      <c r="L87" s="66"/>
      <c r="M87" s="66"/>
      <c r="N87" s="66"/>
      <c r="O87" s="66"/>
      <c r="P87" s="66" t="s">
        <v>181</v>
      </c>
      <c r="Q87" s="66" t="s">
        <v>182</v>
      </c>
      <c r="R87" s="66" t="s">
        <v>183</v>
      </c>
      <c r="S87" s="66"/>
      <c r="T87" s="66"/>
      <c r="U87" s="69">
        <v>1112776</v>
      </c>
      <c r="V87" s="69">
        <v>1112776</v>
      </c>
      <c r="W87" s="67">
        <v>45950.716736111113</v>
      </c>
      <c r="X87" s="66"/>
      <c r="Y87" s="66" t="s">
        <v>183</v>
      </c>
      <c r="Z87" s="66" t="s">
        <v>184</v>
      </c>
      <c r="AA87" s="66" t="s">
        <v>303</v>
      </c>
      <c r="AB87" s="66" t="s">
        <v>304</v>
      </c>
      <c r="AC87" s="66"/>
      <c r="AD87" s="66"/>
      <c r="AE87" s="69">
        <v>1112776</v>
      </c>
      <c r="AF87" s="70"/>
      <c r="AG87" s="66" t="s">
        <v>305</v>
      </c>
    </row>
    <row r="88" spans="1:33" x14ac:dyDescent="0.25">
      <c r="A88" s="66" t="s">
        <v>179</v>
      </c>
      <c r="B88" s="66">
        <v>901541137</v>
      </c>
      <c r="C88" s="66">
        <v>142923</v>
      </c>
      <c r="D88" s="67">
        <v>45965.345972222225</v>
      </c>
      <c r="E88" s="68">
        <v>2025</v>
      </c>
      <c r="F88" s="66">
        <v>11</v>
      </c>
      <c r="G88" s="66" t="s">
        <v>73</v>
      </c>
      <c r="H88" s="66" t="s">
        <v>73</v>
      </c>
      <c r="I88" s="66" t="s">
        <v>180</v>
      </c>
      <c r="J88" s="67">
        <v>45965</v>
      </c>
      <c r="K88" s="66"/>
      <c r="L88" s="66"/>
      <c r="M88" s="66"/>
      <c r="N88" s="66"/>
      <c r="O88" s="66"/>
      <c r="P88" s="66" t="s">
        <v>181</v>
      </c>
      <c r="Q88" s="66" t="s">
        <v>182</v>
      </c>
      <c r="R88" s="66" t="s">
        <v>183</v>
      </c>
      <c r="S88" s="66"/>
      <c r="T88" s="66"/>
      <c r="U88" s="69">
        <v>33560952</v>
      </c>
      <c r="V88" s="69">
        <v>33560952</v>
      </c>
      <c r="W88" s="67">
        <v>45916.644467592596</v>
      </c>
      <c r="X88" s="66"/>
      <c r="Y88" s="66" t="s">
        <v>183</v>
      </c>
      <c r="Z88" s="66" t="s">
        <v>184</v>
      </c>
      <c r="AA88" s="66" t="s">
        <v>309</v>
      </c>
      <c r="AB88" s="66" t="s">
        <v>310</v>
      </c>
      <c r="AC88" s="66"/>
      <c r="AD88" s="66"/>
      <c r="AE88" s="69">
        <v>6804283</v>
      </c>
      <c r="AF88" s="70"/>
      <c r="AG88" s="66" t="s">
        <v>311</v>
      </c>
    </row>
    <row r="89" spans="1:33" x14ac:dyDescent="0.25">
      <c r="A89" s="66" t="s">
        <v>179</v>
      </c>
      <c r="B89" s="66">
        <v>901541137</v>
      </c>
      <c r="C89" s="66">
        <v>142936</v>
      </c>
      <c r="D89" s="67">
        <v>45965.346712962964</v>
      </c>
      <c r="E89" s="68">
        <v>2025</v>
      </c>
      <c r="F89" s="66">
        <v>11</v>
      </c>
      <c r="G89" s="66" t="s">
        <v>74</v>
      </c>
      <c r="H89" s="66" t="s">
        <v>74</v>
      </c>
      <c r="I89" s="66" t="s">
        <v>197</v>
      </c>
      <c r="J89" s="67">
        <v>45965</v>
      </c>
      <c r="K89" s="66"/>
      <c r="L89" s="66"/>
      <c r="M89" s="66"/>
      <c r="N89" s="66"/>
      <c r="O89" s="66"/>
      <c r="P89" s="66" t="s">
        <v>181</v>
      </c>
      <c r="Q89" s="66" t="s">
        <v>182</v>
      </c>
      <c r="R89" s="66" t="s">
        <v>183</v>
      </c>
      <c r="S89" s="66"/>
      <c r="T89" s="66"/>
      <c r="U89" s="69">
        <v>62123956</v>
      </c>
      <c r="V89" s="69">
        <v>62123956</v>
      </c>
      <c r="W89" s="67">
        <v>45921.626550925925</v>
      </c>
      <c r="X89" s="66"/>
      <c r="Y89" s="66" t="s">
        <v>183</v>
      </c>
      <c r="Z89" s="66" t="s">
        <v>184</v>
      </c>
      <c r="AA89" s="66" t="s">
        <v>194</v>
      </c>
      <c r="AB89" s="66" t="s">
        <v>195</v>
      </c>
      <c r="AC89" s="66"/>
      <c r="AD89" s="66"/>
      <c r="AE89" s="69">
        <v>3456904</v>
      </c>
      <c r="AF89" s="70"/>
      <c r="AG89" s="66" t="s">
        <v>312</v>
      </c>
    </row>
    <row r="90" spans="1:33" x14ac:dyDescent="0.25">
      <c r="A90" s="66" t="s">
        <v>179</v>
      </c>
      <c r="B90" s="66">
        <v>901541137</v>
      </c>
      <c r="C90" s="66">
        <v>142936</v>
      </c>
      <c r="D90" s="67">
        <v>45965.346712962964</v>
      </c>
      <c r="E90" s="68">
        <v>2025</v>
      </c>
      <c r="F90" s="66">
        <v>11</v>
      </c>
      <c r="G90" s="66" t="s">
        <v>74</v>
      </c>
      <c r="H90" s="66" t="s">
        <v>74</v>
      </c>
      <c r="I90" s="66" t="s">
        <v>197</v>
      </c>
      <c r="J90" s="67">
        <v>45965</v>
      </c>
      <c r="K90" s="66"/>
      <c r="L90" s="66"/>
      <c r="M90" s="66"/>
      <c r="N90" s="66"/>
      <c r="O90" s="66"/>
      <c r="P90" s="66" t="s">
        <v>181</v>
      </c>
      <c r="Q90" s="66" t="s">
        <v>182</v>
      </c>
      <c r="R90" s="66" t="s">
        <v>183</v>
      </c>
      <c r="S90" s="66"/>
      <c r="T90" s="66"/>
      <c r="U90" s="69">
        <v>62123956</v>
      </c>
      <c r="V90" s="69">
        <v>62123956</v>
      </c>
      <c r="W90" s="67">
        <v>45921.626550925925</v>
      </c>
      <c r="X90" s="66"/>
      <c r="Y90" s="66" t="s">
        <v>183</v>
      </c>
      <c r="Z90" s="66" t="s">
        <v>184</v>
      </c>
      <c r="AA90" s="66" t="s">
        <v>309</v>
      </c>
      <c r="AB90" s="66" t="s">
        <v>310</v>
      </c>
      <c r="AC90" s="66"/>
      <c r="AD90" s="66"/>
      <c r="AE90" s="69">
        <v>9363700</v>
      </c>
      <c r="AF90" s="70"/>
      <c r="AG90" s="66" t="s">
        <v>313</v>
      </c>
    </row>
    <row r="91" spans="1:33" x14ac:dyDescent="0.25">
      <c r="A91" s="66" t="s">
        <v>179</v>
      </c>
      <c r="B91" s="66">
        <v>901541137</v>
      </c>
      <c r="C91" s="66">
        <v>142936</v>
      </c>
      <c r="D91" s="67">
        <v>45965.346712962964</v>
      </c>
      <c r="E91" s="68">
        <v>2025</v>
      </c>
      <c r="F91" s="66">
        <v>11</v>
      </c>
      <c r="G91" s="66" t="s">
        <v>74</v>
      </c>
      <c r="H91" s="66" t="s">
        <v>74</v>
      </c>
      <c r="I91" s="66" t="s">
        <v>197</v>
      </c>
      <c r="J91" s="67">
        <v>45965</v>
      </c>
      <c r="K91" s="66"/>
      <c r="L91" s="66"/>
      <c r="M91" s="66"/>
      <c r="N91" s="66"/>
      <c r="O91" s="66"/>
      <c r="P91" s="66" t="s">
        <v>181</v>
      </c>
      <c r="Q91" s="66" t="s">
        <v>182</v>
      </c>
      <c r="R91" s="66" t="s">
        <v>183</v>
      </c>
      <c r="S91" s="66"/>
      <c r="T91" s="66"/>
      <c r="U91" s="69">
        <v>62123956</v>
      </c>
      <c r="V91" s="69">
        <v>62123956</v>
      </c>
      <c r="W91" s="67">
        <v>45921.626550925925</v>
      </c>
      <c r="X91" s="66"/>
      <c r="Y91" s="66" t="s">
        <v>183</v>
      </c>
      <c r="Z91" s="66" t="s">
        <v>184</v>
      </c>
      <c r="AA91" s="66" t="s">
        <v>314</v>
      </c>
      <c r="AB91" s="66" t="s">
        <v>315</v>
      </c>
      <c r="AC91" s="66"/>
      <c r="AD91" s="66"/>
      <c r="AE91" s="69">
        <v>4126746</v>
      </c>
      <c r="AF91" s="70"/>
      <c r="AG91" s="66" t="s">
        <v>316</v>
      </c>
    </row>
    <row r="92" spans="1:33" x14ac:dyDescent="0.25">
      <c r="A92" s="66" t="s">
        <v>179</v>
      </c>
      <c r="B92" s="66">
        <v>901541137</v>
      </c>
      <c r="C92" s="66">
        <v>142966</v>
      </c>
      <c r="D92" s="67">
        <v>45965.356921296298</v>
      </c>
      <c r="E92" s="68">
        <v>2025</v>
      </c>
      <c r="F92" s="66">
        <v>11</v>
      </c>
      <c r="G92" s="66" t="s">
        <v>75</v>
      </c>
      <c r="H92" s="66" t="s">
        <v>75</v>
      </c>
      <c r="I92" s="66" t="s">
        <v>180</v>
      </c>
      <c r="J92" s="67">
        <v>45965</v>
      </c>
      <c r="K92" s="66"/>
      <c r="L92" s="66"/>
      <c r="M92" s="66"/>
      <c r="N92" s="66"/>
      <c r="O92" s="66"/>
      <c r="P92" s="66" t="s">
        <v>181</v>
      </c>
      <c r="Q92" s="66" t="s">
        <v>182</v>
      </c>
      <c r="R92" s="66" t="s">
        <v>183</v>
      </c>
      <c r="S92" s="66"/>
      <c r="T92" s="66"/>
      <c r="U92" s="69">
        <v>22099428</v>
      </c>
      <c r="V92" s="69">
        <v>22099428</v>
      </c>
      <c r="W92" s="67">
        <v>45922.701249999998</v>
      </c>
      <c r="X92" s="66"/>
      <c r="Y92" s="66" t="s">
        <v>183</v>
      </c>
      <c r="Z92" s="66" t="s">
        <v>184</v>
      </c>
      <c r="AA92" s="66" t="s">
        <v>309</v>
      </c>
      <c r="AB92" s="66" t="s">
        <v>310</v>
      </c>
      <c r="AC92" s="66"/>
      <c r="AD92" s="66"/>
      <c r="AE92" s="69">
        <v>15137800</v>
      </c>
      <c r="AF92" s="70"/>
      <c r="AG92" s="66" t="s">
        <v>317</v>
      </c>
    </row>
    <row r="93" spans="1:33" x14ac:dyDescent="0.25">
      <c r="A93" s="66" t="s">
        <v>179</v>
      </c>
      <c r="B93" s="66">
        <v>901541137</v>
      </c>
      <c r="C93" s="66">
        <v>142973</v>
      </c>
      <c r="D93" s="67">
        <v>45965.369212962964</v>
      </c>
      <c r="E93" s="68">
        <v>2025</v>
      </c>
      <c r="F93" s="66">
        <v>11</v>
      </c>
      <c r="G93" s="66" t="s">
        <v>76</v>
      </c>
      <c r="H93" s="66" t="s">
        <v>76</v>
      </c>
      <c r="I93" s="66" t="s">
        <v>197</v>
      </c>
      <c r="J93" s="67">
        <v>45965</v>
      </c>
      <c r="K93" s="66"/>
      <c r="L93" s="66"/>
      <c r="M93" s="66"/>
      <c r="N93" s="66"/>
      <c r="O93" s="66"/>
      <c r="P93" s="66" t="s">
        <v>181</v>
      </c>
      <c r="Q93" s="66" t="s">
        <v>182</v>
      </c>
      <c r="R93" s="66" t="s">
        <v>183</v>
      </c>
      <c r="S93" s="66"/>
      <c r="T93" s="66"/>
      <c r="U93" s="69">
        <v>13051351</v>
      </c>
      <c r="V93" s="69">
        <v>13449931</v>
      </c>
      <c r="W93" s="67">
        <v>45924.487974537034</v>
      </c>
      <c r="X93" s="66"/>
      <c r="Y93" s="66" t="s">
        <v>183</v>
      </c>
      <c r="Z93" s="66" t="s">
        <v>184</v>
      </c>
      <c r="AA93" s="66" t="s">
        <v>194</v>
      </c>
      <c r="AB93" s="66" t="s">
        <v>195</v>
      </c>
      <c r="AC93" s="66"/>
      <c r="AD93" s="66"/>
      <c r="AE93" s="69">
        <v>925900</v>
      </c>
      <c r="AF93" s="70"/>
      <c r="AG93" s="66" t="s">
        <v>318</v>
      </c>
    </row>
    <row r="94" spans="1:33" x14ac:dyDescent="0.25">
      <c r="A94" s="66" t="s">
        <v>179</v>
      </c>
      <c r="B94" s="66">
        <v>901541137</v>
      </c>
      <c r="C94" s="66">
        <v>142973</v>
      </c>
      <c r="D94" s="67">
        <v>45965.369212962964</v>
      </c>
      <c r="E94" s="68">
        <v>2025</v>
      </c>
      <c r="F94" s="66">
        <v>11</v>
      </c>
      <c r="G94" s="66" t="s">
        <v>76</v>
      </c>
      <c r="H94" s="66" t="s">
        <v>76</v>
      </c>
      <c r="I94" s="66" t="s">
        <v>197</v>
      </c>
      <c r="J94" s="67">
        <v>45965</v>
      </c>
      <c r="K94" s="66"/>
      <c r="L94" s="66"/>
      <c r="M94" s="66"/>
      <c r="N94" s="66"/>
      <c r="O94" s="66"/>
      <c r="P94" s="66" t="s">
        <v>181</v>
      </c>
      <c r="Q94" s="66" t="s">
        <v>182</v>
      </c>
      <c r="R94" s="66" t="s">
        <v>183</v>
      </c>
      <c r="S94" s="66"/>
      <c r="T94" s="66"/>
      <c r="U94" s="69">
        <v>13051351</v>
      </c>
      <c r="V94" s="69">
        <v>13449931</v>
      </c>
      <c r="W94" s="67">
        <v>45924.487974537034</v>
      </c>
      <c r="X94" s="66"/>
      <c r="Y94" s="66" t="s">
        <v>183</v>
      </c>
      <c r="Z94" s="66" t="s">
        <v>184</v>
      </c>
      <c r="AA94" s="66" t="s">
        <v>190</v>
      </c>
      <c r="AB94" s="66" t="s">
        <v>191</v>
      </c>
      <c r="AC94" s="66"/>
      <c r="AD94" s="66"/>
      <c r="AE94" s="69">
        <v>398580</v>
      </c>
      <c r="AF94" s="70"/>
      <c r="AG94" s="66" t="s">
        <v>319</v>
      </c>
    </row>
    <row r="95" spans="1:33" x14ac:dyDescent="0.25">
      <c r="A95" s="66" t="s">
        <v>179</v>
      </c>
      <c r="B95" s="66">
        <v>901541137</v>
      </c>
      <c r="C95" s="66">
        <v>142985</v>
      </c>
      <c r="D95" s="67">
        <v>45965.376435185186</v>
      </c>
      <c r="E95" s="68">
        <v>2025</v>
      </c>
      <c r="F95" s="66">
        <v>11</v>
      </c>
      <c r="G95" s="66" t="s">
        <v>78</v>
      </c>
      <c r="H95" s="66" t="s">
        <v>78</v>
      </c>
      <c r="I95" s="66" t="s">
        <v>180</v>
      </c>
      <c r="J95" s="67">
        <v>45965</v>
      </c>
      <c r="K95" s="66"/>
      <c r="L95" s="66"/>
      <c r="M95" s="66"/>
      <c r="N95" s="66"/>
      <c r="O95" s="66"/>
      <c r="P95" s="66" t="s">
        <v>181</v>
      </c>
      <c r="Q95" s="66" t="s">
        <v>182</v>
      </c>
      <c r="R95" s="66" t="s">
        <v>183</v>
      </c>
      <c r="S95" s="66"/>
      <c r="T95" s="66"/>
      <c r="U95" s="69">
        <v>45083083</v>
      </c>
      <c r="V95" s="69">
        <v>45083083</v>
      </c>
      <c r="W95" s="67">
        <v>45930.735983796294</v>
      </c>
      <c r="X95" s="66"/>
      <c r="Y95" s="66" t="s">
        <v>183</v>
      </c>
      <c r="Z95" s="66" t="s">
        <v>184</v>
      </c>
      <c r="AA95" s="66" t="s">
        <v>227</v>
      </c>
      <c r="AB95" s="66" t="s">
        <v>228</v>
      </c>
      <c r="AC95" s="66"/>
      <c r="AD95" s="66"/>
      <c r="AE95" s="69">
        <v>6155700</v>
      </c>
      <c r="AF95" s="70"/>
      <c r="AG95" s="66" t="s">
        <v>320</v>
      </c>
    </row>
    <row r="96" spans="1:33" x14ac:dyDescent="0.25">
      <c r="A96" s="66" t="s">
        <v>179</v>
      </c>
      <c r="B96" s="66">
        <v>901541137</v>
      </c>
      <c r="C96" s="66">
        <v>142985</v>
      </c>
      <c r="D96" s="67">
        <v>45965.376435185186</v>
      </c>
      <c r="E96" s="68">
        <v>2025</v>
      </c>
      <c r="F96" s="66">
        <v>11</v>
      </c>
      <c r="G96" s="66" t="s">
        <v>78</v>
      </c>
      <c r="H96" s="66" t="s">
        <v>78</v>
      </c>
      <c r="I96" s="66" t="s">
        <v>180</v>
      </c>
      <c r="J96" s="67">
        <v>45965</v>
      </c>
      <c r="K96" s="66"/>
      <c r="L96" s="66"/>
      <c r="M96" s="66"/>
      <c r="N96" s="66"/>
      <c r="O96" s="66"/>
      <c r="P96" s="66" t="s">
        <v>181</v>
      </c>
      <c r="Q96" s="66" t="s">
        <v>182</v>
      </c>
      <c r="R96" s="66" t="s">
        <v>183</v>
      </c>
      <c r="S96" s="66"/>
      <c r="T96" s="66"/>
      <c r="U96" s="69">
        <v>45083083</v>
      </c>
      <c r="V96" s="69">
        <v>45083083</v>
      </c>
      <c r="W96" s="67">
        <v>45930.735983796294</v>
      </c>
      <c r="X96" s="66"/>
      <c r="Y96" s="66" t="s">
        <v>183</v>
      </c>
      <c r="Z96" s="66" t="s">
        <v>184</v>
      </c>
      <c r="AA96" s="66" t="s">
        <v>321</v>
      </c>
      <c r="AB96" s="66" t="s">
        <v>322</v>
      </c>
      <c r="AC96" s="66"/>
      <c r="AD96" s="66"/>
      <c r="AE96" s="69">
        <v>44739</v>
      </c>
      <c r="AF96" s="70"/>
      <c r="AG96" s="66" t="s">
        <v>323</v>
      </c>
    </row>
    <row r="97" spans="1:33" x14ac:dyDescent="0.25">
      <c r="A97" s="66" t="s">
        <v>179</v>
      </c>
      <c r="B97" s="66">
        <v>901541137</v>
      </c>
      <c r="C97" s="66">
        <v>142996</v>
      </c>
      <c r="D97" s="67">
        <v>45965.379189814812</v>
      </c>
      <c r="E97" s="68">
        <v>2025</v>
      </c>
      <c r="F97" s="66">
        <v>11</v>
      </c>
      <c r="G97" s="66" t="s">
        <v>77</v>
      </c>
      <c r="H97" s="66" t="s">
        <v>77</v>
      </c>
      <c r="I97" s="66" t="s">
        <v>180</v>
      </c>
      <c r="J97" s="67">
        <v>45965</v>
      </c>
      <c r="K97" s="66"/>
      <c r="L97" s="66"/>
      <c r="M97" s="66"/>
      <c r="N97" s="66"/>
      <c r="O97" s="66"/>
      <c r="P97" s="66" t="s">
        <v>181</v>
      </c>
      <c r="Q97" s="66" t="s">
        <v>182</v>
      </c>
      <c r="R97" s="66" t="s">
        <v>183</v>
      </c>
      <c r="S97" s="66"/>
      <c r="T97" s="66"/>
      <c r="U97" s="69">
        <v>62634156</v>
      </c>
      <c r="V97" s="69">
        <v>62634156</v>
      </c>
      <c r="W97" s="67">
        <v>45930.76</v>
      </c>
      <c r="X97" s="66"/>
      <c r="Y97" s="66" t="s">
        <v>183</v>
      </c>
      <c r="Z97" s="66" t="s">
        <v>184</v>
      </c>
      <c r="AA97" s="66" t="s">
        <v>185</v>
      </c>
      <c r="AB97" s="66" t="s">
        <v>186</v>
      </c>
      <c r="AC97" s="66"/>
      <c r="AD97" s="66"/>
      <c r="AE97" s="69">
        <v>62235</v>
      </c>
      <c r="AF97" s="70"/>
      <c r="AG97" s="66" t="s">
        <v>324</v>
      </c>
    </row>
    <row r="98" spans="1:33" x14ac:dyDescent="0.25">
      <c r="A98" s="66" t="s">
        <v>179</v>
      </c>
      <c r="B98" s="66">
        <v>901541137</v>
      </c>
      <c r="C98" s="66">
        <v>142996</v>
      </c>
      <c r="D98" s="67">
        <v>45965.379189814812</v>
      </c>
      <c r="E98" s="68">
        <v>2025</v>
      </c>
      <c r="F98" s="66">
        <v>11</v>
      </c>
      <c r="G98" s="66" t="s">
        <v>77</v>
      </c>
      <c r="H98" s="66" t="s">
        <v>77</v>
      </c>
      <c r="I98" s="66" t="s">
        <v>180</v>
      </c>
      <c r="J98" s="67">
        <v>45965</v>
      </c>
      <c r="K98" s="66"/>
      <c r="L98" s="66"/>
      <c r="M98" s="66"/>
      <c r="N98" s="66"/>
      <c r="O98" s="66"/>
      <c r="P98" s="66" t="s">
        <v>181</v>
      </c>
      <c r="Q98" s="66" t="s">
        <v>182</v>
      </c>
      <c r="R98" s="66" t="s">
        <v>183</v>
      </c>
      <c r="S98" s="66"/>
      <c r="T98" s="66"/>
      <c r="U98" s="69">
        <v>62634156</v>
      </c>
      <c r="V98" s="69">
        <v>62634156</v>
      </c>
      <c r="W98" s="67">
        <v>45930.76</v>
      </c>
      <c r="X98" s="66"/>
      <c r="Y98" s="66" t="s">
        <v>183</v>
      </c>
      <c r="Z98" s="66" t="s">
        <v>184</v>
      </c>
      <c r="AA98" s="66" t="s">
        <v>325</v>
      </c>
      <c r="AB98" s="66" t="s">
        <v>326</v>
      </c>
      <c r="AC98" s="66"/>
      <c r="AD98" s="66"/>
      <c r="AE98" s="69">
        <v>232200</v>
      </c>
      <c r="AF98" s="70"/>
      <c r="AG98" s="66" t="s">
        <v>327</v>
      </c>
    </row>
    <row r="99" spans="1:33" x14ac:dyDescent="0.25">
      <c r="A99" s="66" t="s">
        <v>179</v>
      </c>
      <c r="B99" s="66">
        <v>901541137</v>
      </c>
      <c r="C99" s="66">
        <v>142996</v>
      </c>
      <c r="D99" s="67">
        <v>45965.379189814812</v>
      </c>
      <c r="E99" s="68">
        <v>2025</v>
      </c>
      <c r="F99" s="66">
        <v>11</v>
      </c>
      <c r="G99" s="66" t="s">
        <v>77</v>
      </c>
      <c r="H99" s="66" t="s">
        <v>77</v>
      </c>
      <c r="I99" s="66" t="s">
        <v>180</v>
      </c>
      <c r="J99" s="67">
        <v>45965</v>
      </c>
      <c r="K99" s="66"/>
      <c r="L99" s="66"/>
      <c r="M99" s="66"/>
      <c r="N99" s="66"/>
      <c r="O99" s="66"/>
      <c r="P99" s="66" t="s">
        <v>181</v>
      </c>
      <c r="Q99" s="66" t="s">
        <v>182</v>
      </c>
      <c r="R99" s="66" t="s">
        <v>183</v>
      </c>
      <c r="S99" s="66"/>
      <c r="T99" s="66"/>
      <c r="U99" s="69">
        <v>62634156</v>
      </c>
      <c r="V99" s="69">
        <v>62634156</v>
      </c>
      <c r="W99" s="67">
        <v>45930.76</v>
      </c>
      <c r="X99" s="66"/>
      <c r="Y99" s="66" t="s">
        <v>183</v>
      </c>
      <c r="Z99" s="66" t="s">
        <v>184</v>
      </c>
      <c r="AA99" s="66" t="s">
        <v>328</v>
      </c>
      <c r="AB99" s="66" t="s">
        <v>329</v>
      </c>
      <c r="AC99" s="66"/>
      <c r="AD99" s="66"/>
      <c r="AE99" s="69">
        <v>62277</v>
      </c>
      <c r="AF99" s="70"/>
      <c r="AG99" s="66" t="s">
        <v>330</v>
      </c>
    </row>
    <row r="100" spans="1:33" x14ac:dyDescent="0.25">
      <c r="A100" s="66" t="s">
        <v>179</v>
      </c>
      <c r="B100" s="66">
        <v>901541137</v>
      </c>
      <c r="C100" s="66">
        <v>143017</v>
      </c>
      <c r="D100" s="67">
        <v>45965.390405092592</v>
      </c>
      <c r="E100" s="68">
        <v>2025</v>
      </c>
      <c r="F100" s="66">
        <v>11</v>
      </c>
      <c r="G100" s="66" t="s">
        <v>79</v>
      </c>
      <c r="H100" s="66" t="s">
        <v>79</v>
      </c>
      <c r="I100" s="66" t="s">
        <v>180</v>
      </c>
      <c r="J100" s="67">
        <v>45965</v>
      </c>
      <c r="K100" s="66"/>
      <c r="L100" s="66"/>
      <c r="M100" s="66"/>
      <c r="N100" s="66"/>
      <c r="O100" s="66"/>
      <c r="P100" s="66" t="s">
        <v>181</v>
      </c>
      <c r="Q100" s="66" t="s">
        <v>182</v>
      </c>
      <c r="R100" s="66" t="s">
        <v>183</v>
      </c>
      <c r="S100" s="66"/>
      <c r="T100" s="66"/>
      <c r="U100" s="69">
        <v>13888066</v>
      </c>
      <c r="V100" s="69">
        <v>13888066</v>
      </c>
      <c r="W100" s="67">
        <v>45930.645358796297</v>
      </c>
      <c r="X100" s="66"/>
      <c r="Y100" s="66" t="s">
        <v>183</v>
      </c>
      <c r="Z100" s="66" t="s">
        <v>184</v>
      </c>
      <c r="AA100" s="66" t="s">
        <v>212</v>
      </c>
      <c r="AB100" s="66" t="s">
        <v>213</v>
      </c>
      <c r="AC100" s="66"/>
      <c r="AD100" s="66"/>
      <c r="AE100" s="69">
        <v>2065650</v>
      </c>
      <c r="AF100" s="70"/>
      <c r="AG100" s="66" t="s">
        <v>331</v>
      </c>
    </row>
    <row r="101" spans="1:33" x14ac:dyDescent="0.25">
      <c r="A101" s="66" t="s">
        <v>179</v>
      </c>
      <c r="B101" s="66">
        <v>901541137</v>
      </c>
      <c r="C101" s="66">
        <v>143017</v>
      </c>
      <c r="D101" s="67">
        <v>45965.390405092592</v>
      </c>
      <c r="E101" s="68">
        <v>2025</v>
      </c>
      <c r="F101" s="66">
        <v>11</v>
      </c>
      <c r="G101" s="66" t="s">
        <v>79</v>
      </c>
      <c r="H101" s="66" t="s">
        <v>79</v>
      </c>
      <c r="I101" s="66" t="s">
        <v>180</v>
      </c>
      <c r="J101" s="67">
        <v>45965</v>
      </c>
      <c r="K101" s="66"/>
      <c r="L101" s="66"/>
      <c r="M101" s="66"/>
      <c r="N101" s="66"/>
      <c r="O101" s="66"/>
      <c r="P101" s="66" t="s">
        <v>181</v>
      </c>
      <c r="Q101" s="66" t="s">
        <v>182</v>
      </c>
      <c r="R101" s="66" t="s">
        <v>183</v>
      </c>
      <c r="S101" s="66"/>
      <c r="T101" s="66"/>
      <c r="U101" s="69">
        <v>13888066</v>
      </c>
      <c r="V101" s="69">
        <v>13888066</v>
      </c>
      <c r="W101" s="67">
        <v>45930.645358796297</v>
      </c>
      <c r="X101" s="66"/>
      <c r="Y101" s="66" t="s">
        <v>183</v>
      </c>
      <c r="Z101" s="66" t="s">
        <v>184</v>
      </c>
      <c r="AA101" s="66" t="s">
        <v>201</v>
      </c>
      <c r="AB101" s="66" t="s">
        <v>202</v>
      </c>
      <c r="AC101" s="66"/>
      <c r="AD101" s="66"/>
      <c r="AE101" s="69">
        <v>3644048</v>
      </c>
      <c r="AF101" s="70"/>
      <c r="AG101" s="66" t="s">
        <v>332</v>
      </c>
    </row>
    <row r="102" spans="1:33" x14ac:dyDescent="0.25">
      <c r="A102" s="66" t="s">
        <v>179</v>
      </c>
      <c r="B102" s="66">
        <v>901541137</v>
      </c>
      <c r="C102" s="66">
        <v>143017</v>
      </c>
      <c r="D102" s="67">
        <v>45965.390405092592</v>
      </c>
      <c r="E102" s="68">
        <v>2025</v>
      </c>
      <c r="F102" s="66">
        <v>11</v>
      </c>
      <c r="G102" s="66" t="s">
        <v>79</v>
      </c>
      <c r="H102" s="66" t="s">
        <v>79</v>
      </c>
      <c r="I102" s="66" t="s">
        <v>180</v>
      </c>
      <c r="J102" s="67">
        <v>45965</v>
      </c>
      <c r="K102" s="66"/>
      <c r="L102" s="66"/>
      <c r="M102" s="66"/>
      <c r="N102" s="66"/>
      <c r="O102" s="66"/>
      <c r="P102" s="66" t="s">
        <v>181</v>
      </c>
      <c r="Q102" s="66" t="s">
        <v>182</v>
      </c>
      <c r="R102" s="66" t="s">
        <v>183</v>
      </c>
      <c r="S102" s="66"/>
      <c r="T102" s="66"/>
      <c r="U102" s="69">
        <v>13888066</v>
      </c>
      <c r="V102" s="69">
        <v>13888066</v>
      </c>
      <c r="W102" s="67">
        <v>45930.645358796297</v>
      </c>
      <c r="X102" s="66"/>
      <c r="Y102" s="66" t="s">
        <v>183</v>
      </c>
      <c r="Z102" s="66" t="s">
        <v>184</v>
      </c>
      <c r="AA102" s="66" t="s">
        <v>333</v>
      </c>
      <c r="AB102" s="66" t="s">
        <v>334</v>
      </c>
      <c r="AC102" s="66"/>
      <c r="AD102" s="66"/>
      <c r="AE102" s="69">
        <v>666435</v>
      </c>
      <c r="AF102" s="70"/>
      <c r="AG102" s="66" t="s">
        <v>335</v>
      </c>
    </row>
    <row r="103" spans="1:33" x14ac:dyDescent="0.25">
      <c r="A103" s="66" t="s">
        <v>179</v>
      </c>
      <c r="B103" s="66">
        <v>901541137</v>
      </c>
      <c r="C103" s="66">
        <v>143020</v>
      </c>
      <c r="D103" s="67">
        <v>45965.391921296294</v>
      </c>
      <c r="E103" s="68">
        <v>2025</v>
      </c>
      <c r="F103" s="66">
        <v>11</v>
      </c>
      <c r="G103" s="66" t="s">
        <v>80</v>
      </c>
      <c r="H103" s="66" t="s">
        <v>80</v>
      </c>
      <c r="I103" s="66" t="s">
        <v>180</v>
      </c>
      <c r="J103" s="67">
        <v>45965</v>
      </c>
      <c r="K103" s="66"/>
      <c r="L103" s="66"/>
      <c r="M103" s="66"/>
      <c r="N103" s="66"/>
      <c r="O103" s="66"/>
      <c r="P103" s="66" t="s">
        <v>181</v>
      </c>
      <c r="Q103" s="66" t="s">
        <v>182</v>
      </c>
      <c r="R103" s="66" t="s">
        <v>183</v>
      </c>
      <c r="S103" s="66"/>
      <c r="T103" s="66"/>
      <c r="U103" s="69">
        <v>34668018</v>
      </c>
      <c r="V103" s="69">
        <v>34668018</v>
      </c>
      <c r="W103" s="67">
        <v>45930.739155092589</v>
      </c>
      <c r="X103" s="66"/>
      <c r="Y103" s="66" t="s">
        <v>183</v>
      </c>
      <c r="Z103" s="66" t="s">
        <v>184</v>
      </c>
      <c r="AA103" s="66" t="s">
        <v>321</v>
      </c>
      <c r="AB103" s="66" t="s">
        <v>322</v>
      </c>
      <c r="AC103" s="66"/>
      <c r="AD103" s="66"/>
      <c r="AE103" s="69">
        <v>14913</v>
      </c>
      <c r="AF103" s="70"/>
      <c r="AG103" s="66" t="s">
        <v>323</v>
      </c>
    </row>
    <row r="104" spans="1:33" x14ac:dyDescent="0.25">
      <c r="A104" s="66" t="s">
        <v>179</v>
      </c>
      <c r="B104" s="66">
        <v>901541137</v>
      </c>
      <c r="C104" s="66">
        <v>143020</v>
      </c>
      <c r="D104" s="67">
        <v>45965.391921296294</v>
      </c>
      <c r="E104" s="68">
        <v>2025</v>
      </c>
      <c r="F104" s="66">
        <v>11</v>
      </c>
      <c r="G104" s="66" t="s">
        <v>80</v>
      </c>
      <c r="H104" s="66" t="s">
        <v>80</v>
      </c>
      <c r="I104" s="66" t="s">
        <v>180</v>
      </c>
      <c r="J104" s="67">
        <v>45965</v>
      </c>
      <c r="K104" s="66"/>
      <c r="L104" s="66"/>
      <c r="M104" s="66"/>
      <c r="N104" s="66"/>
      <c r="O104" s="66"/>
      <c r="P104" s="66" t="s">
        <v>181</v>
      </c>
      <c r="Q104" s="66" t="s">
        <v>182</v>
      </c>
      <c r="R104" s="66" t="s">
        <v>183</v>
      </c>
      <c r="S104" s="66"/>
      <c r="T104" s="66"/>
      <c r="U104" s="69">
        <v>34668018</v>
      </c>
      <c r="V104" s="69">
        <v>34668018</v>
      </c>
      <c r="W104" s="67">
        <v>45930.739155092589</v>
      </c>
      <c r="X104" s="66"/>
      <c r="Y104" s="66" t="s">
        <v>183</v>
      </c>
      <c r="Z104" s="66" t="s">
        <v>184</v>
      </c>
      <c r="AA104" s="66" t="s">
        <v>336</v>
      </c>
      <c r="AB104" s="66" t="s">
        <v>337</v>
      </c>
      <c r="AC104" s="66"/>
      <c r="AD104" s="66"/>
      <c r="AE104" s="69">
        <v>2010000</v>
      </c>
      <c r="AF104" s="70"/>
      <c r="AG104" s="66" t="s">
        <v>338</v>
      </c>
    </row>
    <row r="105" spans="1:33" x14ac:dyDescent="0.25">
      <c r="A105" s="66" t="s">
        <v>179</v>
      </c>
      <c r="B105" s="66">
        <v>901541137</v>
      </c>
      <c r="C105" s="66">
        <v>143020</v>
      </c>
      <c r="D105" s="67">
        <v>45965.391921296294</v>
      </c>
      <c r="E105" s="68">
        <v>2025</v>
      </c>
      <c r="F105" s="66">
        <v>11</v>
      </c>
      <c r="G105" s="66" t="s">
        <v>80</v>
      </c>
      <c r="H105" s="66" t="s">
        <v>80</v>
      </c>
      <c r="I105" s="66" t="s">
        <v>180</v>
      </c>
      <c r="J105" s="67">
        <v>45965</v>
      </c>
      <c r="K105" s="66"/>
      <c r="L105" s="66"/>
      <c r="M105" s="66"/>
      <c r="N105" s="66"/>
      <c r="O105" s="66"/>
      <c r="P105" s="66" t="s">
        <v>181</v>
      </c>
      <c r="Q105" s="66" t="s">
        <v>182</v>
      </c>
      <c r="R105" s="66" t="s">
        <v>183</v>
      </c>
      <c r="S105" s="66"/>
      <c r="T105" s="66"/>
      <c r="U105" s="69">
        <v>34668018</v>
      </c>
      <c r="V105" s="69">
        <v>34668018</v>
      </c>
      <c r="W105" s="67">
        <v>45930.739155092589</v>
      </c>
      <c r="X105" s="66"/>
      <c r="Y105" s="66" t="s">
        <v>183</v>
      </c>
      <c r="Z105" s="66" t="s">
        <v>184</v>
      </c>
      <c r="AA105" s="66" t="s">
        <v>266</v>
      </c>
      <c r="AB105" s="66" t="s">
        <v>267</v>
      </c>
      <c r="AC105" s="66"/>
      <c r="AD105" s="66"/>
      <c r="AE105" s="69">
        <v>1753254</v>
      </c>
      <c r="AF105" s="70"/>
      <c r="AG105" s="66" t="s">
        <v>339</v>
      </c>
    </row>
    <row r="106" spans="1:33" x14ac:dyDescent="0.25">
      <c r="A106" s="66" t="s">
        <v>179</v>
      </c>
      <c r="B106" s="66">
        <v>901541137</v>
      </c>
      <c r="C106" s="66">
        <v>143020</v>
      </c>
      <c r="D106" s="67">
        <v>45965.391921296294</v>
      </c>
      <c r="E106" s="68">
        <v>2025</v>
      </c>
      <c r="F106" s="66">
        <v>11</v>
      </c>
      <c r="G106" s="66" t="s">
        <v>80</v>
      </c>
      <c r="H106" s="66" t="s">
        <v>80</v>
      </c>
      <c r="I106" s="66" t="s">
        <v>180</v>
      </c>
      <c r="J106" s="67">
        <v>45965</v>
      </c>
      <c r="K106" s="66"/>
      <c r="L106" s="66"/>
      <c r="M106" s="66"/>
      <c r="N106" s="66"/>
      <c r="O106" s="66"/>
      <c r="P106" s="66" t="s">
        <v>181</v>
      </c>
      <c r="Q106" s="66" t="s">
        <v>182</v>
      </c>
      <c r="R106" s="66" t="s">
        <v>183</v>
      </c>
      <c r="S106" s="66"/>
      <c r="T106" s="66"/>
      <c r="U106" s="69">
        <v>34668018</v>
      </c>
      <c r="V106" s="69">
        <v>34668018</v>
      </c>
      <c r="W106" s="67">
        <v>45930.739155092589</v>
      </c>
      <c r="X106" s="66"/>
      <c r="Y106" s="66" t="s">
        <v>183</v>
      </c>
      <c r="Z106" s="66" t="s">
        <v>184</v>
      </c>
      <c r="AA106" s="66" t="s">
        <v>201</v>
      </c>
      <c r="AB106" s="66" t="s">
        <v>202</v>
      </c>
      <c r="AC106" s="66"/>
      <c r="AD106" s="66"/>
      <c r="AE106" s="69">
        <v>3757721</v>
      </c>
      <c r="AF106" s="70"/>
      <c r="AG106" s="66" t="s">
        <v>340</v>
      </c>
    </row>
    <row r="107" spans="1:33" x14ac:dyDescent="0.25">
      <c r="A107" s="66" t="s">
        <v>179</v>
      </c>
      <c r="B107" s="66">
        <v>901541137</v>
      </c>
      <c r="C107" s="66">
        <v>145690</v>
      </c>
      <c r="D107" s="67">
        <v>45979.569722222222</v>
      </c>
      <c r="E107" s="68">
        <v>2025</v>
      </c>
      <c r="F107" s="66">
        <v>11</v>
      </c>
      <c r="G107" s="66" t="s">
        <v>98</v>
      </c>
      <c r="H107" s="66" t="s">
        <v>98</v>
      </c>
      <c r="I107" s="66" t="s">
        <v>180</v>
      </c>
      <c r="J107" s="67">
        <v>45979</v>
      </c>
      <c r="K107" s="66"/>
      <c r="L107" s="66"/>
      <c r="M107" s="66"/>
      <c r="N107" s="66"/>
      <c r="O107" s="66"/>
      <c r="P107" s="66" t="s">
        <v>181</v>
      </c>
      <c r="Q107" s="66" t="s">
        <v>182</v>
      </c>
      <c r="R107" s="66" t="s">
        <v>183</v>
      </c>
      <c r="S107" s="66"/>
      <c r="T107" s="66"/>
      <c r="U107" s="69">
        <v>401149</v>
      </c>
      <c r="V107" s="69">
        <v>401149</v>
      </c>
      <c r="W107" s="67">
        <v>45939.785578703704</v>
      </c>
      <c r="X107" s="66"/>
      <c r="Y107" s="66" t="s">
        <v>183</v>
      </c>
      <c r="Z107" s="66" t="s">
        <v>184</v>
      </c>
      <c r="AA107" s="66" t="s">
        <v>212</v>
      </c>
      <c r="AB107" s="66" t="s">
        <v>213</v>
      </c>
      <c r="AC107" s="66"/>
      <c r="AD107" s="66"/>
      <c r="AE107" s="69">
        <v>65926</v>
      </c>
      <c r="AF107" s="70"/>
      <c r="AG107" s="66" t="s">
        <v>187</v>
      </c>
    </row>
    <row r="108" spans="1:33" x14ac:dyDescent="0.25">
      <c r="A108" s="66" t="s">
        <v>179</v>
      </c>
      <c r="B108" s="66">
        <v>901541137</v>
      </c>
      <c r="C108" s="66">
        <v>143894</v>
      </c>
      <c r="D108" s="67">
        <v>45967.336053240739</v>
      </c>
      <c r="E108" s="68">
        <v>2025</v>
      </c>
      <c r="F108" s="66">
        <v>11</v>
      </c>
      <c r="G108" s="66" t="s">
        <v>81</v>
      </c>
      <c r="H108" s="66" t="s">
        <v>81</v>
      </c>
      <c r="I108" s="66" t="s">
        <v>180</v>
      </c>
      <c r="J108" s="67">
        <v>45967</v>
      </c>
      <c r="K108" s="66"/>
      <c r="L108" s="66"/>
      <c r="M108" s="66"/>
      <c r="N108" s="66"/>
      <c r="O108" s="66"/>
      <c r="P108" s="66" t="s">
        <v>181</v>
      </c>
      <c r="Q108" s="66" t="s">
        <v>182</v>
      </c>
      <c r="R108" s="66" t="s">
        <v>189</v>
      </c>
      <c r="S108" s="66"/>
      <c r="T108" s="66"/>
      <c r="U108" s="69">
        <v>32563634</v>
      </c>
      <c r="V108" s="69">
        <v>32563634</v>
      </c>
      <c r="W108" s="67">
        <v>45930.721377314818</v>
      </c>
      <c r="X108" s="66"/>
      <c r="Y108" s="66" t="s">
        <v>189</v>
      </c>
      <c r="Z108" s="66" t="s">
        <v>184</v>
      </c>
      <c r="AA108" s="66" t="s">
        <v>341</v>
      </c>
      <c r="AB108" s="66" t="s">
        <v>342</v>
      </c>
      <c r="AC108" s="66"/>
      <c r="AD108" s="66"/>
      <c r="AE108" s="69">
        <v>32563634</v>
      </c>
      <c r="AF108" s="70"/>
      <c r="AG108" s="66" t="s">
        <v>343</v>
      </c>
    </row>
    <row r="109" spans="1:33" x14ac:dyDescent="0.25">
      <c r="A109" s="66" t="s">
        <v>179</v>
      </c>
      <c r="B109" s="66">
        <v>901541137</v>
      </c>
      <c r="C109" s="66">
        <v>143897</v>
      </c>
      <c r="D109" s="67">
        <v>45968.359513888892</v>
      </c>
      <c r="E109" s="68">
        <v>2025</v>
      </c>
      <c r="F109" s="66">
        <v>11</v>
      </c>
      <c r="G109" s="66" t="s">
        <v>82</v>
      </c>
      <c r="H109" s="66" t="s">
        <v>82</v>
      </c>
      <c r="I109" s="66" t="s">
        <v>180</v>
      </c>
      <c r="J109" s="67">
        <v>45968</v>
      </c>
      <c r="K109" s="66"/>
      <c r="L109" s="66"/>
      <c r="M109" s="66"/>
      <c r="N109" s="66"/>
      <c r="O109" s="66"/>
      <c r="P109" s="66" t="s">
        <v>298</v>
      </c>
      <c r="Q109" s="66" t="s">
        <v>182</v>
      </c>
      <c r="R109" s="66" t="s">
        <v>183</v>
      </c>
      <c r="S109" s="66"/>
      <c r="T109" s="66"/>
      <c r="U109" s="69">
        <v>26179912</v>
      </c>
      <c r="V109" s="69">
        <v>26179912</v>
      </c>
      <c r="W109" s="67">
        <v>45925.581886574073</v>
      </c>
      <c r="X109" s="66"/>
      <c r="Y109" s="66" t="s">
        <v>183</v>
      </c>
      <c r="Z109" s="66" t="s">
        <v>184</v>
      </c>
      <c r="AA109" s="66" t="s">
        <v>185</v>
      </c>
      <c r="AB109" s="66" t="s">
        <v>186</v>
      </c>
      <c r="AC109" s="66"/>
      <c r="AD109" s="66"/>
      <c r="AE109" s="69">
        <v>55177</v>
      </c>
      <c r="AF109" s="70"/>
      <c r="AG109" s="66" t="s">
        <v>344</v>
      </c>
    </row>
    <row r="110" spans="1:33" x14ac:dyDescent="0.25">
      <c r="A110" s="66" t="s">
        <v>179</v>
      </c>
      <c r="B110" s="66">
        <v>901541137</v>
      </c>
      <c r="C110" s="66">
        <v>143897</v>
      </c>
      <c r="D110" s="67">
        <v>45968.359513888892</v>
      </c>
      <c r="E110" s="68">
        <v>2025</v>
      </c>
      <c r="F110" s="66">
        <v>11</v>
      </c>
      <c r="G110" s="66" t="s">
        <v>82</v>
      </c>
      <c r="H110" s="66" t="s">
        <v>82</v>
      </c>
      <c r="I110" s="66" t="s">
        <v>180</v>
      </c>
      <c r="J110" s="67">
        <v>45968</v>
      </c>
      <c r="K110" s="66"/>
      <c r="L110" s="66"/>
      <c r="M110" s="66"/>
      <c r="N110" s="66"/>
      <c r="O110" s="66"/>
      <c r="P110" s="66" t="s">
        <v>298</v>
      </c>
      <c r="Q110" s="66" t="s">
        <v>182</v>
      </c>
      <c r="R110" s="66" t="s">
        <v>183</v>
      </c>
      <c r="S110" s="66"/>
      <c r="T110" s="66"/>
      <c r="U110" s="69">
        <v>26179912</v>
      </c>
      <c r="V110" s="69">
        <v>26179912</v>
      </c>
      <c r="W110" s="67">
        <v>45925.581886574073</v>
      </c>
      <c r="X110" s="66"/>
      <c r="Y110" s="66" t="s">
        <v>183</v>
      </c>
      <c r="Z110" s="66" t="s">
        <v>184</v>
      </c>
      <c r="AA110" s="66" t="s">
        <v>303</v>
      </c>
      <c r="AB110" s="66" t="s">
        <v>304</v>
      </c>
      <c r="AC110" s="66"/>
      <c r="AD110" s="66"/>
      <c r="AE110" s="69">
        <v>336185</v>
      </c>
      <c r="AF110" s="70"/>
      <c r="AG110" s="66" t="s">
        <v>345</v>
      </c>
    </row>
    <row r="111" spans="1:33" x14ac:dyDescent="0.25">
      <c r="A111" s="66" t="s">
        <v>179</v>
      </c>
      <c r="B111" s="66">
        <v>901541137</v>
      </c>
      <c r="C111" s="66">
        <v>144225</v>
      </c>
      <c r="D111" s="67">
        <v>45971.385983796295</v>
      </c>
      <c r="E111" s="68">
        <v>2025</v>
      </c>
      <c r="F111" s="66">
        <v>11</v>
      </c>
      <c r="G111" s="66" t="s">
        <v>83</v>
      </c>
      <c r="H111" s="66" t="s">
        <v>83</v>
      </c>
      <c r="I111" s="66" t="s">
        <v>197</v>
      </c>
      <c r="J111" s="67">
        <v>45971</v>
      </c>
      <c r="K111" s="66"/>
      <c r="L111" s="66"/>
      <c r="M111" s="66"/>
      <c r="N111" s="66"/>
      <c r="O111" s="66"/>
      <c r="P111" s="66" t="s">
        <v>181</v>
      </c>
      <c r="Q111" s="66" t="s">
        <v>182</v>
      </c>
      <c r="R111" s="66" t="s">
        <v>189</v>
      </c>
      <c r="S111" s="66"/>
      <c r="T111" s="66"/>
      <c r="U111" s="69">
        <v>24829939</v>
      </c>
      <c r="V111" s="69">
        <v>24829939</v>
      </c>
      <c r="W111" s="67">
        <v>45922.421481481484</v>
      </c>
      <c r="X111" s="66"/>
      <c r="Y111" s="66" t="s">
        <v>189</v>
      </c>
      <c r="Z111" s="66" t="s">
        <v>184</v>
      </c>
      <c r="AA111" s="66" t="s">
        <v>194</v>
      </c>
      <c r="AB111" s="66" t="s">
        <v>195</v>
      </c>
      <c r="AC111" s="66"/>
      <c r="AD111" s="66"/>
      <c r="AE111" s="69">
        <v>2777604</v>
      </c>
      <c r="AF111" s="70"/>
      <c r="AG111" s="66" t="s">
        <v>346</v>
      </c>
    </row>
    <row r="112" spans="1:33" x14ac:dyDescent="0.25">
      <c r="A112" s="66" t="s">
        <v>179</v>
      </c>
      <c r="B112" s="66">
        <v>901541137</v>
      </c>
      <c r="C112" s="66">
        <v>144225</v>
      </c>
      <c r="D112" s="67">
        <v>45971.385983796295</v>
      </c>
      <c r="E112" s="68">
        <v>2025</v>
      </c>
      <c r="F112" s="66">
        <v>11</v>
      </c>
      <c r="G112" s="66" t="s">
        <v>83</v>
      </c>
      <c r="H112" s="66" t="s">
        <v>83</v>
      </c>
      <c r="I112" s="66" t="s">
        <v>197</v>
      </c>
      <c r="J112" s="67">
        <v>45971</v>
      </c>
      <c r="K112" s="66"/>
      <c r="L112" s="66"/>
      <c r="M112" s="66"/>
      <c r="N112" s="66"/>
      <c r="O112" s="66"/>
      <c r="P112" s="66" t="s">
        <v>181</v>
      </c>
      <c r="Q112" s="66" t="s">
        <v>182</v>
      </c>
      <c r="R112" s="66" t="s">
        <v>189</v>
      </c>
      <c r="S112" s="66"/>
      <c r="T112" s="66"/>
      <c r="U112" s="69">
        <v>24829939</v>
      </c>
      <c r="V112" s="69">
        <v>24829939</v>
      </c>
      <c r="W112" s="67">
        <v>45922.421481481484</v>
      </c>
      <c r="X112" s="66"/>
      <c r="Y112" s="66" t="s">
        <v>189</v>
      </c>
      <c r="Z112" s="66" t="s">
        <v>184</v>
      </c>
      <c r="AA112" s="66" t="s">
        <v>336</v>
      </c>
      <c r="AB112" s="66" t="s">
        <v>337</v>
      </c>
      <c r="AC112" s="66"/>
      <c r="AD112" s="66"/>
      <c r="AE112" s="69">
        <v>961200</v>
      </c>
      <c r="AF112" s="70"/>
      <c r="AG112" s="66" t="s">
        <v>347</v>
      </c>
    </row>
    <row r="113" spans="1:33" x14ac:dyDescent="0.25">
      <c r="A113" s="66" t="s">
        <v>179</v>
      </c>
      <c r="B113" s="66">
        <v>901541137</v>
      </c>
      <c r="C113" s="66">
        <v>144226</v>
      </c>
      <c r="D113" s="67">
        <v>45971.387106481481</v>
      </c>
      <c r="E113" s="68">
        <v>2025</v>
      </c>
      <c r="F113" s="66">
        <v>11</v>
      </c>
      <c r="G113" s="66" t="s">
        <v>84</v>
      </c>
      <c r="H113" s="66" t="s">
        <v>84</v>
      </c>
      <c r="I113" s="66" t="s">
        <v>197</v>
      </c>
      <c r="J113" s="67">
        <v>45971</v>
      </c>
      <c r="K113" s="66"/>
      <c r="L113" s="66"/>
      <c r="M113" s="66"/>
      <c r="N113" s="66"/>
      <c r="O113" s="66"/>
      <c r="P113" s="66" t="s">
        <v>181</v>
      </c>
      <c r="Q113" s="66" t="s">
        <v>182</v>
      </c>
      <c r="R113" s="66" t="s">
        <v>183</v>
      </c>
      <c r="S113" s="66"/>
      <c r="T113" s="66"/>
      <c r="U113" s="69">
        <v>101352213</v>
      </c>
      <c r="V113" s="69">
        <v>101352213</v>
      </c>
      <c r="W113" s="67">
        <v>45925.591087962966</v>
      </c>
      <c r="X113" s="66"/>
      <c r="Y113" s="66" t="s">
        <v>183</v>
      </c>
      <c r="Z113" s="66" t="s">
        <v>184</v>
      </c>
      <c r="AA113" s="66" t="s">
        <v>224</v>
      </c>
      <c r="AB113" s="66" t="s">
        <v>225</v>
      </c>
      <c r="AC113" s="66"/>
      <c r="AD113" s="66"/>
      <c r="AE113" s="69">
        <v>1209306</v>
      </c>
      <c r="AF113" s="70"/>
      <c r="AG113" s="66" t="s">
        <v>348</v>
      </c>
    </row>
    <row r="114" spans="1:33" x14ac:dyDescent="0.25">
      <c r="A114" s="66" t="s">
        <v>179</v>
      </c>
      <c r="B114" s="66">
        <v>901541137</v>
      </c>
      <c r="C114" s="66">
        <v>144226</v>
      </c>
      <c r="D114" s="67">
        <v>45971.387106481481</v>
      </c>
      <c r="E114" s="68">
        <v>2025</v>
      </c>
      <c r="F114" s="66">
        <v>11</v>
      </c>
      <c r="G114" s="66" t="s">
        <v>84</v>
      </c>
      <c r="H114" s="66" t="s">
        <v>84</v>
      </c>
      <c r="I114" s="66" t="s">
        <v>197</v>
      </c>
      <c r="J114" s="67">
        <v>45971</v>
      </c>
      <c r="K114" s="66"/>
      <c r="L114" s="66"/>
      <c r="M114" s="66"/>
      <c r="N114" s="66"/>
      <c r="O114" s="66"/>
      <c r="P114" s="66" t="s">
        <v>181</v>
      </c>
      <c r="Q114" s="66" t="s">
        <v>182</v>
      </c>
      <c r="R114" s="66" t="s">
        <v>183</v>
      </c>
      <c r="S114" s="66"/>
      <c r="T114" s="66"/>
      <c r="U114" s="69">
        <v>101352213</v>
      </c>
      <c r="V114" s="69">
        <v>101352213</v>
      </c>
      <c r="W114" s="67">
        <v>45925.591087962966</v>
      </c>
      <c r="X114" s="66"/>
      <c r="Y114" s="66" t="s">
        <v>183</v>
      </c>
      <c r="Z114" s="66" t="s">
        <v>184</v>
      </c>
      <c r="AA114" s="66" t="s">
        <v>241</v>
      </c>
      <c r="AB114" s="66" t="s">
        <v>242</v>
      </c>
      <c r="AC114" s="66"/>
      <c r="AD114" s="66"/>
      <c r="AE114" s="69">
        <v>831144</v>
      </c>
      <c r="AF114" s="70"/>
      <c r="AG114" s="66" t="s">
        <v>349</v>
      </c>
    </row>
    <row r="115" spans="1:33" x14ac:dyDescent="0.25">
      <c r="A115" s="66" t="s">
        <v>179</v>
      </c>
      <c r="B115" s="66">
        <v>901541137</v>
      </c>
      <c r="C115" s="66">
        <v>144226</v>
      </c>
      <c r="D115" s="67">
        <v>45971.387106481481</v>
      </c>
      <c r="E115" s="68">
        <v>2025</v>
      </c>
      <c r="F115" s="66">
        <v>11</v>
      </c>
      <c r="G115" s="66" t="s">
        <v>84</v>
      </c>
      <c r="H115" s="66" t="s">
        <v>84</v>
      </c>
      <c r="I115" s="66" t="s">
        <v>197</v>
      </c>
      <c r="J115" s="67">
        <v>45971</v>
      </c>
      <c r="K115" s="66"/>
      <c r="L115" s="66"/>
      <c r="M115" s="66"/>
      <c r="N115" s="66"/>
      <c r="O115" s="66"/>
      <c r="P115" s="66" t="s">
        <v>181</v>
      </c>
      <c r="Q115" s="66" t="s">
        <v>182</v>
      </c>
      <c r="R115" s="66" t="s">
        <v>183</v>
      </c>
      <c r="S115" s="66"/>
      <c r="T115" s="66"/>
      <c r="U115" s="69">
        <v>101352213</v>
      </c>
      <c r="V115" s="69">
        <v>101352213</v>
      </c>
      <c r="W115" s="67">
        <v>45925.591087962966</v>
      </c>
      <c r="X115" s="66"/>
      <c r="Y115" s="66" t="s">
        <v>183</v>
      </c>
      <c r="Z115" s="66" t="s">
        <v>184</v>
      </c>
      <c r="AA115" s="66" t="s">
        <v>227</v>
      </c>
      <c r="AB115" s="66" t="s">
        <v>228</v>
      </c>
      <c r="AC115" s="66"/>
      <c r="AD115" s="66"/>
      <c r="AE115" s="69">
        <v>19729540</v>
      </c>
      <c r="AF115" s="70"/>
      <c r="AG115" s="66" t="s">
        <v>350</v>
      </c>
    </row>
    <row r="116" spans="1:33" x14ac:dyDescent="0.25">
      <c r="A116" s="66" t="s">
        <v>179</v>
      </c>
      <c r="B116" s="66">
        <v>901541137</v>
      </c>
      <c r="C116" s="66">
        <v>146253</v>
      </c>
      <c r="D116" s="67">
        <v>45982.686111111114</v>
      </c>
      <c r="E116" s="68">
        <v>2025</v>
      </c>
      <c r="F116" s="66">
        <v>11</v>
      </c>
      <c r="G116" s="66" t="s">
        <v>112</v>
      </c>
      <c r="H116" s="66" t="s">
        <v>112</v>
      </c>
      <c r="I116" s="66" t="s">
        <v>180</v>
      </c>
      <c r="J116" s="67">
        <v>45982</v>
      </c>
      <c r="K116" s="66"/>
      <c r="L116" s="66"/>
      <c r="M116" s="66"/>
      <c r="N116" s="66"/>
      <c r="O116" s="66"/>
      <c r="P116" s="66" t="s">
        <v>298</v>
      </c>
      <c r="Q116" s="66" t="s">
        <v>182</v>
      </c>
      <c r="R116" s="66" t="s">
        <v>183</v>
      </c>
      <c r="S116" s="66"/>
      <c r="T116" s="66"/>
      <c r="U116" s="69">
        <v>65992644</v>
      </c>
      <c r="V116" s="69">
        <v>65992644</v>
      </c>
      <c r="W116" s="67">
        <v>45940.583310185182</v>
      </c>
      <c r="X116" s="66"/>
      <c r="Y116" s="66" t="s">
        <v>183</v>
      </c>
      <c r="Z116" s="66" t="s">
        <v>184</v>
      </c>
      <c r="AA116" s="66" t="s">
        <v>208</v>
      </c>
      <c r="AB116" s="66" t="s">
        <v>209</v>
      </c>
      <c r="AC116" s="66"/>
      <c r="AD116" s="66"/>
      <c r="AE116" s="69">
        <v>66800</v>
      </c>
      <c r="AF116" s="70"/>
      <c r="AG116" s="66" t="s">
        <v>351</v>
      </c>
    </row>
    <row r="117" spans="1:33" x14ac:dyDescent="0.25">
      <c r="A117" s="66" t="s">
        <v>179</v>
      </c>
      <c r="B117" s="66">
        <v>901541137</v>
      </c>
      <c r="C117" s="66">
        <v>146253</v>
      </c>
      <c r="D117" s="67">
        <v>45982.686111111114</v>
      </c>
      <c r="E117" s="68">
        <v>2025</v>
      </c>
      <c r="F117" s="66">
        <v>11</v>
      </c>
      <c r="G117" s="66" t="s">
        <v>112</v>
      </c>
      <c r="H117" s="66" t="s">
        <v>112</v>
      </c>
      <c r="I117" s="66" t="s">
        <v>180</v>
      </c>
      <c r="J117" s="67">
        <v>45982</v>
      </c>
      <c r="K117" s="66"/>
      <c r="L117" s="66"/>
      <c r="M117" s="66"/>
      <c r="N117" s="66"/>
      <c r="O117" s="66"/>
      <c r="P117" s="66" t="s">
        <v>298</v>
      </c>
      <c r="Q117" s="66" t="s">
        <v>182</v>
      </c>
      <c r="R117" s="66" t="s">
        <v>183</v>
      </c>
      <c r="S117" s="66"/>
      <c r="T117" s="66"/>
      <c r="U117" s="69">
        <v>65992644</v>
      </c>
      <c r="V117" s="69">
        <v>65992644</v>
      </c>
      <c r="W117" s="67">
        <v>45940.583310185182</v>
      </c>
      <c r="X117" s="66"/>
      <c r="Y117" s="66" t="s">
        <v>183</v>
      </c>
      <c r="Z117" s="66" t="s">
        <v>184</v>
      </c>
      <c r="AA117" s="66" t="s">
        <v>185</v>
      </c>
      <c r="AB117" s="66" t="s">
        <v>186</v>
      </c>
      <c r="AC117" s="66"/>
      <c r="AD117" s="66"/>
      <c r="AE117" s="69">
        <v>55077</v>
      </c>
      <c r="AF117" s="70"/>
      <c r="AG117" s="66" t="s">
        <v>352</v>
      </c>
    </row>
    <row r="118" spans="1:33" x14ac:dyDescent="0.25">
      <c r="A118" s="66" t="s">
        <v>179</v>
      </c>
      <c r="B118" s="66">
        <v>901541137</v>
      </c>
      <c r="C118" s="66">
        <v>146253</v>
      </c>
      <c r="D118" s="67">
        <v>45982.686111111114</v>
      </c>
      <c r="E118" s="68">
        <v>2025</v>
      </c>
      <c r="F118" s="66">
        <v>11</v>
      </c>
      <c r="G118" s="66" t="s">
        <v>112</v>
      </c>
      <c r="H118" s="66" t="s">
        <v>112</v>
      </c>
      <c r="I118" s="66" t="s">
        <v>180</v>
      </c>
      <c r="J118" s="67">
        <v>45982</v>
      </c>
      <c r="K118" s="66"/>
      <c r="L118" s="66"/>
      <c r="M118" s="66"/>
      <c r="N118" s="66"/>
      <c r="O118" s="66"/>
      <c r="P118" s="66" t="s">
        <v>298</v>
      </c>
      <c r="Q118" s="66" t="s">
        <v>182</v>
      </c>
      <c r="R118" s="66" t="s">
        <v>183</v>
      </c>
      <c r="S118" s="66"/>
      <c r="T118" s="66"/>
      <c r="U118" s="69">
        <v>65992644</v>
      </c>
      <c r="V118" s="69">
        <v>65992644</v>
      </c>
      <c r="W118" s="67">
        <v>45940.583310185182</v>
      </c>
      <c r="X118" s="66"/>
      <c r="Y118" s="66" t="s">
        <v>183</v>
      </c>
      <c r="Z118" s="66" t="s">
        <v>184</v>
      </c>
      <c r="AA118" s="66" t="s">
        <v>215</v>
      </c>
      <c r="AB118" s="66" t="s">
        <v>216</v>
      </c>
      <c r="AC118" s="66"/>
      <c r="AD118" s="66"/>
      <c r="AE118" s="69">
        <v>10709798</v>
      </c>
      <c r="AF118" s="70"/>
      <c r="AG118" s="66" t="s">
        <v>353</v>
      </c>
    </row>
    <row r="119" spans="1:33" x14ac:dyDescent="0.25">
      <c r="A119" s="66" t="s">
        <v>179</v>
      </c>
      <c r="B119" s="66">
        <v>901541137</v>
      </c>
      <c r="C119" s="66">
        <v>145632</v>
      </c>
      <c r="D119" s="67">
        <v>45973.366076388891</v>
      </c>
      <c r="E119" s="68">
        <v>2025</v>
      </c>
      <c r="F119" s="66">
        <v>11</v>
      </c>
      <c r="G119" s="66" t="s">
        <v>99</v>
      </c>
      <c r="H119" s="66" t="s">
        <v>99</v>
      </c>
      <c r="I119" s="66" t="s">
        <v>180</v>
      </c>
      <c r="J119" s="67">
        <v>45973</v>
      </c>
      <c r="K119" s="66"/>
      <c r="L119" s="66"/>
      <c r="M119" s="66"/>
      <c r="N119" s="66"/>
      <c r="O119" s="66"/>
      <c r="P119" s="66" t="s">
        <v>181</v>
      </c>
      <c r="Q119" s="66" t="s">
        <v>182</v>
      </c>
      <c r="R119" s="66" t="s">
        <v>183</v>
      </c>
      <c r="S119" s="66"/>
      <c r="T119" s="66"/>
      <c r="U119" s="69">
        <v>9298784</v>
      </c>
      <c r="V119" s="69">
        <v>9298784</v>
      </c>
      <c r="W119" s="67">
        <v>45947.577696759261</v>
      </c>
      <c r="X119" s="66"/>
      <c r="Y119" s="66" t="s">
        <v>183</v>
      </c>
      <c r="Z119" s="66" t="s">
        <v>184</v>
      </c>
      <c r="AA119" s="66" t="s">
        <v>303</v>
      </c>
      <c r="AB119" s="66" t="s">
        <v>304</v>
      </c>
      <c r="AC119" s="66"/>
      <c r="AD119" s="66"/>
      <c r="AE119" s="69">
        <v>339200</v>
      </c>
      <c r="AF119" s="70"/>
      <c r="AG119" s="66" t="s">
        <v>354</v>
      </c>
    </row>
    <row r="120" spans="1:33" x14ac:dyDescent="0.25">
      <c r="A120" s="66" t="s">
        <v>179</v>
      </c>
      <c r="B120" s="66">
        <v>901541137</v>
      </c>
      <c r="C120" s="66">
        <v>145639</v>
      </c>
      <c r="D120" s="67">
        <v>45975.382326388892</v>
      </c>
      <c r="E120" s="68">
        <v>2025</v>
      </c>
      <c r="F120" s="66">
        <v>11</v>
      </c>
      <c r="G120" s="66" t="s">
        <v>107</v>
      </c>
      <c r="H120" s="66" t="s">
        <v>107</v>
      </c>
      <c r="I120" s="66" t="s">
        <v>180</v>
      </c>
      <c r="J120" s="67">
        <v>45975</v>
      </c>
      <c r="K120" s="66"/>
      <c r="L120" s="66"/>
      <c r="M120" s="66"/>
      <c r="N120" s="66"/>
      <c r="O120" s="66"/>
      <c r="P120" s="66" t="s">
        <v>181</v>
      </c>
      <c r="Q120" s="66" t="s">
        <v>182</v>
      </c>
      <c r="R120" s="66" t="s">
        <v>183</v>
      </c>
      <c r="S120" s="66"/>
      <c r="T120" s="66"/>
      <c r="U120" s="69">
        <v>556388</v>
      </c>
      <c r="V120" s="69">
        <v>556388</v>
      </c>
      <c r="W120" s="67">
        <v>45952.717638888891</v>
      </c>
      <c r="X120" s="66"/>
      <c r="Y120" s="66" t="s">
        <v>183</v>
      </c>
      <c r="Z120" s="66" t="s">
        <v>184</v>
      </c>
      <c r="AA120" s="66" t="s">
        <v>303</v>
      </c>
      <c r="AB120" s="66" t="s">
        <v>304</v>
      </c>
      <c r="AC120" s="66"/>
      <c r="AD120" s="66"/>
      <c r="AE120" s="69">
        <v>556388</v>
      </c>
      <c r="AF120" s="70"/>
      <c r="AG120" s="66" t="s">
        <v>305</v>
      </c>
    </row>
    <row r="121" spans="1:33" x14ac:dyDescent="0.25">
      <c r="A121" s="66" t="s">
        <v>179</v>
      </c>
      <c r="B121" s="66">
        <v>901541137</v>
      </c>
      <c r="C121" s="66">
        <v>145650</v>
      </c>
      <c r="D121" s="67">
        <v>45979.424768518518</v>
      </c>
      <c r="E121" s="68">
        <v>2025</v>
      </c>
      <c r="F121" s="66">
        <v>11</v>
      </c>
      <c r="G121" s="66" t="s">
        <v>102</v>
      </c>
      <c r="H121" s="66" t="s">
        <v>102</v>
      </c>
      <c r="I121" s="66" t="s">
        <v>193</v>
      </c>
      <c r="J121" s="67">
        <v>45979</v>
      </c>
      <c r="K121" s="66"/>
      <c r="L121" s="66"/>
      <c r="M121" s="66"/>
      <c r="N121" s="66"/>
      <c r="O121" s="66"/>
      <c r="P121" s="66" t="s">
        <v>181</v>
      </c>
      <c r="Q121" s="66" t="s">
        <v>182</v>
      </c>
      <c r="R121" s="66" t="s">
        <v>183</v>
      </c>
      <c r="S121" s="66"/>
      <c r="T121" s="66"/>
      <c r="U121" s="69">
        <v>1259505</v>
      </c>
      <c r="V121" s="69">
        <v>1263205</v>
      </c>
      <c r="W121" s="67">
        <v>45946.50644675926</v>
      </c>
      <c r="X121" s="66"/>
      <c r="Y121" s="66" t="s">
        <v>183</v>
      </c>
      <c r="Z121" s="66" t="s">
        <v>184</v>
      </c>
      <c r="AA121" s="66" t="s">
        <v>271</v>
      </c>
      <c r="AB121" s="66" t="s">
        <v>272</v>
      </c>
      <c r="AC121" s="66"/>
      <c r="AD121" s="66"/>
      <c r="AE121" s="69">
        <v>3700</v>
      </c>
      <c r="AF121" s="70"/>
      <c r="AG121" s="66" t="s">
        <v>355</v>
      </c>
    </row>
    <row r="122" spans="1:33" x14ac:dyDescent="0.25">
      <c r="A122" s="66" t="s">
        <v>179</v>
      </c>
      <c r="B122" s="66">
        <v>901541137</v>
      </c>
      <c r="C122" s="66">
        <v>145654</v>
      </c>
      <c r="D122" s="67">
        <v>45979.428067129629</v>
      </c>
      <c r="E122" s="68">
        <v>2025</v>
      </c>
      <c r="F122" s="66">
        <v>11</v>
      </c>
      <c r="G122" s="66" t="s">
        <v>109</v>
      </c>
      <c r="H122" s="66" t="s">
        <v>109</v>
      </c>
      <c r="I122" s="66" t="s">
        <v>197</v>
      </c>
      <c r="J122" s="67">
        <v>45979</v>
      </c>
      <c r="K122" s="66"/>
      <c r="L122" s="66"/>
      <c r="M122" s="66"/>
      <c r="N122" s="66"/>
      <c r="O122" s="66"/>
      <c r="P122" s="66" t="s">
        <v>181</v>
      </c>
      <c r="Q122" s="66" t="s">
        <v>182</v>
      </c>
      <c r="R122" s="66" t="s">
        <v>189</v>
      </c>
      <c r="S122" s="66"/>
      <c r="T122" s="66"/>
      <c r="U122" s="69">
        <v>11941644</v>
      </c>
      <c r="V122" s="69">
        <v>11941644</v>
      </c>
      <c r="W122" s="67">
        <v>45947.60738425926</v>
      </c>
      <c r="X122" s="66"/>
      <c r="Y122" s="66" t="s">
        <v>189</v>
      </c>
      <c r="Z122" s="66" t="s">
        <v>184</v>
      </c>
      <c r="AA122" s="66" t="s">
        <v>227</v>
      </c>
      <c r="AB122" s="66" t="s">
        <v>228</v>
      </c>
      <c r="AC122" s="66"/>
      <c r="AD122" s="66"/>
      <c r="AE122" s="69">
        <v>3228675</v>
      </c>
      <c r="AF122" s="70"/>
      <c r="AG122" s="66" t="s">
        <v>356</v>
      </c>
    </row>
    <row r="123" spans="1:33" x14ac:dyDescent="0.25">
      <c r="A123" s="66" t="s">
        <v>179</v>
      </c>
      <c r="B123" s="66">
        <v>901541137</v>
      </c>
      <c r="C123" s="66">
        <v>145654</v>
      </c>
      <c r="D123" s="67">
        <v>45979.428067129629</v>
      </c>
      <c r="E123" s="68">
        <v>2025</v>
      </c>
      <c r="F123" s="66">
        <v>11</v>
      </c>
      <c r="G123" s="66" t="s">
        <v>109</v>
      </c>
      <c r="H123" s="66" t="s">
        <v>109</v>
      </c>
      <c r="I123" s="66" t="s">
        <v>197</v>
      </c>
      <c r="J123" s="67">
        <v>45979</v>
      </c>
      <c r="K123" s="66"/>
      <c r="L123" s="66"/>
      <c r="M123" s="66"/>
      <c r="N123" s="66"/>
      <c r="O123" s="66"/>
      <c r="P123" s="66" t="s">
        <v>181</v>
      </c>
      <c r="Q123" s="66" t="s">
        <v>182</v>
      </c>
      <c r="R123" s="66" t="s">
        <v>189</v>
      </c>
      <c r="S123" s="66"/>
      <c r="T123" s="66"/>
      <c r="U123" s="69">
        <v>11941644</v>
      </c>
      <c r="V123" s="69">
        <v>11941644</v>
      </c>
      <c r="W123" s="67">
        <v>45947.60738425926</v>
      </c>
      <c r="X123" s="66"/>
      <c r="Y123" s="66" t="s">
        <v>189</v>
      </c>
      <c r="Z123" s="66" t="s">
        <v>184</v>
      </c>
      <c r="AA123" s="66" t="s">
        <v>275</v>
      </c>
      <c r="AB123" s="66" t="s">
        <v>276</v>
      </c>
      <c r="AC123" s="66"/>
      <c r="AD123" s="66"/>
      <c r="AE123" s="69">
        <v>547500</v>
      </c>
      <c r="AF123" s="70"/>
      <c r="AG123" s="66" t="s">
        <v>357</v>
      </c>
    </row>
    <row r="124" spans="1:33" x14ac:dyDescent="0.25">
      <c r="A124" s="66" t="s">
        <v>179</v>
      </c>
      <c r="B124" s="66">
        <v>901541137</v>
      </c>
      <c r="C124" s="66">
        <v>145655</v>
      </c>
      <c r="D124" s="67">
        <v>45979.429548611108</v>
      </c>
      <c r="E124" s="68">
        <v>2025</v>
      </c>
      <c r="F124" s="66">
        <v>11</v>
      </c>
      <c r="G124" s="66" t="s">
        <v>96</v>
      </c>
      <c r="H124" s="66" t="s">
        <v>96</v>
      </c>
      <c r="I124" s="66" t="s">
        <v>180</v>
      </c>
      <c r="J124" s="67">
        <v>45979</v>
      </c>
      <c r="K124" s="66"/>
      <c r="L124" s="66"/>
      <c r="M124" s="66"/>
      <c r="N124" s="66"/>
      <c r="O124" s="66"/>
      <c r="P124" s="66" t="s">
        <v>181</v>
      </c>
      <c r="Q124" s="66" t="s">
        <v>182</v>
      </c>
      <c r="R124" s="66" t="s">
        <v>183</v>
      </c>
      <c r="S124" s="66"/>
      <c r="T124" s="66"/>
      <c r="U124" s="69">
        <v>134660649</v>
      </c>
      <c r="V124" s="69">
        <v>134660649</v>
      </c>
      <c r="W124" s="67">
        <v>45947.643391203703</v>
      </c>
      <c r="X124" s="66"/>
      <c r="Y124" s="66" t="s">
        <v>183</v>
      </c>
      <c r="Z124" s="66" t="s">
        <v>184</v>
      </c>
      <c r="AA124" s="66" t="s">
        <v>185</v>
      </c>
      <c r="AB124" s="66" t="s">
        <v>186</v>
      </c>
      <c r="AC124" s="66"/>
      <c r="AD124" s="66"/>
      <c r="AE124" s="69">
        <v>495693</v>
      </c>
      <c r="AF124" s="70"/>
      <c r="AG124" s="66" t="s">
        <v>358</v>
      </c>
    </row>
    <row r="125" spans="1:33" x14ac:dyDescent="0.25">
      <c r="A125" s="66" t="s">
        <v>179</v>
      </c>
      <c r="B125" s="66">
        <v>901541137</v>
      </c>
      <c r="C125" s="66">
        <v>145655</v>
      </c>
      <c r="D125" s="67">
        <v>45979.429548611108</v>
      </c>
      <c r="E125" s="68">
        <v>2025</v>
      </c>
      <c r="F125" s="66">
        <v>11</v>
      </c>
      <c r="G125" s="66" t="s">
        <v>96</v>
      </c>
      <c r="H125" s="66" t="s">
        <v>96</v>
      </c>
      <c r="I125" s="66" t="s">
        <v>180</v>
      </c>
      <c r="J125" s="67">
        <v>45979</v>
      </c>
      <c r="K125" s="66"/>
      <c r="L125" s="66"/>
      <c r="M125" s="66"/>
      <c r="N125" s="66"/>
      <c r="O125" s="66"/>
      <c r="P125" s="66" t="s">
        <v>181</v>
      </c>
      <c r="Q125" s="66" t="s">
        <v>182</v>
      </c>
      <c r="R125" s="66" t="s">
        <v>183</v>
      </c>
      <c r="S125" s="66"/>
      <c r="T125" s="66"/>
      <c r="U125" s="69">
        <v>134660649</v>
      </c>
      <c r="V125" s="69">
        <v>134660649</v>
      </c>
      <c r="W125" s="67">
        <v>45947.643391203703</v>
      </c>
      <c r="X125" s="66"/>
      <c r="Y125" s="66" t="s">
        <v>183</v>
      </c>
      <c r="Z125" s="66" t="s">
        <v>184</v>
      </c>
      <c r="AA125" s="66" t="s">
        <v>212</v>
      </c>
      <c r="AB125" s="66" t="s">
        <v>213</v>
      </c>
      <c r="AC125" s="66"/>
      <c r="AD125" s="66"/>
      <c r="AE125" s="69">
        <v>789114</v>
      </c>
      <c r="AF125" s="70"/>
      <c r="AG125" s="66" t="s">
        <v>359</v>
      </c>
    </row>
    <row r="126" spans="1:33" x14ac:dyDescent="0.25">
      <c r="A126" s="66" t="s">
        <v>179</v>
      </c>
      <c r="B126" s="66">
        <v>901541137</v>
      </c>
      <c r="C126" s="66">
        <v>145656</v>
      </c>
      <c r="D126" s="67">
        <v>45979.446493055555</v>
      </c>
      <c r="E126" s="68">
        <v>2025</v>
      </c>
      <c r="F126" s="66">
        <v>11</v>
      </c>
      <c r="G126" s="66" t="s">
        <v>95</v>
      </c>
      <c r="H126" s="66" t="s">
        <v>95</v>
      </c>
      <c r="I126" s="66" t="s">
        <v>193</v>
      </c>
      <c r="J126" s="67">
        <v>45979</v>
      </c>
      <c r="K126" s="66"/>
      <c r="L126" s="66"/>
      <c r="M126" s="66"/>
      <c r="N126" s="66"/>
      <c r="O126" s="66"/>
      <c r="P126" s="66" t="s">
        <v>181</v>
      </c>
      <c r="Q126" s="66" t="s">
        <v>182</v>
      </c>
      <c r="R126" s="66" t="s">
        <v>183</v>
      </c>
      <c r="S126" s="66"/>
      <c r="T126" s="66"/>
      <c r="U126" s="69">
        <v>38909145</v>
      </c>
      <c r="V126" s="69">
        <v>38909145</v>
      </c>
      <c r="W126" s="67">
        <v>45947.771886574075</v>
      </c>
      <c r="X126" s="66"/>
      <c r="Y126" s="66" t="s">
        <v>183</v>
      </c>
      <c r="Z126" s="66" t="s">
        <v>184</v>
      </c>
      <c r="AA126" s="66" t="s">
        <v>194</v>
      </c>
      <c r="AB126" s="66" t="s">
        <v>195</v>
      </c>
      <c r="AC126" s="66"/>
      <c r="AD126" s="66"/>
      <c r="AE126" s="69">
        <v>3188640</v>
      </c>
      <c r="AF126" s="70"/>
      <c r="AG126" s="66" t="s">
        <v>360</v>
      </c>
    </row>
    <row r="127" spans="1:33" x14ac:dyDescent="0.25">
      <c r="A127" s="66" t="s">
        <v>179</v>
      </c>
      <c r="B127" s="66">
        <v>901541137</v>
      </c>
      <c r="C127" s="66">
        <v>145676</v>
      </c>
      <c r="D127" s="67">
        <v>45979.477835648147</v>
      </c>
      <c r="E127" s="68">
        <v>2025</v>
      </c>
      <c r="F127" s="66">
        <v>11</v>
      </c>
      <c r="G127" s="66" t="s">
        <v>123</v>
      </c>
      <c r="H127" s="66" t="s">
        <v>123</v>
      </c>
      <c r="I127" s="66" t="s">
        <v>193</v>
      </c>
      <c r="J127" s="67">
        <v>45979</v>
      </c>
      <c r="K127" s="66"/>
      <c r="L127" s="66"/>
      <c r="M127" s="66"/>
      <c r="N127" s="66"/>
      <c r="O127" s="66"/>
      <c r="P127" s="66" t="s">
        <v>181</v>
      </c>
      <c r="Q127" s="66" t="s">
        <v>182</v>
      </c>
      <c r="R127" s="66" t="s">
        <v>183</v>
      </c>
      <c r="S127" s="66"/>
      <c r="T127" s="66"/>
      <c r="U127" s="69">
        <v>4665401</v>
      </c>
      <c r="V127" s="69">
        <v>5935091</v>
      </c>
      <c r="W127" s="67">
        <v>45957.37672453704</v>
      </c>
      <c r="X127" s="66"/>
      <c r="Y127" s="66" t="s">
        <v>183</v>
      </c>
      <c r="Z127" s="66" t="s">
        <v>184</v>
      </c>
      <c r="AA127" s="66" t="s">
        <v>279</v>
      </c>
      <c r="AB127" s="66" t="s">
        <v>280</v>
      </c>
      <c r="AC127" s="66"/>
      <c r="AD127" s="66"/>
      <c r="AE127" s="69">
        <v>2249605</v>
      </c>
      <c r="AF127" s="70"/>
      <c r="AG127" s="66" t="s">
        <v>361</v>
      </c>
    </row>
    <row r="128" spans="1:33" x14ac:dyDescent="0.25">
      <c r="A128" s="66" t="s">
        <v>179</v>
      </c>
      <c r="B128" s="66">
        <v>901541137</v>
      </c>
      <c r="C128" s="66">
        <v>145683</v>
      </c>
      <c r="D128" s="67">
        <v>45979.547291666669</v>
      </c>
      <c r="E128" s="68">
        <v>2025</v>
      </c>
      <c r="F128" s="66">
        <v>11</v>
      </c>
      <c r="G128" s="66" t="s">
        <v>91</v>
      </c>
      <c r="H128" s="66" t="s">
        <v>91</v>
      </c>
      <c r="I128" s="66" t="s">
        <v>197</v>
      </c>
      <c r="J128" s="67">
        <v>45979</v>
      </c>
      <c r="K128" s="66"/>
      <c r="L128" s="66"/>
      <c r="M128" s="66"/>
      <c r="N128" s="66"/>
      <c r="O128" s="66"/>
      <c r="P128" s="66" t="s">
        <v>181</v>
      </c>
      <c r="Q128" s="66" t="s">
        <v>182</v>
      </c>
      <c r="R128" s="66" t="s">
        <v>183</v>
      </c>
      <c r="S128" s="66"/>
      <c r="T128" s="66"/>
      <c r="U128" s="69">
        <v>17268985</v>
      </c>
      <c r="V128" s="69">
        <v>17268985</v>
      </c>
      <c r="W128" s="67">
        <v>45937.639432870368</v>
      </c>
      <c r="X128" s="66"/>
      <c r="Y128" s="66" t="s">
        <v>183</v>
      </c>
      <c r="Z128" s="66" t="s">
        <v>184</v>
      </c>
      <c r="AA128" s="66" t="s">
        <v>309</v>
      </c>
      <c r="AB128" s="66" t="s">
        <v>310</v>
      </c>
      <c r="AC128" s="66"/>
      <c r="AD128" s="66"/>
      <c r="AE128" s="69">
        <v>2815000</v>
      </c>
      <c r="AF128" s="70"/>
      <c r="AG128" s="66" t="s">
        <v>362</v>
      </c>
    </row>
    <row r="129" spans="1:33" x14ac:dyDescent="0.25">
      <c r="A129" s="66" t="s">
        <v>179</v>
      </c>
      <c r="B129" s="66">
        <v>901541137</v>
      </c>
      <c r="C129" s="66">
        <v>145683</v>
      </c>
      <c r="D129" s="67">
        <v>45979.547291666669</v>
      </c>
      <c r="E129" s="68">
        <v>2025</v>
      </c>
      <c r="F129" s="66">
        <v>11</v>
      </c>
      <c r="G129" s="66" t="s">
        <v>91</v>
      </c>
      <c r="H129" s="66" t="s">
        <v>91</v>
      </c>
      <c r="I129" s="66" t="s">
        <v>197</v>
      </c>
      <c r="J129" s="67">
        <v>45979</v>
      </c>
      <c r="K129" s="66"/>
      <c r="L129" s="66"/>
      <c r="M129" s="66"/>
      <c r="N129" s="66"/>
      <c r="O129" s="66"/>
      <c r="P129" s="66" t="s">
        <v>181</v>
      </c>
      <c r="Q129" s="66" t="s">
        <v>182</v>
      </c>
      <c r="R129" s="66" t="s">
        <v>183</v>
      </c>
      <c r="S129" s="66"/>
      <c r="T129" s="66"/>
      <c r="U129" s="69">
        <v>17268985</v>
      </c>
      <c r="V129" s="69">
        <v>17268985</v>
      </c>
      <c r="W129" s="67">
        <v>45937.639432870368</v>
      </c>
      <c r="X129" s="66"/>
      <c r="Y129" s="66" t="s">
        <v>183</v>
      </c>
      <c r="Z129" s="66" t="s">
        <v>184</v>
      </c>
      <c r="AA129" s="66" t="s">
        <v>230</v>
      </c>
      <c r="AB129" s="66" t="s">
        <v>231</v>
      </c>
      <c r="AC129" s="66"/>
      <c r="AD129" s="66"/>
      <c r="AE129" s="69">
        <v>19600</v>
      </c>
      <c r="AF129" s="70"/>
      <c r="AG129" s="66" t="s">
        <v>363</v>
      </c>
    </row>
    <row r="130" spans="1:33" x14ac:dyDescent="0.25">
      <c r="A130" s="66" t="s">
        <v>179</v>
      </c>
      <c r="B130" s="66">
        <v>901541137</v>
      </c>
      <c r="C130" s="66">
        <v>145683</v>
      </c>
      <c r="D130" s="67">
        <v>45979.547291666669</v>
      </c>
      <c r="E130" s="68">
        <v>2025</v>
      </c>
      <c r="F130" s="66">
        <v>11</v>
      </c>
      <c r="G130" s="66" t="s">
        <v>91</v>
      </c>
      <c r="H130" s="66" t="s">
        <v>91</v>
      </c>
      <c r="I130" s="66" t="s">
        <v>197</v>
      </c>
      <c r="J130" s="67">
        <v>45979</v>
      </c>
      <c r="K130" s="66"/>
      <c r="L130" s="66"/>
      <c r="M130" s="66"/>
      <c r="N130" s="66"/>
      <c r="O130" s="66"/>
      <c r="P130" s="66" t="s">
        <v>181</v>
      </c>
      <c r="Q130" s="66" t="s">
        <v>182</v>
      </c>
      <c r="R130" s="66" t="s">
        <v>183</v>
      </c>
      <c r="S130" s="66"/>
      <c r="T130" s="66"/>
      <c r="U130" s="69">
        <v>17268985</v>
      </c>
      <c r="V130" s="69">
        <v>17268985</v>
      </c>
      <c r="W130" s="67">
        <v>45937.639432870368</v>
      </c>
      <c r="X130" s="66"/>
      <c r="Y130" s="66" t="s">
        <v>183</v>
      </c>
      <c r="Z130" s="66" t="s">
        <v>184</v>
      </c>
      <c r="AA130" s="66" t="s">
        <v>201</v>
      </c>
      <c r="AB130" s="66" t="s">
        <v>202</v>
      </c>
      <c r="AC130" s="66"/>
      <c r="AD130" s="66"/>
      <c r="AE130" s="69">
        <v>563</v>
      </c>
      <c r="AF130" s="70"/>
      <c r="AG130" s="66" t="s">
        <v>364</v>
      </c>
    </row>
    <row r="131" spans="1:33" x14ac:dyDescent="0.25">
      <c r="A131" s="66" t="s">
        <v>179</v>
      </c>
      <c r="B131" s="66">
        <v>901541137</v>
      </c>
      <c r="C131" s="66">
        <v>145683</v>
      </c>
      <c r="D131" s="67">
        <v>45979.547291666669</v>
      </c>
      <c r="E131" s="68">
        <v>2025</v>
      </c>
      <c r="F131" s="66">
        <v>11</v>
      </c>
      <c r="G131" s="66" t="s">
        <v>91</v>
      </c>
      <c r="H131" s="66" t="s">
        <v>91</v>
      </c>
      <c r="I131" s="66" t="s">
        <v>197</v>
      </c>
      <c r="J131" s="67">
        <v>45979</v>
      </c>
      <c r="K131" s="66"/>
      <c r="L131" s="66"/>
      <c r="M131" s="66"/>
      <c r="N131" s="66"/>
      <c r="O131" s="66"/>
      <c r="P131" s="66" t="s">
        <v>181</v>
      </c>
      <c r="Q131" s="66" t="s">
        <v>182</v>
      </c>
      <c r="R131" s="66" t="s">
        <v>183</v>
      </c>
      <c r="S131" s="66"/>
      <c r="T131" s="66"/>
      <c r="U131" s="69">
        <v>17268985</v>
      </c>
      <c r="V131" s="69">
        <v>17268985</v>
      </c>
      <c r="W131" s="67">
        <v>45937.639432870368</v>
      </c>
      <c r="X131" s="66"/>
      <c r="Y131" s="66" t="s">
        <v>183</v>
      </c>
      <c r="Z131" s="66" t="s">
        <v>184</v>
      </c>
      <c r="AA131" s="66" t="s">
        <v>365</v>
      </c>
      <c r="AB131" s="66" t="s">
        <v>366</v>
      </c>
      <c r="AC131" s="66"/>
      <c r="AD131" s="66"/>
      <c r="AE131" s="69">
        <v>76988</v>
      </c>
      <c r="AF131" s="70"/>
      <c r="AG131" s="66" t="s">
        <v>367</v>
      </c>
    </row>
    <row r="132" spans="1:33" x14ac:dyDescent="0.25">
      <c r="A132" s="66" t="s">
        <v>179</v>
      </c>
      <c r="B132" s="66">
        <v>901541137</v>
      </c>
      <c r="C132" s="66">
        <v>145684</v>
      </c>
      <c r="D132" s="67">
        <v>45979.550486111111</v>
      </c>
      <c r="E132" s="68">
        <v>2025</v>
      </c>
      <c r="F132" s="66">
        <v>11</v>
      </c>
      <c r="G132" s="66" t="s">
        <v>92</v>
      </c>
      <c r="H132" s="66" t="s">
        <v>92</v>
      </c>
      <c r="I132" s="66" t="s">
        <v>197</v>
      </c>
      <c r="J132" s="67">
        <v>45979</v>
      </c>
      <c r="K132" s="66"/>
      <c r="L132" s="66"/>
      <c r="M132" s="66"/>
      <c r="N132" s="66"/>
      <c r="O132" s="66"/>
      <c r="P132" s="66" t="s">
        <v>181</v>
      </c>
      <c r="Q132" s="66" t="s">
        <v>182</v>
      </c>
      <c r="R132" s="66" t="s">
        <v>183</v>
      </c>
      <c r="S132" s="66"/>
      <c r="T132" s="66"/>
      <c r="U132" s="69">
        <v>105004293</v>
      </c>
      <c r="V132" s="69">
        <v>105004293</v>
      </c>
      <c r="W132" s="67">
        <v>45937.749155092592</v>
      </c>
      <c r="X132" s="66"/>
      <c r="Y132" s="66" t="s">
        <v>183</v>
      </c>
      <c r="Z132" s="66" t="s">
        <v>184</v>
      </c>
      <c r="AA132" s="66" t="s">
        <v>208</v>
      </c>
      <c r="AB132" s="66" t="s">
        <v>209</v>
      </c>
      <c r="AC132" s="66"/>
      <c r="AD132" s="66"/>
      <c r="AE132" s="69">
        <v>611651</v>
      </c>
      <c r="AF132" s="70"/>
      <c r="AG132" s="66" t="s">
        <v>368</v>
      </c>
    </row>
    <row r="133" spans="1:33" x14ac:dyDescent="0.25">
      <c r="A133" s="66" t="s">
        <v>179</v>
      </c>
      <c r="B133" s="66">
        <v>901541137</v>
      </c>
      <c r="C133" s="66">
        <v>145684</v>
      </c>
      <c r="D133" s="67">
        <v>45979.550486111111</v>
      </c>
      <c r="E133" s="68">
        <v>2025</v>
      </c>
      <c r="F133" s="66">
        <v>11</v>
      </c>
      <c r="G133" s="66" t="s">
        <v>92</v>
      </c>
      <c r="H133" s="66" t="s">
        <v>92</v>
      </c>
      <c r="I133" s="66" t="s">
        <v>197</v>
      </c>
      <c r="J133" s="67">
        <v>45979</v>
      </c>
      <c r="K133" s="66"/>
      <c r="L133" s="66"/>
      <c r="M133" s="66"/>
      <c r="N133" s="66"/>
      <c r="O133" s="66"/>
      <c r="P133" s="66" t="s">
        <v>181</v>
      </c>
      <c r="Q133" s="66" t="s">
        <v>182</v>
      </c>
      <c r="R133" s="66" t="s">
        <v>183</v>
      </c>
      <c r="S133" s="66"/>
      <c r="T133" s="66"/>
      <c r="U133" s="69">
        <v>105004293</v>
      </c>
      <c r="V133" s="69">
        <v>105004293</v>
      </c>
      <c r="W133" s="67">
        <v>45937.749155092592</v>
      </c>
      <c r="X133" s="66"/>
      <c r="Y133" s="66" t="s">
        <v>183</v>
      </c>
      <c r="Z133" s="66" t="s">
        <v>184</v>
      </c>
      <c r="AA133" s="66" t="s">
        <v>212</v>
      </c>
      <c r="AB133" s="66" t="s">
        <v>213</v>
      </c>
      <c r="AC133" s="66"/>
      <c r="AD133" s="66"/>
      <c r="AE133" s="69">
        <v>100000</v>
      </c>
      <c r="AF133" s="70"/>
      <c r="AG133" s="66" t="s">
        <v>369</v>
      </c>
    </row>
    <row r="134" spans="1:33" x14ac:dyDescent="0.25">
      <c r="A134" s="66" t="s">
        <v>179</v>
      </c>
      <c r="B134" s="66">
        <v>901541137</v>
      </c>
      <c r="C134" s="66">
        <v>145684</v>
      </c>
      <c r="D134" s="67">
        <v>45979.550486111111</v>
      </c>
      <c r="E134" s="68">
        <v>2025</v>
      </c>
      <c r="F134" s="66">
        <v>11</v>
      </c>
      <c r="G134" s="66" t="s">
        <v>92</v>
      </c>
      <c r="H134" s="66" t="s">
        <v>92</v>
      </c>
      <c r="I134" s="66" t="s">
        <v>197</v>
      </c>
      <c r="J134" s="67">
        <v>45979</v>
      </c>
      <c r="K134" s="66"/>
      <c r="L134" s="66"/>
      <c r="M134" s="66"/>
      <c r="N134" s="66"/>
      <c r="O134" s="66"/>
      <c r="P134" s="66" t="s">
        <v>181</v>
      </c>
      <c r="Q134" s="66" t="s">
        <v>182</v>
      </c>
      <c r="R134" s="66" t="s">
        <v>183</v>
      </c>
      <c r="S134" s="66"/>
      <c r="T134" s="66"/>
      <c r="U134" s="69">
        <v>105004293</v>
      </c>
      <c r="V134" s="69">
        <v>105004293</v>
      </c>
      <c r="W134" s="67">
        <v>45937.749155092592</v>
      </c>
      <c r="X134" s="66"/>
      <c r="Y134" s="66" t="s">
        <v>183</v>
      </c>
      <c r="Z134" s="66" t="s">
        <v>184</v>
      </c>
      <c r="AA134" s="66" t="s">
        <v>198</v>
      </c>
      <c r="AB134" s="66" t="s">
        <v>199</v>
      </c>
      <c r="AC134" s="66"/>
      <c r="AD134" s="66"/>
      <c r="AE134" s="69">
        <v>728385</v>
      </c>
      <c r="AF134" s="70"/>
      <c r="AG134" s="66" t="s">
        <v>370</v>
      </c>
    </row>
    <row r="135" spans="1:33" x14ac:dyDescent="0.25">
      <c r="A135" s="66" t="s">
        <v>179</v>
      </c>
      <c r="B135" s="66">
        <v>901541137</v>
      </c>
      <c r="C135" s="66">
        <v>145684</v>
      </c>
      <c r="D135" s="67">
        <v>45979.550486111111</v>
      </c>
      <c r="E135" s="68">
        <v>2025</v>
      </c>
      <c r="F135" s="66">
        <v>11</v>
      </c>
      <c r="G135" s="66" t="s">
        <v>92</v>
      </c>
      <c r="H135" s="66" t="s">
        <v>92</v>
      </c>
      <c r="I135" s="66" t="s">
        <v>197</v>
      </c>
      <c r="J135" s="67">
        <v>45979</v>
      </c>
      <c r="K135" s="66"/>
      <c r="L135" s="66"/>
      <c r="M135" s="66"/>
      <c r="N135" s="66"/>
      <c r="O135" s="66"/>
      <c r="P135" s="66" t="s">
        <v>181</v>
      </c>
      <c r="Q135" s="66" t="s">
        <v>182</v>
      </c>
      <c r="R135" s="66" t="s">
        <v>183</v>
      </c>
      <c r="S135" s="66"/>
      <c r="T135" s="66"/>
      <c r="U135" s="69">
        <v>105004293</v>
      </c>
      <c r="V135" s="69">
        <v>105004293</v>
      </c>
      <c r="W135" s="67">
        <v>45937.749155092592</v>
      </c>
      <c r="X135" s="66"/>
      <c r="Y135" s="66" t="s">
        <v>183</v>
      </c>
      <c r="Z135" s="66" t="s">
        <v>184</v>
      </c>
      <c r="AA135" s="66" t="s">
        <v>201</v>
      </c>
      <c r="AB135" s="66" t="s">
        <v>202</v>
      </c>
      <c r="AC135" s="66"/>
      <c r="AD135" s="66"/>
      <c r="AE135" s="69">
        <v>4649823</v>
      </c>
      <c r="AF135" s="70"/>
      <c r="AG135" s="66" t="s">
        <v>371</v>
      </c>
    </row>
    <row r="136" spans="1:33" x14ac:dyDescent="0.25">
      <c r="A136" s="66" t="s">
        <v>179</v>
      </c>
      <c r="B136" s="66">
        <v>901541137</v>
      </c>
      <c r="C136" s="66">
        <v>145684</v>
      </c>
      <c r="D136" s="67">
        <v>45979.550486111111</v>
      </c>
      <c r="E136" s="68">
        <v>2025</v>
      </c>
      <c r="F136" s="66">
        <v>11</v>
      </c>
      <c r="G136" s="66" t="s">
        <v>92</v>
      </c>
      <c r="H136" s="66" t="s">
        <v>92</v>
      </c>
      <c r="I136" s="66" t="s">
        <v>197</v>
      </c>
      <c r="J136" s="67">
        <v>45979</v>
      </c>
      <c r="K136" s="66"/>
      <c r="L136" s="66"/>
      <c r="M136" s="66"/>
      <c r="N136" s="66"/>
      <c r="O136" s="66"/>
      <c r="P136" s="66" t="s">
        <v>181</v>
      </c>
      <c r="Q136" s="66" t="s">
        <v>182</v>
      </c>
      <c r="R136" s="66" t="s">
        <v>183</v>
      </c>
      <c r="S136" s="66"/>
      <c r="T136" s="66"/>
      <c r="U136" s="69">
        <v>105004293</v>
      </c>
      <c r="V136" s="69">
        <v>105004293</v>
      </c>
      <c r="W136" s="67">
        <v>45937.749155092592</v>
      </c>
      <c r="X136" s="66"/>
      <c r="Y136" s="66" t="s">
        <v>183</v>
      </c>
      <c r="Z136" s="66" t="s">
        <v>184</v>
      </c>
      <c r="AA136" s="66" t="s">
        <v>372</v>
      </c>
      <c r="AB136" s="66" t="s">
        <v>373</v>
      </c>
      <c r="AC136" s="66"/>
      <c r="AD136" s="66"/>
      <c r="AE136" s="69">
        <v>562692</v>
      </c>
      <c r="AF136" s="70"/>
      <c r="AG136" s="66" t="s">
        <v>374</v>
      </c>
    </row>
    <row r="137" spans="1:33" x14ac:dyDescent="0.25">
      <c r="A137" s="66" t="s">
        <v>179</v>
      </c>
      <c r="B137" s="66">
        <v>901541137</v>
      </c>
      <c r="C137" s="66">
        <v>145686</v>
      </c>
      <c r="D137" s="67">
        <v>45979.556307870371</v>
      </c>
      <c r="E137" s="68">
        <v>2025</v>
      </c>
      <c r="F137" s="66">
        <v>11</v>
      </c>
      <c r="G137" s="66" t="s">
        <v>93</v>
      </c>
      <c r="H137" s="66" t="s">
        <v>93</v>
      </c>
      <c r="I137" s="66" t="s">
        <v>197</v>
      </c>
      <c r="J137" s="67">
        <v>45979</v>
      </c>
      <c r="K137" s="66"/>
      <c r="L137" s="66"/>
      <c r="M137" s="66"/>
      <c r="N137" s="66"/>
      <c r="O137" s="66"/>
      <c r="P137" s="66" t="s">
        <v>181</v>
      </c>
      <c r="Q137" s="66" t="s">
        <v>182</v>
      </c>
      <c r="R137" s="66" t="s">
        <v>183</v>
      </c>
      <c r="S137" s="66"/>
      <c r="T137" s="66"/>
      <c r="U137" s="69">
        <v>21659339</v>
      </c>
      <c r="V137" s="69">
        <v>21659339</v>
      </c>
      <c r="W137" s="67">
        <v>45939.373217592591</v>
      </c>
      <c r="X137" s="66"/>
      <c r="Y137" s="66" t="s">
        <v>183</v>
      </c>
      <c r="Z137" s="66" t="s">
        <v>184</v>
      </c>
      <c r="AA137" s="66" t="s">
        <v>212</v>
      </c>
      <c r="AB137" s="66" t="s">
        <v>213</v>
      </c>
      <c r="AC137" s="66"/>
      <c r="AD137" s="66"/>
      <c r="AE137" s="69">
        <v>413296</v>
      </c>
      <c r="AF137" s="70"/>
      <c r="AG137" s="66" t="s">
        <v>375</v>
      </c>
    </row>
    <row r="138" spans="1:33" x14ac:dyDescent="0.25">
      <c r="A138" s="66" t="s">
        <v>179</v>
      </c>
      <c r="B138" s="66">
        <v>901541137</v>
      </c>
      <c r="C138" s="66">
        <v>145686</v>
      </c>
      <c r="D138" s="67">
        <v>45979.556307870371</v>
      </c>
      <c r="E138" s="68">
        <v>2025</v>
      </c>
      <c r="F138" s="66">
        <v>11</v>
      </c>
      <c r="G138" s="66" t="s">
        <v>93</v>
      </c>
      <c r="H138" s="66" t="s">
        <v>93</v>
      </c>
      <c r="I138" s="66" t="s">
        <v>197</v>
      </c>
      <c r="J138" s="67">
        <v>45979</v>
      </c>
      <c r="K138" s="66"/>
      <c r="L138" s="66"/>
      <c r="M138" s="66"/>
      <c r="N138" s="66"/>
      <c r="O138" s="66"/>
      <c r="P138" s="66" t="s">
        <v>181</v>
      </c>
      <c r="Q138" s="66" t="s">
        <v>182</v>
      </c>
      <c r="R138" s="66" t="s">
        <v>183</v>
      </c>
      <c r="S138" s="66"/>
      <c r="T138" s="66"/>
      <c r="U138" s="69">
        <v>21659339</v>
      </c>
      <c r="V138" s="69">
        <v>21659339</v>
      </c>
      <c r="W138" s="67">
        <v>45939.373217592591</v>
      </c>
      <c r="X138" s="66"/>
      <c r="Y138" s="66" t="s">
        <v>183</v>
      </c>
      <c r="Z138" s="66" t="s">
        <v>184</v>
      </c>
      <c r="AA138" s="66" t="s">
        <v>198</v>
      </c>
      <c r="AB138" s="66" t="s">
        <v>199</v>
      </c>
      <c r="AC138" s="66"/>
      <c r="AD138" s="66"/>
      <c r="AE138" s="69">
        <v>76988</v>
      </c>
      <c r="AF138" s="70"/>
      <c r="AG138" s="66" t="s">
        <v>376</v>
      </c>
    </row>
    <row r="139" spans="1:33" x14ac:dyDescent="0.25">
      <c r="A139" s="66" t="s">
        <v>179</v>
      </c>
      <c r="B139" s="66">
        <v>901541137</v>
      </c>
      <c r="C139" s="66">
        <v>145686</v>
      </c>
      <c r="D139" s="67">
        <v>45979.556307870371</v>
      </c>
      <c r="E139" s="68">
        <v>2025</v>
      </c>
      <c r="F139" s="66">
        <v>11</v>
      </c>
      <c r="G139" s="66" t="s">
        <v>93</v>
      </c>
      <c r="H139" s="66" t="s">
        <v>93</v>
      </c>
      <c r="I139" s="66" t="s">
        <v>197</v>
      </c>
      <c r="J139" s="67">
        <v>45979</v>
      </c>
      <c r="K139" s="66"/>
      <c r="L139" s="66"/>
      <c r="M139" s="66"/>
      <c r="N139" s="66"/>
      <c r="O139" s="66"/>
      <c r="P139" s="66" t="s">
        <v>181</v>
      </c>
      <c r="Q139" s="66" t="s">
        <v>182</v>
      </c>
      <c r="R139" s="66" t="s">
        <v>183</v>
      </c>
      <c r="S139" s="66"/>
      <c r="T139" s="66"/>
      <c r="U139" s="69">
        <v>21659339</v>
      </c>
      <c r="V139" s="69">
        <v>21659339</v>
      </c>
      <c r="W139" s="67">
        <v>45939.373217592591</v>
      </c>
      <c r="X139" s="66"/>
      <c r="Y139" s="66" t="s">
        <v>183</v>
      </c>
      <c r="Z139" s="66" t="s">
        <v>184</v>
      </c>
      <c r="AA139" s="66" t="s">
        <v>230</v>
      </c>
      <c r="AB139" s="66" t="s">
        <v>231</v>
      </c>
      <c r="AC139" s="66"/>
      <c r="AD139" s="66"/>
      <c r="AE139" s="69">
        <v>12000</v>
      </c>
      <c r="AF139" s="70"/>
      <c r="AG139" s="66" t="s">
        <v>377</v>
      </c>
    </row>
    <row r="140" spans="1:33" x14ac:dyDescent="0.25">
      <c r="A140" s="66" t="s">
        <v>179</v>
      </c>
      <c r="B140" s="66">
        <v>901541137</v>
      </c>
      <c r="C140" s="66">
        <v>145686</v>
      </c>
      <c r="D140" s="67">
        <v>45979.556307870371</v>
      </c>
      <c r="E140" s="68">
        <v>2025</v>
      </c>
      <c r="F140" s="66">
        <v>11</v>
      </c>
      <c r="G140" s="66" t="s">
        <v>93</v>
      </c>
      <c r="H140" s="66" t="s">
        <v>93</v>
      </c>
      <c r="I140" s="66" t="s">
        <v>197</v>
      </c>
      <c r="J140" s="67">
        <v>45979</v>
      </c>
      <c r="K140" s="66"/>
      <c r="L140" s="66"/>
      <c r="M140" s="66"/>
      <c r="N140" s="66"/>
      <c r="O140" s="66"/>
      <c r="P140" s="66" t="s">
        <v>181</v>
      </c>
      <c r="Q140" s="66" t="s">
        <v>182</v>
      </c>
      <c r="R140" s="66" t="s">
        <v>183</v>
      </c>
      <c r="S140" s="66"/>
      <c r="T140" s="66"/>
      <c r="U140" s="69">
        <v>21659339</v>
      </c>
      <c r="V140" s="69">
        <v>21659339</v>
      </c>
      <c r="W140" s="67">
        <v>45939.373217592591</v>
      </c>
      <c r="X140" s="66"/>
      <c r="Y140" s="66" t="s">
        <v>183</v>
      </c>
      <c r="Z140" s="66" t="s">
        <v>184</v>
      </c>
      <c r="AA140" s="66" t="s">
        <v>201</v>
      </c>
      <c r="AB140" s="66" t="s">
        <v>202</v>
      </c>
      <c r="AC140" s="66"/>
      <c r="AD140" s="66"/>
      <c r="AE140" s="69">
        <v>534000</v>
      </c>
      <c r="AF140" s="70"/>
      <c r="AG140" s="66" t="s">
        <v>378</v>
      </c>
    </row>
    <row r="141" spans="1:33" x14ac:dyDescent="0.25">
      <c r="A141" s="66" t="s">
        <v>179</v>
      </c>
      <c r="B141" s="66">
        <v>901541137</v>
      </c>
      <c r="C141" s="66">
        <v>145700</v>
      </c>
      <c r="D141" s="67">
        <v>45979.595092592594</v>
      </c>
      <c r="E141" s="68">
        <v>2025</v>
      </c>
      <c r="F141" s="66">
        <v>11</v>
      </c>
      <c r="G141" s="66" t="s">
        <v>94</v>
      </c>
      <c r="H141" s="66" t="s">
        <v>94</v>
      </c>
      <c r="I141" s="66" t="s">
        <v>197</v>
      </c>
      <c r="J141" s="67">
        <v>45979</v>
      </c>
      <c r="K141" s="66"/>
      <c r="L141" s="66"/>
      <c r="M141" s="66"/>
      <c r="N141" s="66"/>
      <c r="O141" s="66"/>
      <c r="P141" s="66" t="s">
        <v>181</v>
      </c>
      <c r="Q141" s="66" t="s">
        <v>182</v>
      </c>
      <c r="R141" s="66" t="s">
        <v>183</v>
      </c>
      <c r="S141" s="66"/>
      <c r="T141" s="66"/>
      <c r="U141" s="69">
        <v>10128740</v>
      </c>
      <c r="V141" s="69">
        <v>10128740</v>
      </c>
      <c r="W141" s="67">
        <v>45949.388599537036</v>
      </c>
      <c r="X141" s="66"/>
      <c r="Y141" s="66" t="s">
        <v>183</v>
      </c>
      <c r="Z141" s="66" t="s">
        <v>184</v>
      </c>
      <c r="AA141" s="66" t="s">
        <v>208</v>
      </c>
      <c r="AB141" s="66" t="s">
        <v>209</v>
      </c>
      <c r="AC141" s="66"/>
      <c r="AD141" s="66"/>
      <c r="AE141" s="69">
        <v>234480</v>
      </c>
      <c r="AF141" s="70"/>
      <c r="AG141" s="66" t="s">
        <v>379</v>
      </c>
    </row>
    <row r="142" spans="1:33" x14ac:dyDescent="0.25">
      <c r="A142" s="66" t="s">
        <v>179</v>
      </c>
      <c r="B142" s="66">
        <v>901541137</v>
      </c>
      <c r="C142" s="66">
        <v>145700</v>
      </c>
      <c r="D142" s="67">
        <v>45979.595092592594</v>
      </c>
      <c r="E142" s="68">
        <v>2025</v>
      </c>
      <c r="F142" s="66">
        <v>11</v>
      </c>
      <c r="G142" s="66" t="s">
        <v>94</v>
      </c>
      <c r="H142" s="66" t="s">
        <v>94</v>
      </c>
      <c r="I142" s="66" t="s">
        <v>197</v>
      </c>
      <c r="J142" s="67">
        <v>45979</v>
      </c>
      <c r="K142" s="66"/>
      <c r="L142" s="66"/>
      <c r="M142" s="66"/>
      <c r="N142" s="66"/>
      <c r="O142" s="66"/>
      <c r="P142" s="66" t="s">
        <v>181</v>
      </c>
      <c r="Q142" s="66" t="s">
        <v>182</v>
      </c>
      <c r="R142" s="66" t="s">
        <v>183</v>
      </c>
      <c r="S142" s="66"/>
      <c r="T142" s="66"/>
      <c r="U142" s="69">
        <v>10128740</v>
      </c>
      <c r="V142" s="69">
        <v>10128740</v>
      </c>
      <c r="W142" s="67">
        <v>45949.388599537036</v>
      </c>
      <c r="X142" s="66"/>
      <c r="Y142" s="66" t="s">
        <v>183</v>
      </c>
      <c r="Z142" s="66" t="s">
        <v>184</v>
      </c>
      <c r="AA142" s="66" t="s">
        <v>212</v>
      </c>
      <c r="AB142" s="66" t="s">
        <v>213</v>
      </c>
      <c r="AC142" s="66"/>
      <c r="AD142" s="66"/>
      <c r="AE142" s="69">
        <v>100000</v>
      </c>
      <c r="AF142" s="70"/>
      <c r="AG142" s="66" t="s">
        <v>380</v>
      </c>
    </row>
    <row r="143" spans="1:33" x14ac:dyDescent="0.25">
      <c r="A143" s="66" t="s">
        <v>179</v>
      </c>
      <c r="B143" s="66">
        <v>901541137</v>
      </c>
      <c r="C143" s="66">
        <v>145700</v>
      </c>
      <c r="D143" s="67">
        <v>45979.595092592594</v>
      </c>
      <c r="E143" s="68">
        <v>2025</v>
      </c>
      <c r="F143" s="66">
        <v>11</v>
      </c>
      <c r="G143" s="66" t="s">
        <v>94</v>
      </c>
      <c r="H143" s="66" t="s">
        <v>94</v>
      </c>
      <c r="I143" s="66" t="s">
        <v>197</v>
      </c>
      <c r="J143" s="67">
        <v>45979</v>
      </c>
      <c r="K143" s="66"/>
      <c r="L143" s="66"/>
      <c r="M143" s="66"/>
      <c r="N143" s="66"/>
      <c r="O143" s="66"/>
      <c r="P143" s="66" t="s">
        <v>181</v>
      </c>
      <c r="Q143" s="66" t="s">
        <v>182</v>
      </c>
      <c r="R143" s="66" t="s">
        <v>183</v>
      </c>
      <c r="S143" s="66"/>
      <c r="T143" s="66"/>
      <c r="U143" s="69">
        <v>10128740</v>
      </c>
      <c r="V143" s="69">
        <v>10128740</v>
      </c>
      <c r="W143" s="67">
        <v>45949.388599537036</v>
      </c>
      <c r="X143" s="66"/>
      <c r="Y143" s="66" t="s">
        <v>183</v>
      </c>
      <c r="Z143" s="66" t="s">
        <v>184</v>
      </c>
      <c r="AA143" s="66" t="s">
        <v>194</v>
      </c>
      <c r="AB143" s="66" t="s">
        <v>195</v>
      </c>
      <c r="AC143" s="66"/>
      <c r="AD143" s="66"/>
      <c r="AE143" s="69">
        <v>398580</v>
      </c>
      <c r="AF143" s="70"/>
      <c r="AG143" s="66" t="s">
        <v>381</v>
      </c>
    </row>
    <row r="144" spans="1:33" x14ac:dyDescent="0.25">
      <c r="A144" s="66" t="s">
        <v>179</v>
      </c>
      <c r="B144" s="66">
        <v>901541137</v>
      </c>
      <c r="C144" s="66">
        <v>145909</v>
      </c>
      <c r="D144" s="67">
        <v>45980.36886574074</v>
      </c>
      <c r="E144" s="68">
        <v>2025</v>
      </c>
      <c r="F144" s="66">
        <v>11</v>
      </c>
      <c r="G144" s="66" t="s">
        <v>110</v>
      </c>
      <c r="H144" s="66" t="s">
        <v>110</v>
      </c>
      <c r="I144" s="66" t="s">
        <v>180</v>
      </c>
      <c r="J144" s="67">
        <v>45980</v>
      </c>
      <c r="K144" s="66"/>
      <c r="L144" s="66"/>
      <c r="M144" s="66"/>
      <c r="N144" s="66"/>
      <c r="O144" s="66"/>
      <c r="P144" s="66" t="s">
        <v>181</v>
      </c>
      <c r="Q144" s="66" t="s">
        <v>182</v>
      </c>
      <c r="R144" s="66" t="s">
        <v>189</v>
      </c>
      <c r="S144" s="66"/>
      <c r="T144" s="66"/>
      <c r="U144" s="69">
        <v>63687</v>
      </c>
      <c r="V144" s="69">
        <v>63687</v>
      </c>
      <c r="W144" s="67">
        <v>45800.266064814816</v>
      </c>
      <c r="X144" s="66"/>
      <c r="Y144" s="66" t="s">
        <v>189</v>
      </c>
      <c r="Z144" s="66" t="s">
        <v>184</v>
      </c>
      <c r="AA144" s="66" t="s">
        <v>212</v>
      </c>
      <c r="AB144" s="66" t="s">
        <v>213</v>
      </c>
      <c r="AC144" s="66"/>
      <c r="AD144" s="66"/>
      <c r="AE144" s="69">
        <v>19</v>
      </c>
      <c r="AF144" s="70"/>
      <c r="AG144" s="66" t="s">
        <v>382</v>
      </c>
    </row>
    <row r="145" spans="1:33" x14ac:dyDescent="0.25">
      <c r="A145" s="66" t="s">
        <v>179</v>
      </c>
      <c r="B145" s="66">
        <v>901541137</v>
      </c>
      <c r="C145" s="66">
        <v>146141</v>
      </c>
      <c r="D145" s="67">
        <v>45981.705960648149</v>
      </c>
      <c r="E145" s="68">
        <v>2025</v>
      </c>
      <c r="F145" s="66">
        <v>11</v>
      </c>
      <c r="G145" s="66" t="s">
        <v>100</v>
      </c>
      <c r="H145" s="66" t="s">
        <v>100</v>
      </c>
      <c r="I145" s="66" t="s">
        <v>180</v>
      </c>
      <c r="J145" s="67">
        <v>45981</v>
      </c>
      <c r="K145" s="66"/>
      <c r="L145" s="66"/>
      <c r="M145" s="66"/>
      <c r="N145" s="66"/>
      <c r="O145" s="66"/>
      <c r="P145" s="66" t="s">
        <v>181</v>
      </c>
      <c r="Q145" s="66" t="s">
        <v>182</v>
      </c>
      <c r="R145" s="66" t="s">
        <v>183</v>
      </c>
      <c r="S145" s="66"/>
      <c r="T145" s="66"/>
      <c r="U145" s="69">
        <v>110200305</v>
      </c>
      <c r="V145" s="69">
        <v>110200305</v>
      </c>
      <c r="W145" s="67">
        <v>45946.566655092596</v>
      </c>
      <c r="X145" s="66"/>
      <c r="Y145" s="66" t="s">
        <v>183</v>
      </c>
      <c r="Z145" s="66" t="s">
        <v>184</v>
      </c>
      <c r="AA145" s="66" t="s">
        <v>383</v>
      </c>
      <c r="AB145" s="66" t="s">
        <v>384</v>
      </c>
      <c r="AC145" s="66"/>
      <c r="AD145" s="66"/>
      <c r="AE145" s="69">
        <v>18088974</v>
      </c>
      <c r="AF145" s="70"/>
      <c r="AG145" s="66" t="s">
        <v>385</v>
      </c>
    </row>
    <row r="146" spans="1:33" x14ac:dyDescent="0.25">
      <c r="A146" s="66" t="s">
        <v>179</v>
      </c>
      <c r="B146" s="66">
        <v>901541137</v>
      </c>
      <c r="C146" s="66">
        <v>146141</v>
      </c>
      <c r="D146" s="67">
        <v>45981.705960648149</v>
      </c>
      <c r="E146" s="68">
        <v>2025</v>
      </c>
      <c r="F146" s="66">
        <v>11</v>
      </c>
      <c r="G146" s="66" t="s">
        <v>100</v>
      </c>
      <c r="H146" s="66" t="s">
        <v>100</v>
      </c>
      <c r="I146" s="66" t="s">
        <v>180</v>
      </c>
      <c r="J146" s="67">
        <v>45981</v>
      </c>
      <c r="K146" s="66"/>
      <c r="L146" s="66"/>
      <c r="M146" s="66"/>
      <c r="N146" s="66"/>
      <c r="O146" s="66"/>
      <c r="P146" s="66" t="s">
        <v>181</v>
      </c>
      <c r="Q146" s="66" t="s">
        <v>182</v>
      </c>
      <c r="R146" s="66" t="s">
        <v>183</v>
      </c>
      <c r="S146" s="66"/>
      <c r="T146" s="66"/>
      <c r="U146" s="69">
        <v>110200305</v>
      </c>
      <c r="V146" s="69">
        <v>110200305</v>
      </c>
      <c r="W146" s="67">
        <v>45946.566655092596</v>
      </c>
      <c r="X146" s="66"/>
      <c r="Y146" s="66" t="s">
        <v>183</v>
      </c>
      <c r="Z146" s="66" t="s">
        <v>184</v>
      </c>
      <c r="AA146" s="66" t="s">
        <v>260</v>
      </c>
      <c r="AB146" s="66" t="s">
        <v>261</v>
      </c>
      <c r="AC146" s="66"/>
      <c r="AD146" s="66"/>
      <c r="AE146" s="69">
        <v>677168</v>
      </c>
      <c r="AF146" s="70"/>
      <c r="AG146" s="66" t="s">
        <v>386</v>
      </c>
    </row>
    <row r="147" spans="1:33" x14ac:dyDescent="0.25">
      <c r="A147" s="66" t="s">
        <v>179</v>
      </c>
      <c r="B147" s="66">
        <v>901541137</v>
      </c>
      <c r="C147" s="66">
        <v>146142</v>
      </c>
      <c r="D147" s="67">
        <v>45981.722569444442</v>
      </c>
      <c r="E147" s="68">
        <v>2025</v>
      </c>
      <c r="F147" s="66">
        <v>11</v>
      </c>
      <c r="G147" s="66" t="s">
        <v>113</v>
      </c>
      <c r="H147" s="66" t="s">
        <v>113</v>
      </c>
      <c r="I147" s="66" t="s">
        <v>197</v>
      </c>
      <c r="J147" s="67">
        <v>45981</v>
      </c>
      <c r="K147" s="66"/>
      <c r="L147" s="66"/>
      <c r="M147" s="66"/>
      <c r="N147" s="66"/>
      <c r="O147" s="66"/>
      <c r="P147" s="66" t="s">
        <v>181</v>
      </c>
      <c r="Q147" s="66" t="s">
        <v>182</v>
      </c>
      <c r="R147" s="66" t="s">
        <v>183</v>
      </c>
      <c r="S147" s="66"/>
      <c r="T147" s="66"/>
      <c r="U147" s="69">
        <v>88888445</v>
      </c>
      <c r="V147" s="69">
        <v>88888445</v>
      </c>
      <c r="W147" s="67">
        <v>45950.34642361111</v>
      </c>
      <c r="X147" s="66"/>
      <c r="Y147" s="66" t="s">
        <v>183</v>
      </c>
      <c r="Z147" s="66" t="s">
        <v>184</v>
      </c>
      <c r="AA147" s="66" t="s">
        <v>212</v>
      </c>
      <c r="AB147" s="66" t="s">
        <v>213</v>
      </c>
      <c r="AC147" s="66"/>
      <c r="AD147" s="66"/>
      <c r="AE147" s="69">
        <v>524592</v>
      </c>
      <c r="AF147" s="70"/>
      <c r="AG147" s="66" t="s">
        <v>387</v>
      </c>
    </row>
    <row r="148" spans="1:33" x14ac:dyDescent="0.25">
      <c r="A148" s="66" t="s">
        <v>179</v>
      </c>
      <c r="B148" s="66">
        <v>901541137</v>
      </c>
      <c r="C148" s="66">
        <v>146142</v>
      </c>
      <c r="D148" s="67">
        <v>45981.722569444442</v>
      </c>
      <c r="E148" s="68">
        <v>2025</v>
      </c>
      <c r="F148" s="66">
        <v>11</v>
      </c>
      <c r="G148" s="66" t="s">
        <v>113</v>
      </c>
      <c r="H148" s="66" t="s">
        <v>113</v>
      </c>
      <c r="I148" s="66" t="s">
        <v>197</v>
      </c>
      <c r="J148" s="67">
        <v>45981</v>
      </c>
      <c r="K148" s="66"/>
      <c r="L148" s="66"/>
      <c r="M148" s="66"/>
      <c r="N148" s="66"/>
      <c r="O148" s="66"/>
      <c r="P148" s="66" t="s">
        <v>181</v>
      </c>
      <c r="Q148" s="66" t="s">
        <v>182</v>
      </c>
      <c r="R148" s="66" t="s">
        <v>183</v>
      </c>
      <c r="S148" s="66"/>
      <c r="T148" s="66"/>
      <c r="U148" s="69">
        <v>88888445</v>
      </c>
      <c r="V148" s="69">
        <v>88888445</v>
      </c>
      <c r="W148" s="67">
        <v>45950.34642361111</v>
      </c>
      <c r="X148" s="66"/>
      <c r="Y148" s="66" t="s">
        <v>183</v>
      </c>
      <c r="Z148" s="66" t="s">
        <v>184</v>
      </c>
      <c r="AA148" s="66" t="s">
        <v>388</v>
      </c>
      <c r="AB148" s="66" t="s">
        <v>389</v>
      </c>
      <c r="AC148" s="66"/>
      <c r="AD148" s="66"/>
      <c r="AE148" s="69">
        <v>68120</v>
      </c>
      <c r="AF148" s="70"/>
      <c r="AG148" s="66" t="s">
        <v>390</v>
      </c>
    </row>
    <row r="149" spans="1:33" x14ac:dyDescent="0.25">
      <c r="A149" s="66" t="s">
        <v>179</v>
      </c>
      <c r="B149" s="66">
        <v>901541137</v>
      </c>
      <c r="C149" s="66">
        <v>146142</v>
      </c>
      <c r="D149" s="67">
        <v>45981.722569444442</v>
      </c>
      <c r="E149" s="68">
        <v>2025</v>
      </c>
      <c r="F149" s="66">
        <v>11</v>
      </c>
      <c r="G149" s="66" t="s">
        <v>113</v>
      </c>
      <c r="H149" s="66" t="s">
        <v>113</v>
      </c>
      <c r="I149" s="66" t="s">
        <v>197</v>
      </c>
      <c r="J149" s="67">
        <v>45981</v>
      </c>
      <c r="K149" s="66"/>
      <c r="L149" s="66"/>
      <c r="M149" s="66"/>
      <c r="N149" s="66"/>
      <c r="O149" s="66"/>
      <c r="P149" s="66" t="s">
        <v>181</v>
      </c>
      <c r="Q149" s="66" t="s">
        <v>182</v>
      </c>
      <c r="R149" s="66" t="s">
        <v>183</v>
      </c>
      <c r="S149" s="66"/>
      <c r="T149" s="66"/>
      <c r="U149" s="69">
        <v>88888445</v>
      </c>
      <c r="V149" s="69">
        <v>88888445</v>
      </c>
      <c r="W149" s="67">
        <v>45950.34642361111</v>
      </c>
      <c r="X149" s="66"/>
      <c r="Y149" s="66" t="s">
        <v>183</v>
      </c>
      <c r="Z149" s="66" t="s">
        <v>184</v>
      </c>
      <c r="AA149" s="66" t="s">
        <v>194</v>
      </c>
      <c r="AB149" s="66" t="s">
        <v>195</v>
      </c>
      <c r="AC149" s="66"/>
      <c r="AD149" s="66"/>
      <c r="AE149" s="69">
        <v>5225086</v>
      </c>
      <c r="AF149" s="70"/>
      <c r="AG149" s="66" t="s">
        <v>391</v>
      </c>
    </row>
    <row r="150" spans="1:33" x14ac:dyDescent="0.25">
      <c r="A150" s="66" t="s">
        <v>179</v>
      </c>
      <c r="B150" s="66">
        <v>901541137</v>
      </c>
      <c r="C150" s="66">
        <v>146143</v>
      </c>
      <c r="D150" s="67">
        <v>45981.724409722221</v>
      </c>
      <c r="E150" s="68">
        <v>2025</v>
      </c>
      <c r="F150" s="66">
        <v>11</v>
      </c>
      <c r="G150" s="66" t="s">
        <v>101</v>
      </c>
      <c r="H150" s="66" t="s">
        <v>101</v>
      </c>
      <c r="I150" s="66" t="s">
        <v>197</v>
      </c>
      <c r="J150" s="67">
        <v>45981</v>
      </c>
      <c r="K150" s="66"/>
      <c r="L150" s="66"/>
      <c r="M150" s="66"/>
      <c r="N150" s="66"/>
      <c r="O150" s="66"/>
      <c r="P150" s="66" t="s">
        <v>181</v>
      </c>
      <c r="Q150" s="66" t="s">
        <v>182</v>
      </c>
      <c r="R150" s="66" t="s">
        <v>183</v>
      </c>
      <c r="S150" s="66"/>
      <c r="T150" s="66"/>
      <c r="U150" s="69">
        <v>68409212</v>
      </c>
      <c r="V150" s="69">
        <v>68409212</v>
      </c>
      <c r="W150" s="67">
        <v>45951.750462962962</v>
      </c>
      <c r="X150" s="66"/>
      <c r="Y150" s="66" t="s">
        <v>183</v>
      </c>
      <c r="Z150" s="66" t="s">
        <v>184</v>
      </c>
      <c r="AA150" s="66" t="s">
        <v>194</v>
      </c>
      <c r="AB150" s="66" t="s">
        <v>195</v>
      </c>
      <c r="AC150" s="66"/>
      <c r="AD150" s="66"/>
      <c r="AE150" s="69">
        <v>3058255</v>
      </c>
      <c r="AF150" s="70"/>
      <c r="AG150" s="66" t="s">
        <v>392</v>
      </c>
    </row>
    <row r="151" spans="1:33" x14ac:dyDescent="0.25">
      <c r="A151" s="66" t="s">
        <v>179</v>
      </c>
      <c r="B151" s="66">
        <v>901541137</v>
      </c>
      <c r="C151" s="66">
        <v>146143</v>
      </c>
      <c r="D151" s="67">
        <v>45981.724409722221</v>
      </c>
      <c r="E151" s="68">
        <v>2025</v>
      </c>
      <c r="F151" s="66">
        <v>11</v>
      </c>
      <c r="G151" s="66" t="s">
        <v>101</v>
      </c>
      <c r="H151" s="66" t="s">
        <v>101</v>
      </c>
      <c r="I151" s="66" t="s">
        <v>197</v>
      </c>
      <c r="J151" s="67">
        <v>45981</v>
      </c>
      <c r="K151" s="66"/>
      <c r="L151" s="66"/>
      <c r="M151" s="66"/>
      <c r="N151" s="66"/>
      <c r="O151" s="66"/>
      <c r="P151" s="66" t="s">
        <v>181</v>
      </c>
      <c r="Q151" s="66" t="s">
        <v>182</v>
      </c>
      <c r="R151" s="66" t="s">
        <v>183</v>
      </c>
      <c r="S151" s="66"/>
      <c r="T151" s="66"/>
      <c r="U151" s="69">
        <v>68409212</v>
      </c>
      <c r="V151" s="69">
        <v>68409212</v>
      </c>
      <c r="W151" s="67">
        <v>45951.750462962962</v>
      </c>
      <c r="X151" s="66"/>
      <c r="Y151" s="66" t="s">
        <v>183</v>
      </c>
      <c r="Z151" s="66" t="s">
        <v>184</v>
      </c>
      <c r="AA151" s="66" t="s">
        <v>260</v>
      </c>
      <c r="AB151" s="66" t="s">
        <v>261</v>
      </c>
      <c r="AC151" s="66"/>
      <c r="AD151" s="66"/>
      <c r="AE151" s="69">
        <v>878704</v>
      </c>
      <c r="AF151" s="70"/>
      <c r="AG151" s="66" t="s">
        <v>393</v>
      </c>
    </row>
    <row r="152" spans="1:33" x14ac:dyDescent="0.25">
      <c r="A152" s="66" t="s">
        <v>179</v>
      </c>
      <c r="B152" s="66">
        <v>901541137</v>
      </c>
      <c r="C152" s="66">
        <v>146144</v>
      </c>
      <c r="D152" s="67">
        <v>45981.726168981484</v>
      </c>
      <c r="E152" s="68">
        <v>2025</v>
      </c>
      <c r="F152" s="66">
        <v>11</v>
      </c>
      <c r="G152" s="66" t="s">
        <v>114</v>
      </c>
      <c r="H152" s="66" t="s">
        <v>114</v>
      </c>
      <c r="I152" s="66" t="s">
        <v>193</v>
      </c>
      <c r="J152" s="67">
        <v>45981</v>
      </c>
      <c r="K152" s="66"/>
      <c r="L152" s="66"/>
      <c r="M152" s="66"/>
      <c r="N152" s="66"/>
      <c r="O152" s="66"/>
      <c r="P152" s="66" t="s">
        <v>181</v>
      </c>
      <c r="Q152" s="66" t="s">
        <v>182</v>
      </c>
      <c r="R152" s="66" t="s">
        <v>183</v>
      </c>
      <c r="S152" s="66"/>
      <c r="T152" s="66"/>
      <c r="U152" s="69">
        <v>29422665</v>
      </c>
      <c r="V152" s="69">
        <v>29422665</v>
      </c>
      <c r="W152" s="67">
        <v>45952.330358796295</v>
      </c>
      <c r="X152" s="66"/>
      <c r="Y152" s="66" t="s">
        <v>183</v>
      </c>
      <c r="Z152" s="66" t="s">
        <v>184</v>
      </c>
      <c r="AA152" s="66" t="s">
        <v>194</v>
      </c>
      <c r="AB152" s="66" t="s">
        <v>195</v>
      </c>
      <c r="AC152" s="66"/>
      <c r="AD152" s="66"/>
      <c r="AE152" s="69">
        <v>2790060</v>
      </c>
      <c r="AF152" s="70"/>
      <c r="AG152" s="66" t="s">
        <v>394</v>
      </c>
    </row>
    <row r="153" spans="1:33" x14ac:dyDescent="0.25">
      <c r="A153" s="66" t="s">
        <v>179</v>
      </c>
      <c r="B153" s="66">
        <v>901541137</v>
      </c>
      <c r="C153" s="66">
        <v>146147</v>
      </c>
      <c r="D153" s="67">
        <v>45981.728356481479</v>
      </c>
      <c r="E153" s="68">
        <v>2025</v>
      </c>
      <c r="F153" s="66">
        <v>11</v>
      </c>
      <c r="G153" s="66" t="s">
        <v>115</v>
      </c>
      <c r="H153" s="66" t="s">
        <v>115</v>
      </c>
      <c r="I153" s="66" t="s">
        <v>193</v>
      </c>
      <c r="J153" s="67">
        <v>45981</v>
      </c>
      <c r="K153" s="66"/>
      <c r="L153" s="66"/>
      <c r="M153" s="66"/>
      <c r="N153" s="66"/>
      <c r="O153" s="66"/>
      <c r="P153" s="66" t="s">
        <v>181</v>
      </c>
      <c r="Q153" s="66" t="s">
        <v>182</v>
      </c>
      <c r="R153" s="66" t="s">
        <v>183</v>
      </c>
      <c r="S153" s="66"/>
      <c r="T153" s="66"/>
      <c r="U153" s="69">
        <v>27622810</v>
      </c>
      <c r="V153" s="69">
        <v>27622810</v>
      </c>
      <c r="W153" s="67">
        <v>45953.329155092593</v>
      </c>
      <c r="X153" s="66"/>
      <c r="Y153" s="66" t="s">
        <v>183</v>
      </c>
      <c r="Z153" s="66" t="s">
        <v>184</v>
      </c>
      <c r="AA153" s="66" t="s">
        <v>194</v>
      </c>
      <c r="AB153" s="66" t="s">
        <v>195</v>
      </c>
      <c r="AC153" s="66"/>
      <c r="AD153" s="66"/>
      <c r="AE153" s="69">
        <v>1594320</v>
      </c>
      <c r="AF153" s="70"/>
      <c r="AG153" s="66" t="s">
        <v>395</v>
      </c>
    </row>
    <row r="154" spans="1:33" x14ac:dyDescent="0.25">
      <c r="A154" s="66" t="s">
        <v>179</v>
      </c>
      <c r="B154" s="66">
        <v>901541137</v>
      </c>
      <c r="C154" s="66">
        <v>146147</v>
      </c>
      <c r="D154" s="67">
        <v>45981.728356481479</v>
      </c>
      <c r="E154" s="68">
        <v>2025</v>
      </c>
      <c r="F154" s="66">
        <v>11</v>
      </c>
      <c r="G154" s="66" t="s">
        <v>115</v>
      </c>
      <c r="H154" s="66" t="s">
        <v>115</v>
      </c>
      <c r="I154" s="66" t="s">
        <v>193</v>
      </c>
      <c r="J154" s="67">
        <v>45981</v>
      </c>
      <c r="K154" s="66"/>
      <c r="L154" s="66"/>
      <c r="M154" s="66"/>
      <c r="N154" s="66"/>
      <c r="O154" s="66"/>
      <c r="P154" s="66" t="s">
        <v>181</v>
      </c>
      <c r="Q154" s="66" t="s">
        <v>182</v>
      </c>
      <c r="R154" s="66" t="s">
        <v>183</v>
      </c>
      <c r="S154" s="66"/>
      <c r="T154" s="66"/>
      <c r="U154" s="69">
        <v>27622810</v>
      </c>
      <c r="V154" s="69">
        <v>27622810</v>
      </c>
      <c r="W154" s="67">
        <v>45953.329155092593</v>
      </c>
      <c r="X154" s="66"/>
      <c r="Y154" s="66" t="s">
        <v>183</v>
      </c>
      <c r="Z154" s="66" t="s">
        <v>184</v>
      </c>
      <c r="AA154" s="66" t="s">
        <v>241</v>
      </c>
      <c r="AB154" s="66" t="s">
        <v>242</v>
      </c>
      <c r="AC154" s="66"/>
      <c r="AD154" s="66"/>
      <c r="AE154" s="69">
        <v>369219</v>
      </c>
      <c r="AF154" s="70"/>
      <c r="AG154" s="66" t="s">
        <v>396</v>
      </c>
    </row>
    <row r="155" spans="1:33" x14ac:dyDescent="0.25">
      <c r="A155" s="66" t="s">
        <v>179</v>
      </c>
      <c r="B155" s="66">
        <v>901541137</v>
      </c>
      <c r="C155" s="66">
        <v>146149</v>
      </c>
      <c r="D155" s="67">
        <v>45981.730011574073</v>
      </c>
      <c r="E155" s="68">
        <v>2025</v>
      </c>
      <c r="F155" s="66">
        <v>11</v>
      </c>
      <c r="G155" s="66" t="s">
        <v>116</v>
      </c>
      <c r="H155" s="66" t="s">
        <v>116</v>
      </c>
      <c r="I155" s="66" t="s">
        <v>193</v>
      </c>
      <c r="J155" s="67">
        <v>45981</v>
      </c>
      <c r="K155" s="66"/>
      <c r="L155" s="66"/>
      <c r="M155" s="66"/>
      <c r="N155" s="66"/>
      <c r="O155" s="66"/>
      <c r="P155" s="66" t="s">
        <v>181</v>
      </c>
      <c r="Q155" s="66" t="s">
        <v>182</v>
      </c>
      <c r="R155" s="66" t="s">
        <v>183</v>
      </c>
      <c r="S155" s="66"/>
      <c r="T155" s="66"/>
      <c r="U155" s="69">
        <v>11859085</v>
      </c>
      <c r="V155" s="69">
        <v>11859085</v>
      </c>
      <c r="W155" s="67">
        <v>45954.578043981484</v>
      </c>
      <c r="X155" s="66"/>
      <c r="Y155" s="66" t="s">
        <v>183</v>
      </c>
      <c r="Z155" s="66" t="s">
        <v>184</v>
      </c>
      <c r="AA155" s="66" t="s">
        <v>241</v>
      </c>
      <c r="AB155" s="66" t="s">
        <v>242</v>
      </c>
      <c r="AC155" s="66"/>
      <c r="AD155" s="66"/>
      <c r="AE155" s="69">
        <v>1195740</v>
      </c>
      <c r="AF155" s="70"/>
      <c r="AG155" s="66" t="s">
        <v>397</v>
      </c>
    </row>
    <row r="156" spans="1:33" x14ac:dyDescent="0.25">
      <c r="A156" s="66" t="s">
        <v>179</v>
      </c>
      <c r="B156" s="66">
        <v>901541137</v>
      </c>
      <c r="C156" s="66">
        <v>146151</v>
      </c>
      <c r="D156" s="67">
        <v>45981.730486111112</v>
      </c>
      <c r="E156" s="68">
        <v>2025</v>
      </c>
      <c r="F156" s="66">
        <v>11</v>
      </c>
      <c r="G156" s="66" t="s">
        <v>117</v>
      </c>
      <c r="H156" s="66" t="s">
        <v>117</v>
      </c>
      <c r="I156" s="66" t="s">
        <v>193</v>
      </c>
      <c r="J156" s="67">
        <v>45981</v>
      </c>
      <c r="K156" s="66"/>
      <c r="L156" s="66"/>
      <c r="M156" s="66"/>
      <c r="N156" s="66"/>
      <c r="O156" s="66"/>
      <c r="P156" s="66" t="s">
        <v>181</v>
      </c>
      <c r="Q156" s="66" t="s">
        <v>182</v>
      </c>
      <c r="R156" s="66" t="s">
        <v>183</v>
      </c>
      <c r="S156" s="66"/>
      <c r="T156" s="66"/>
      <c r="U156" s="69">
        <v>3267725</v>
      </c>
      <c r="V156" s="69">
        <v>3267725</v>
      </c>
      <c r="W156" s="67">
        <v>45954.719583333332</v>
      </c>
      <c r="X156" s="66"/>
      <c r="Y156" s="66" t="s">
        <v>183</v>
      </c>
      <c r="Z156" s="66" t="s">
        <v>184</v>
      </c>
      <c r="AA156" s="66" t="s">
        <v>241</v>
      </c>
      <c r="AB156" s="66" t="s">
        <v>242</v>
      </c>
      <c r="AC156" s="66"/>
      <c r="AD156" s="66"/>
      <c r="AE156" s="69">
        <v>186626</v>
      </c>
      <c r="AF156" s="70"/>
      <c r="AG156" s="66" t="s">
        <v>398</v>
      </c>
    </row>
    <row r="157" spans="1:33" x14ac:dyDescent="0.25">
      <c r="A157" s="66" t="s">
        <v>179</v>
      </c>
      <c r="B157" s="66">
        <v>901541137</v>
      </c>
      <c r="C157" s="66">
        <v>146153</v>
      </c>
      <c r="D157" s="67">
        <v>45981.731469907405</v>
      </c>
      <c r="E157" s="68">
        <v>2025</v>
      </c>
      <c r="F157" s="66">
        <v>11</v>
      </c>
      <c r="G157" s="66" t="s">
        <v>118</v>
      </c>
      <c r="H157" s="66" t="s">
        <v>118</v>
      </c>
      <c r="I157" s="66" t="s">
        <v>193</v>
      </c>
      <c r="J157" s="67">
        <v>45981</v>
      </c>
      <c r="K157" s="66"/>
      <c r="L157" s="66"/>
      <c r="M157" s="66"/>
      <c r="N157" s="66"/>
      <c r="O157" s="66"/>
      <c r="P157" s="66" t="s">
        <v>181</v>
      </c>
      <c r="Q157" s="66" t="s">
        <v>182</v>
      </c>
      <c r="R157" s="66" t="s">
        <v>183</v>
      </c>
      <c r="S157" s="66"/>
      <c r="T157" s="66"/>
      <c r="U157" s="69">
        <v>27102523</v>
      </c>
      <c r="V157" s="69">
        <v>27102523</v>
      </c>
      <c r="W157" s="67">
        <v>45956.468159722222</v>
      </c>
      <c r="X157" s="66"/>
      <c r="Y157" s="66" t="s">
        <v>183</v>
      </c>
      <c r="Z157" s="66" t="s">
        <v>184</v>
      </c>
      <c r="AA157" s="66" t="s">
        <v>194</v>
      </c>
      <c r="AB157" s="66" t="s">
        <v>195</v>
      </c>
      <c r="AC157" s="66"/>
      <c r="AD157" s="66"/>
      <c r="AE157" s="69">
        <v>1594320</v>
      </c>
      <c r="AF157" s="70"/>
      <c r="AG157" s="66" t="s">
        <v>399</v>
      </c>
    </row>
    <row r="158" spans="1:33" x14ac:dyDescent="0.25">
      <c r="A158" s="66" t="s">
        <v>179</v>
      </c>
      <c r="B158" s="66">
        <v>901541137</v>
      </c>
      <c r="C158" s="66">
        <v>146153</v>
      </c>
      <c r="D158" s="67">
        <v>45981.731469907405</v>
      </c>
      <c r="E158" s="68">
        <v>2025</v>
      </c>
      <c r="F158" s="66">
        <v>11</v>
      </c>
      <c r="G158" s="66" t="s">
        <v>118</v>
      </c>
      <c r="H158" s="66" t="s">
        <v>118</v>
      </c>
      <c r="I158" s="66" t="s">
        <v>193</v>
      </c>
      <c r="J158" s="67">
        <v>45981</v>
      </c>
      <c r="K158" s="66"/>
      <c r="L158" s="66"/>
      <c r="M158" s="66"/>
      <c r="N158" s="66"/>
      <c r="O158" s="66"/>
      <c r="P158" s="66" t="s">
        <v>181</v>
      </c>
      <c r="Q158" s="66" t="s">
        <v>182</v>
      </c>
      <c r="R158" s="66" t="s">
        <v>183</v>
      </c>
      <c r="S158" s="66"/>
      <c r="T158" s="66"/>
      <c r="U158" s="69">
        <v>27102523</v>
      </c>
      <c r="V158" s="69">
        <v>27102523</v>
      </c>
      <c r="W158" s="67">
        <v>45956.468159722222</v>
      </c>
      <c r="X158" s="66"/>
      <c r="Y158" s="66" t="s">
        <v>183</v>
      </c>
      <c r="Z158" s="66" t="s">
        <v>184</v>
      </c>
      <c r="AA158" s="66" t="s">
        <v>241</v>
      </c>
      <c r="AB158" s="66" t="s">
        <v>242</v>
      </c>
      <c r="AC158" s="66"/>
      <c r="AD158" s="66"/>
      <c r="AE158" s="69">
        <v>68120</v>
      </c>
      <c r="AF158" s="70"/>
      <c r="AG158" s="66" t="s">
        <v>400</v>
      </c>
    </row>
    <row r="159" spans="1:33" x14ac:dyDescent="0.25">
      <c r="A159" s="66" t="s">
        <v>179</v>
      </c>
      <c r="B159" s="66">
        <v>901541137</v>
      </c>
      <c r="C159" s="66">
        <v>146154</v>
      </c>
      <c r="D159" s="67">
        <v>45981.732083333336</v>
      </c>
      <c r="E159" s="68">
        <v>2025</v>
      </c>
      <c r="F159" s="66">
        <v>11</v>
      </c>
      <c r="G159" s="66" t="s">
        <v>119</v>
      </c>
      <c r="H159" s="66" t="s">
        <v>119</v>
      </c>
      <c r="I159" s="66" t="s">
        <v>193</v>
      </c>
      <c r="J159" s="67">
        <v>45981</v>
      </c>
      <c r="K159" s="66"/>
      <c r="L159" s="66"/>
      <c r="M159" s="66"/>
      <c r="N159" s="66"/>
      <c r="O159" s="66"/>
      <c r="P159" s="66" t="s">
        <v>181</v>
      </c>
      <c r="Q159" s="66" t="s">
        <v>182</v>
      </c>
      <c r="R159" s="66" t="s">
        <v>183</v>
      </c>
      <c r="S159" s="66"/>
      <c r="T159" s="66"/>
      <c r="U159" s="69">
        <v>25704353</v>
      </c>
      <c r="V159" s="69">
        <v>25704353</v>
      </c>
      <c r="W159" s="67">
        <v>45956.514189814814</v>
      </c>
      <c r="X159" s="66"/>
      <c r="Y159" s="66" t="s">
        <v>183</v>
      </c>
      <c r="Z159" s="66" t="s">
        <v>184</v>
      </c>
      <c r="AA159" s="66" t="s">
        <v>241</v>
      </c>
      <c r="AB159" s="66" t="s">
        <v>242</v>
      </c>
      <c r="AC159" s="66"/>
      <c r="AD159" s="66"/>
      <c r="AE159" s="69">
        <v>68120</v>
      </c>
      <c r="AF159" s="70"/>
      <c r="AG159" s="66" t="s">
        <v>401</v>
      </c>
    </row>
    <row r="160" spans="1:33" x14ac:dyDescent="0.25">
      <c r="A160" s="66" t="s">
        <v>179</v>
      </c>
      <c r="B160" s="66">
        <v>901541137</v>
      </c>
      <c r="C160" s="66">
        <v>146278</v>
      </c>
      <c r="D160" s="67">
        <v>45982.717881944445</v>
      </c>
      <c r="E160" s="68">
        <v>2025</v>
      </c>
      <c r="F160" s="66">
        <v>11</v>
      </c>
      <c r="G160" s="66" t="s">
        <v>124</v>
      </c>
      <c r="H160" s="66" t="s">
        <v>124</v>
      </c>
      <c r="I160" s="66" t="s">
        <v>197</v>
      </c>
      <c r="J160" s="67">
        <v>45982</v>
      </c>
      <c r="K160" s="66"/>
      <c r="L160" s="66"/>
      <c r="M160" s="66"/>
      <c r="N160" s="66"/>
      <c r="O160" s="66"/>
      <c r="P160" s="66" t="s">
        <v>298</v>
      </c>
      <c r="Q160" s="66" t="s">
        <v>182</v>
      </c>
      <c r="R160" s="66" t="s">
        <v>183</v>
      </c>
      <c r="S160" s="66"/>
      <c r="T160" s="66"/>
      <c r="U160" s="69">
        <v>8895762</v>
      </c>
      <c r="V160" s="69">
        <v>8895762</v>
      </c>
      <c r="W160" s="67">
        <v>45968.46534722222</v>
      </c>
      <c r="X160" s="66"/>
      <c r="Y160" s="66" t="s">
        <v>183</v>
      </c>
      <c r="Z160" s="66" t="s">
        <v>184</v>
      </c>
      <c r="AA160" s="66" t="s">
        <v>271</v>
      </c>
      <c r="AB160" s="66" t="s">
        <v>272</v>
      </c>
      <c r="AC160" s="66"/>
      <c r="AD160" s="66"/>
      <c r="AE160" s="69">
        <v>14800</v>
      </c>
      <c r="AF160" s="70"/>
      <c r="AG160" s="66" t="s">
        <v>402</v>
      </c>
    </row>
    <row r="161" spans="1:34" x14ac:dyDescent="0.25">
      <c r="A161" s="66" t="s">
        <v>179</v>
      </c>
      <c r="B161" s="66">
        <v>901541137</v>
      </c>
      <c r="C161" s="66">
        <v>146278</v>
      </c>
      <c r="D161" s="67">
        <v>45982.717881944445</v>
      </c>
      <c r="E161" s="68">
        <v>2025</v>
      </c>
      <c r="F161" s="66">
        <v>11</v>
      </c>
      <c r="G161" s="66" t="s">
        <v>124</v>
      </c>
      <c r="H161" s="66" t="s">
        <v>124</v>
      </c>
      <c r="I161" s="66" t="s">
        <v>197</v>
      </c>
      <c r="J161" s="67">
        <v>45982</v>
      </c>
      <c r="K161" s="66"/>
      <c r="L161" s="66"/>
      <c r="M161" s="66"/>
      <c r="N161" s="66"/>
      <c r="O161" s="66"/>
      <c r="P161" s="66" t="s">
        <v>298</v>
      </c>
      <c r="Q161" s="66" t="s">
        <v>182</v>
      </c>
      <c r="R161" s="66" t="s">
        <v>183</v>
      </c>
      <c r="S161" s="66"/>
      <c r="T161" s="66"/>
      <c r="U161" s="69">
        <v>8895762</v>
      </c>
      <c r="V161" s="69">
        <v>8895762</v>
      </c>
      <c r="W161" s="67">
        <v>45968.46534722222</v>
      </c>
      <c r="X161" s="66"/>
      <c r="Y161" s="66" t="s">
        <v>183</v>
      </c>
      <c r="Z161" s="66" t="s">
        <v>184</v>
      </c>
      <c r="AA161" s="66" t="s">
        <v>275</v>
      </c>
      <c r="AB161" s="66" t="s">
        <v>276</v>
      </c>
      <c r="AC161" s="66"/>
      <c r="AD161" s="66"/>
      <c r="AE161" s="69">
        <v>672342</v>
      </c>
      <c r="AF161" s="70"/>
      <c r="AG161" s="66" t="s">
        <v>403</v>
      </c>
    </row>
    <row r="162" spans="1:34" x14ac:dyDescent="0.25">
      <c r="A162" s="66" t="s">
        <v>179</v>
      </c>
      <c r="B162" s="66">
        <v>901541137</v>
      </c>
      <c r="C162" s="66">
        <v>146278</v>
      </c>
      <c r="D162" s="67">
        <v>45982.717881944445</v>
      </c>
      <c r="E162" s="68">
        <v>2025</v>
      </c>
      <c r="F162" s="66">
        <v>11</v>
      </c>
      <c r="G162" s="66" t="s">
        <v>124</v>
      </c>
      <c r="H162" s="66" t="s">
        <v>124</v>
      </c>
      <c r="I162" s="66" t="s">
        <v>197</v>
      </c>
      <c r="J162" s="67">
        <v>45982</v>
      </c>
      <c r="K162" s="66"/>
      <c r="L162" s="66"/>
      <c r="M162" s="66"/>
      <c r="N162" s="66"/>
      <c r="O162" s="66"/>
      <c r="P162" s="66" t="s">
        <v>298</v>
      </c>
      <c r="Q162" s="66" t="s">
        <v>182</v>
      </c>
      <c r="R162" s="66" t="s">
        <v>183</v>
      </c>
      <c r="S162" s="66"/>
      <c r="T162" s="66"/>
      <c r="U162" s="69">
        <v>8895762</v>
      </c>
      <c r="V162" s="69">
        <v>8895762</v>
      </c>
      <c r="W162" s="67">
        <v>45968.46534722222</v>
      </c>
      <c r="X162" s="66"/>
      <c r="Y162" s="66" t="s">
        <v>183</v>
      </c>
      <c r="Z162" s="66" t="s">
        <v>184</v>
      </c>
      <c r="AA162" s="66" t="s">
        <v>325</v>
      </c>
      <c r="AB162" s="66" t="s">
        <v>326</v>
      </c>
      <c r="AC162" s="66"/>
      <c r="AD162" s="66"/>
      <c r="AE162" s="69">
        <v>3829800</v>
      </c>
      <c r="AF162" s="70"/>
      <c r="AG162" s="66" t="s">
        <v>404</v>
      </c>
    </row>
    <row r="163" spans="1:34" x14ac:dyDescent="0.25">
      <c r="A163" s="66" t="s">
        <v>179</v>
      </c>
      <c r="B163" s="66">
        <v>901541137</v>
      </c>
      <c r="C163" s="66">
        <v>146286</v>
      </c>
      <c r="D163" s="67">
        <v>45982.723067129627</v>
      </c>
      <c r="E163" s="68">
        <v>2025</v>
      </c>
      <c r="F163" s="66">
        <v>11</v>
      </c>
      <c r="G163" s="66" t="s">
        <v>135</v>
      </c>
      <c r="H163" s="66" t="s">
        <v>135</v>
      </c>
      <c r="I163" s="66" t="s">
        <v>197</v>
      </c>
      <c r="J163" s="67">
        <v>45982</v>
      </c>
      <c r="K163" s="66"/>
      <c r="L163" s="66"/>
      <c r="M163" s="66"/>
      <c r="N163" s="66"/>
      <c r="O163" s="66"/>
      <c r="P163" s="66" t="s">
        <v>298</v>
      </c>
      <c r="Q163" s="66" t="s">
        <v>182</v>
      </c>
      <c r="R163" s="66" t="s">
        <v>183</v>
      </c>
      <c r="S163" s="66"/>
      <c r="T163" s="66"/>
      <c r="U163" s="69">
        <v>1255305</v>
      </c>
      <c r="V163" s="69">
        <v>1255305</v>
      </c>
      <c r="W163" s="67">
        <v>45969.090995370374</v>
      </c>
      <c r="X163" s="66"/>
      <c r="Y163" s="66" t="s">
        <v>183</v>
      </c>
      <c r="Z163" s="66" t="s">
        <v>184</v>
      </c>
      <c r="AA163" s="66" t="s">
        <v>241</v>
      </c>
      <c r="AB163" s="66" t="s">
        <v>242</v>
      </c>
      <c r="AC163" s="66"/>
      <c r="AD163" s="66"/>
      <c r="AE163" s="69">
        <v>227813</v>
      </c>
      <c r="AF163" s="70"/>
      <c r="AG163" s="66" t="s">
        <v>405</v>
      </c>
    </row>
    <row r="164" spans="1:34" x14ac:dyDescent="0.25">
      <c r="A164" s="66" t="s">
        <v>179</v>
      </c>
      <c r="B164" s="66">
        <v>901541137</v>
      </c>
      <c r="C164" s="66">
        <v>146286</v>
      </c>
      <c r="D164" s="67">
        <v>45982.723067129627</v>
      </c>
      <c r="E164" s="68">
        <v>2025</v>
      </c>
      <c r="F164" s="66">
        <v>11</v>
      </c>
      <c r="G164" s="66" t="s">
        <v>135</v>
      </c>
      <c r="H164" s="66" t="s">
        <v>135</v>
      </c>
      <c r="I164" s="66" t="s">
        <v>197</v>
      </c>
      <c r="J164" s="67">
        <v>45982</v>
      </c>
      <c r="K164" s="66"/>
      <c r="L164" s="66"/>
      <c r="M164" s="66"/>
      <c r="N164" s="66"/>
      <c r="O164" s="66"/>
      <c r="P164" s="66" t="s">
        <v>298</v>
      </c>
      <c r="Q164" s="66" t="s">
        <v>182</v>
      </c>
      <c r="R164" s="66" t="s">
        <v>183</v>
      </c>
      <c r="S164" s="66"/>
      <c r="T164" s="66"/>
      <c r="U164" s="69">
        <v>1255305</v>
      </c>
      <c r="V164" s="69">
        <v>1255305</v>
      </c>
      <c r="W164" s="67">
        <v>45969.090995370374</v>
      </c>
      <c r="X164" s="66"/>
      <c r="Y164" s="66" t="s">
        <v>183</v>
      </c>
      <c r="Z164" s="66" t="s">
        <v>184</v>
      </c>
      <c r="AA164" s="66" t="s">
        <v>406</v>
      </c>
      <c r="AB164" s="66" t="s">
        <v>407</v>
      </c>
      <c r="AC164" s="66"/>
      <c r="AD164" s="66"/>
      <c r="AE164" s="69">
        <v>79407</v>
      </c>
      <c r="AF164" s="70"/>
      <c r="AG164" s="66" t="s">
        <v>408</v>
      </c>
    </row>
    <row r="165" spans="1:34" x14ac:dyDescent="0.25">
      <c r="A165" s="66" t="s">
        <v>179</v>
      </c>
      <c r="B165" s="66">
        <v>901541137</v>
      </c>
      <c r="C165" s="66">
        <v>146860</v>
      </c>
      <c r="D165" s="67">
        <v>45985.453541666669</v>
      </c>
      <c r="E165" s="68">
        <v>2025</v>
      </c>
      <c r="F165" s="66">
        <v>11</v>
      </c>
      <c r="G165" s="66" t="s">
        <v>125</v>
      </c>
      <c r="H165" s="66" t="s">
        <v>125</v>
      </c>
      <c r="I165" s="66" t="s">
        <v>180</v>
      </c>
      <c r="J165" s="67">
        <v>45985</v>
      </c>
      <c r="K165" s="66"/>
      <c r="L165" s="66"/>
      <c r="M165" s="66"/>
      <c r="N165" s="66"/>
      <c r="O165" s="66"/>
      <c r="P165" s="66" t="s">
        <v>298</v>
      </c>
      <c r="Q165" s="66" t="s">
        <v>182</v>
      </c>
      <c r="R165" s="66" t="s">
        <v>183</v>
      </c>
      <c r="S165" s="66"/>
      <c r="T165" s="66"/>
      <c r="U165" s="69">
        <v>3677286</v>
      </c>
      <c r="V165" s="69">
        <v>3677286</v>
      </c>
      <c r="W165" s="67">
        <v>45957.595497685186</v>
      </c>
      <c r="X165" s="66"/>
      <c r="Y165" s="66" t="s">
        <v>183</v>
      </c>
      <c r="Z165" s="66" t="s">
        <v>184</v>
      </c>
      <c r="AA165" s="66" t="s">
        <v>237</v>
      </c>
      <c r="AB165" s="66" t="s">
        <v>238</v>
      </c>
      <c r="AC165" s="66"/>
      <c r="AD165" s="66"/>
      <c r="AE165" s="69">
        <v>9400</v>
      </c>
      <c r="AF165" s="70"/>
      <c r="AG165" s="66" t="s">
        <v>409</v>
      </c>
    </row>
    <row r="166" spans="1:34" x14ac:dyDescent="0.25">
      <c r="A166" s="66" t="s">
        <v>179</v>
      </c>
      <c r="B166" s="66">
        <v>901541137</v>
      </c>
      <c r="C166" s="66">
        <v>146865</v>
      </c>
      <c r="D166" s="67">
        <v>45985.455960648149</v>
      </c>
      <c r="E166" s="68">
        <v>2025</v>
      </c>
      <c r="F166" s="66">
        <v>11</v>
      </c>
      <c r="G166" s="66" t="s">
        <v>126</v>
      </c>
      <c r="H166" s="66" t="s">
        <v>126</v>
      </c>
      <c r="I166" s="66" t="s">
        <v>180</v>
      </c>
      <c r="J166" s="67">
        <v>45985</v>
      </c>
      <c r="K166" s="66"/>
      <c r="L166" s="66"/>
      <c r="M166" s="66"/>
      <c r="N166" s="66"/>
      <c r="O166" s="66"/>
      <c r="P166" s="66" t="s">
        <v>298</v>
      </c>
      <c r="Q166" s="66" t="s">
        <v>182</v>
      </c>
      <c r="R166" s="66" t="s">
        <v>183</v>
      </c>
      <c r="S166" s="66"/>
      <c r="T166" s="66"/>
      <c r="U166" s="69">
        <v>3795799</v>
      </c>
      <c r="V166" s="69">
        <v>3795799</v>
      </c>
      <c r="W166" s="67">
        <v>45960.483877314815</v>
      </c>
      <c r="X166" s="66"/>
      <c r="Y166" s="66" t="s">
        <v>183</v>
      </c>
      <c r="Z166" s="66" t="s">
        <v>184</v>
      </c>
      <c r="AA166" s="66" t="s">
        <v>237</v>
      </c>
      <c r="AB166" s="66" t="s">
        <v>238</v>
      </c>
      <c r="AC166" s="66"/>
      <c r="AD166" s="66"/>
      <c r="AE166" s="69">
        <v>4700</v>
      </c>
      <c r="AF166" s="70"/>
      <c r="AG166" s="66" t="s">
        <v>409</v>
      </c>
    </row>
    <row r="167" spans="1:34" x14ac:dyDescent="0.25">
      <c r="A167" s="66" t="s">
        <v>179</v>
      </c>
      <c r="B167" s="66">
        <v>901541137</v>
      </c>
      <c r="C167" s="66">
        <v>146873</v>
      </c>
      <c r="D167" s="67">
        <v>45985.456597222219</v>
      </c>
      <c r="E167" s="68">
        <v>2025</v>
      </c>
      <c r="F167" s="66">
        <v>11</v>
      </c>
      <c r="G167" s="66" t="s">
        <v>134</v>
      </c>
      <c r="H167" s="66" t="s">
        <v>134</v>
      </c>
      <c r="I167" s="66" t="s">
        <v>197</v>
      </c>
      <c r="J167" s="67">
        <v>45985</v>
      </c>
      <c r="K167" s="66"/>
      <c r="L167" s="66"/>
      <c r="M167" s="66"/>
      <c r="N167" s="66"/>
      <c r="O167" s="66"/>
      <c r="P167" s="66" t="s">
        <v>298</v>
      </c>
      <c r="Q167" s="66" t="s">
        <v>182</v>
      </c>
      <c r="R167" s="66" t="s">
        <v>183</v>
      </c>
      <c r="S167" s="66"/>
      <c r="T167" s="66"/>
      <c r="U167" s="69">
        <v>110245982</v>
      </c>
      <c r="V167" s="69">
        <v>110245982</v>
      </c>
      <c r="W167" s="67">
        <v>45960.704224537039</v>
      </c>
      <c r="X167" s="66"/>
      <c r="Y167" s="66" t="s">
        <v>183</v>
      </c>
      <c r="Z167" s="66" t="s">
        <v>184</v>
      </c>
      <c r="AA167" s="66" t="s">
        <v>194</v>
      </c>
      <c r="AB167" s="66" t="s">
        <v>195</v>
      </c>
      <c r="AC167" s="66"/>
      <c r="AD167" s="66"/>
      <c r="AE167" s="69">
        <v>2790060</v>
      </c>
      <c r="AF167" s="70"/>
      <c r="AG167" s="66" t="s">
        <v>410</v>
      </c>
    </row>
    <row r="168" spans="1:34" x14ac:dyDescent="0.25">
      <c r="A168" s="66" t="s">
        <v>179</v>
      </c>
      <c r="B168" s="66">
        <v>901541137</v>
      </c>
      <c r="C168" s="66">
        <v>146873</v>
      </c>
      <c r="D168" s="67">
        <v>45985.456597222219</v>
      </c>
      <c r="E168" s="68">
        <v>2025</v>
      </c>
      <c r="F168" s="66">
        <v>11</v>
      </c>
      <c r="G168" s="66" t="s">
        <v>134</v>
      </c>
      <c r="H168" s="66" t="s">
        <v>134</v>
      </c>
      <c r="I168" s="66" t="s">
        <v>197</v>
      </c>
      <c r="J168" s="67">
        <v>45985</v>
      </c>
      <c r="K168" s="66"/>
      <c r="L168" s="66"/>
      <c r="M168" s="66"/>
      <c r="N168" s="66"/>
      <c r="O168" s="66"/>
      <c r="P168" s="66" t="s">
        <v>298</v>
      </c>
      <c r="Q168" s="66" t="s">
        <v>182</v>
      </c>
      <c r="R168" s="66" t="s">
        <v>183</v>
      </c>
      <c r="S168" s="66"/>
      <c r="T168" s="66"/>
      <c r="U168" s="69">
        <v>110245982</v>
      </c>
      <c r="V168" s="69">
        <v>110245982</v>
      </c>
      <c r="W168" s="67">
        <v>45960.704224537039</v>
      </c>
      <c r="X168" s="66"/>
      <c r="Y168" s="66" t="s">
        <v>183</v>
      </c>
      <c r="Z168" s="66" t="s">
        <v>184</v>
      </c>
      <c r="AA168" s="66" t="s">
        <v>303</v>
      </c>
      <c r="AB168" s="66" t="s">
        <v>304</v>
      </c>
      <c r="AC168" s="66"/>
      <c r="AD168" s="66"/>
      <c r="AE168" s="69">
        <v>12344300</v>
      </c>
      <c r="AF168" s="70"/>
      <c r="AG168" s="66" t="s">
        <v>411</v>
      </c>
    </row>
    <row r="169" spans="1:34" x14ac:dyDescent="0.25">
      <c r="A169" s="66" t="s">
        <v>179</v>
      </c>
      <c r="B169" s="66">
        <v>901541137</v>
      </c>
      <c r="C169" s="66">
        <v>146873</v>
      </c>
      <c r="D169" s="67">
        <v>45985.456597222219</v>
      </c>
      <c r="E169" s="68">
        <v>2025</v>
      </c>
      <c r="F169" s="66">
        <v>11</v>
      </c>
      <c r="G169" s="66" t="s">
        <v>134</v>
      </c>
      <c r="H169" s="66" t="s">
        <v>134</v>
      </c>
      <c r="I169" s="66" t="s">
        <v>197</v>
      </c>
      <c r="J169" s="67">
        <v>45985</v>
      </c>
      <c r="K169" s="66"/>
      <c r="L169" s="66"/>
      <c r="M169" s="66"/>
      <c r="N169" s="66"/>
      <c r="O169" s="66"/>
      <c r="P169" s="66" t="s">
        <v>298</v>
      </c>
      <c r="Q169" s="66" t="s">
        <v>182</v>
      </c>
      <c r="R169" s="66" t="s">
        <v>183</v>
      </c>
      <c r="S169" s="66"/>
      <c r="T169" s="66"/>
      <c r="U169" s="69">
        <v>110245982</v>
      </c>
      <c r="V169" s="69">
        <v>110245982</v>
      </c>
      <c r="W169" s="67">
        <v>45960.704224537039</v>
      </c>
      <c r="X169" s="66"/>
      <c r="Y169" s="66" t="s">
        <v>183</v>
      </c>
      <c r="Z169" s="66" t="s">
        <v>184</v>
      </c>
      <c r="AA169" s="66" t="s">
        <v>201</v>
      </c>
      <c r="AB169" s="66" t="s">
        <v>202</v>
      </c>
      <c r="AC169" s="66"/>
      <c r="AD169" s="66"/>
      <c r="AE169" s="69">
        <v>1288699</v>
      </c>
      <c r="AF169" s="70"/>
      <c r="AG169" s="66" t="s">
        <v>412</v>
      </c>
    </row>
    <row r="170" spans="1:34" x14ac:dyDescent="0.25">
      <c r="A170" s="66" t="s">
        <v>179</v>
      </c>
      <c r="B170" s="66">
        <v>901541137</v>
      </c>
      <c r="C170" s="66">
        <v>149801</v>
      </c>
      <c r="D170" s="67">
        <v>45989.636238425926</v>
      </c>
      <c r="E170" s="68">
        <v>2025</v>
      </c>
      <c r="F170" s="66">
        <v>11</v>
      </c>
      <c r="G170" s="66" t="s">
        <v>131</v>
      </c>
      <c r="H170" s="66" t="s">
        <v>131</v>
      </c>
      <c r="I170" s="66" t="s">
        <v>180</v>
      </c>
      <c r="J170" s="67">
        <v>45989</v>
      </c>
      <c r="K170" s="66"/>
      <c r="L170" s="66"/>
      <c r="M170" s="66"/>
      <c r="N170" s="66"/>
      <c r="O170" s="66"/>
      <c r="P170" s="66" t="s">
        <v>181</v>
      </c>
      <c r="Q170" s="66" t="s">
        <v>182</v>
      </c>
      <c r="R170" s="66" t="s">
        <v>183</v>
      </c>
      <c r="S170" s="66"/>
      <c r="T170" s="66"/>
      <c r="U170" s="69">
        <v>12120600</v>
      </c>
      <c r="V170" s="69">
        <v>12120600</v>
      </c>
      <c r="W170" s="67">
        <v>45950.677141203705</v>
      </c>
      <c r="X170" s="66"/>
      <c r="Y170" s="66" t="s">
        <v>183</v>
      </c>
      <c r="Z170" s="66" t="s">
        <v>184</v>
      </c>
      <c r="AA170" s="66" t="s">
        <v>413</v>
      </c>
      <c r="AB170" s="66" t="s">
        <v>414</v>
      </c>
      <c r="AC170" s="66"/>
      <c r="AD170" s="66"/>
      <c r="AE170" s="69">
        <v>12120600</v>
      </c>
      <c r="AF170" s="70"/>
      <c r="AG170" s="66" t="s">
        <v>415</v>
      </c>
    </row>
    <row r="171" spans="1:34" x14ac:dyDescent="0.25">
      <c r="A171" s="66" t="s">
        <v>179</v>
      </c>
      <c r="B171" s="66">
        <v>901541137</v>
      </c>
      <c r="C171" s="66">
        <v>149802</v>
      </c>
      <c r="D171" s="67">
        <v>45989.638981481483</v>
      </c>
      <c r="E171" s="68">
        <v>2025</v>
      </c>
      <c r="F171" s="66">
        <v>11</v>
      </c>
      <c r="G171" s="66" t="s">
        <v>132</v>
      </c>
      <c r="H171" s="66" t="s">
        <v>132</v>
      </c>
      <c r="I171" s="66" t="s">
        <v>193</v>
      </c>
      <c r="J171" s="67">
        <v>45989</v>
      </c>
      <c r="K171" s="66"/>
      <c r="L171" s="66"/>
      <c r="M171" s="66"/>
      <c r="N171" s="66"/>
      <c r="O171" s="66"/>
      <c r="P171" s="66" t="s">
        <v>181</v>
      </c>
      <c r="Q171" s="66" t="s">
        <v>182</v>
      </c>
      <c r="R171" s="66" t="s">
        <v>183</v>
      </c>
      <c r="S171" s="66"/>
      <c r="T171" s="66"/>
      <c r="U171" s="69">
        <v>24970048</v>
      </c>
      <c r="V171" s="69">
        <v>24970048</v>
      </c>
      <c r="W171" s="67">
        <v>45960.33525462963</v>
      </c>
      <c r="X171" s="66"/>
      <c r="Y171" s="66" t="s">
        <v>183</v>
      </c>
      <c r="Z171" s="66" t="s">
        <v>184</v>
      </c>
      <c r="AA171" s="66" t="s">
        <v>194</v>
      </c>
      <c r="AB171" s="66" t="s">
        <v>195</v>
      </c>
      <c r="AC171" s="66"/>
      <c r="AD171" s="66"/>
      <c r="AE171" s="69">
        <v>2471205</v>
      </c>
      <c r="AF171" s="70"/>
      <c r="AG171" s="66" t="s">
        <v>416</v>
      </c>
    </row>
    <row r="172" spans="1:34" x14ac:dyDescent="0.25">
      <c r="A172" s="66" t="s">
        <v>179</v>
      </c>
      <c r="B172" s="66">
        <v>901541137</v>
      </c>
      <c r="C172" s="66">
        <v>149803</v>
      </c>
      <c r="D172" s="67">
        <v>45989.640196759261</v>
      </c>
      <c r="E172" s="68">
        <v>2025</v>
      </c>
      <c r="F172" s="66">
        <v>11</v>
      </c>
      <c r="G172" s="66" t="s">
        <v>133</v>
      </c>
      <c r="H172" s="66" t="s">
        <v>133</v>
      </c>
      <c r="I172" s="66" t="s">
        <v>197</v>
      </c>
      <c r="J172" s="67">
        <v>45989</v>
      </c>
      <c r="K172" s="66"/>
      <c r="L172" s="66"/>
      <c r="M172" s="66"/>
      <c r="N172" s="66"/>
      <c r="O172" s="66"/>
      <c r="P172" s="66" t="s">
        <v>181</v>
      </c>
      <c r="Q172" s="66" t="s">
        <v>182</v>
      </c>
      <c r="R172" s="66" t="s">
        <v>183</v>
      </c>
      <c r="S172" s="66"/>
      <c r="T172" s="66"/>
      <c r="U172" s="69">
        <v>43568239</v>
      </c>
      <c r="V172" s="69">
        <v>43568239</v>
      </c>
      <c r="W172" s="67">
        <v>45960.685659722221</v>
      </c>
      <c r="X172" s="66"/>
      <c r="Y172" s="66" t="s">
        <v>183</v>
      </c>
      <c r="Z172" s="66" t="s">
        <v>184</v>
      </c>
      <c r="AA172" s="66" t="s">
        <v>237</v>
      </c>
      <c r="AB172" s="66" t="s">
        <v>238</v>
      </c>
      <c r="AC172" s="66"/>
      <c r="AD172" s="66"/>
      <c r="AE172" s="69">
        <v>389016</v>
      </c>
      <c r="AF172" s="70"/>
      <c r="AG172" s="66" t="s">
        <v>417</v>
      </c>
    </row>
    <row r="173" spans="1:34" x14ac:dyDescent="0.25">
      <c r="A173" s="66" t="s">
        <v>179</v>
      </c>
      <c r="B173" s="66">
        <v>901541137</v>
      </c>
      <c r="C173" s="66">
        <v>149803</v>
      </c>
      <c r="D173" s="67">
        <v>45989.640196759261</v>
      </c>
      <c r="E173" s="68">
        <v>2025</v>
      </c>
      <c r="F173" s="66">
        <v>11</v>
      </c>
      <c r="G173" s="66" t="s">
        <v>133</v>
      </c>
      <c r="H173" s="66" t="s">
        <v>133</v>
      </c>
      <c r="I173" s="66" t="s">
        <v>197</v>
      </c>
      <c r="J173" s="67">
        <v>45989</v>
      </c>
      <c r="K173" s="66"/>
      <c r="L173" s="66"/>
      <c r="M173" s="66"/>
      <c r="N173" s="66"/>
      <c r="O173" s="66"/>
      <c r="P173" s="66" t="s">
        <v>181</v>
      </c>
      <c r="Q173" s="66" t="s">
        <v>182</v>
      </c>
      <c r="R173" s="66" t="s">
        <v>183</v>
      </c>
      <c r="S173" s="66"/>
      <c r="T173" s="66"/>
      <c r="U173" s="69">
        <v>43568239</v>
      </c>
      <c r="V173" s="69">
        <v>43568239</v>
      </c>
      <c r="W173" s="67">
        <v>45960.685659722221</v>
      </c>
      <c r="X173" s="66"/>
      <c r="Y173" s="66" t="s">
        <v>183</v>
      </c>
      <c r="Z173" s="66" t="s">
        <v>184</v>
      </c>
      <c r="AA173" s="66" t="s">
        <v>194</v>
      </c>
      <c r="AB173" s="66" t="s">
        <v>195</v>
      </c>
      <c r="AC173" s="66"/>
      <c r="AD173" s="66"/>
      <c r="AE173" s="69">
        <v>1223302</v>
      </c>
      <c r="AF173" s="70"/>
      <c r="AG173" s="66" t="s">
        <v>418</v>
      </c>
    </row>
    <row r="174" spans="1:34" x14ac:dyDescent="0.25">
      <c r="A174" s="66" t="s">
        <v>179</v>
      </c>
      <c r="B174" s="66">
        <v>901541137</v>
      </c>
      <c r="C174" s="66">
        <v>150442</v>
      </c>
      <c r="D174" s="67">
        <v>45996.444305555553</v>
      </c>
      <c r="E174" s="68">
        <v>2025</v>
      </c>
      <c r="F174" s="66">
        <v>12</v>
      </c>
      <c r="G174" s="66" t="s">
        <v>140</v>
      </c>
      <c r="H174" s="66" t="s">
        <v>140</v>
      </c>
      <c r="I174" s="66" t="s">
        <v>180</v>
      </c>
      <c r="J174" s="67">
        <v>45996</v>
      </c>
      <c r="K174" s="66"/>
      <c r="L174" s="66"/>
      <c r="M174" s="66"/>
      <c r="N174" s="66"/>
      <c r="O174" s="66"/>
      <c r="P174" s="66" t="s">
        <v>419</v>
      </c>
      <c r="Q174" s="66" t="s">
        <v>182</v>
      </c>
      <c r="R174" s="66" t="s">
        <v>183</v>
      </c>
      <c r="S174" s="66"/>
      <c r="T174" s="66"/>
      <c r="U174" s="69">
        <v>106697</v>
      </c>
      <c r="V174" s="69">
        <v>106697</v>
      </c>
      <c r="W174" s="67">
        <v>45975.332349537035</v>
      </c>
      <c r="X174" s="66"/>
      <c r="Y174" s="66" t="s">
        <v>183</v>
      </c>
      <c r="Z174" s="66" t="s">
        <v>184</v>
      </c>
      <c r="AA174" s="66" t="s">
        <v>185</v>
      </c>
      <c r="AB174" s="66" t="s">
        <v>186</v>
      </c>
      <c r="AC174" s="66"/>
      <c r="AD174" s="66"/>
      <c r="AE174" s="69">
        <v>31297</v>
      </c>
      <c r="AF174" s="70"/>
      <c r="AG174" s="66" t="s">
        <v>187</v>
      </c>
      <c r="AH174" t="s">
        <v>42</v>
      </c>
    </row>
    <row r="175" spans="1:34" x14ac:dyDescent="0.25">
      <c r="A175" s="66" t="s">
        <v>179</v>
      </c>
      <c r="B175" s="66">
        <v>901541137</v>
      </c>
      <c r="C175" s="66">
        <v>150510</v>
      </c>
      <c r="D175" s="67">
        <v>46000.388657407406</v>
      </c>
      <c r="E175" s="68">
        <v>2025</v>
      </c>
      <c r="F175" s="66">
        <v>12</v>
      </c>
      <c r="G175" s="66" t="s">
        <v>144</v>
      </c>
      <c r="H175" s="66" t="s">
        <v>144</v>
      </c>
      <c r="I175" s="66" t="s">
        <v>180</v>
      </c>
      <c r="J175" s="67">
        <v>46000</v>
      </c>
      <c r="K175" s="66"/>
      <c r="L175" s="66"/>
      <c r="M175" s="66"/>
      <c r="N175" s="66"/>
      <c r="O175" s="66"/>
      <c r="P175" s="66" t="s">
        <v>181</v>
      </c>
      <c r="Q175" s="66" t="s">
        <v>182</v>
      </c>
      <c r="R175" s="66" t="s">
        <v>183</v>
      </c>
      <c r="S175" s="66"/>
      <c r="T175" s="66"/>
      <c r="U175" s="69">
        <v>106697</v>
      </c>
      <c r="V175" s="69">
        <v>106697</v>
      </c>
      <c r="W175" s="67">
        <v>45982.718680555554</v>
      </c>
      <c r="X175" s="66"/>
      <c r="Y175" s="66" t="s">
        <v>183</v>
      </c>
      <c r="Z175" s="66" t="s">
        <v>184</v>
      </c>
      <c r="AA175" s="66" t="s">
        <v>185</v>
      </c>
      <c r="AB175" s="66" t="s">
        <v>186</v>
      </c>
      <c r="AC175" s="66"/>
      <c r="AD175" s="66"/>
      <c r="AE175" s="69">
        <v>31439</v>
      </c>
      <c r="AF175" s="70"/>
      <c r="AG175" s="66" t="s">
        <v>420</v>
      </c>
      <c r="AH175" t="s">
        <v>42</v>
      </c>
    </row>
    <row r="176" spans="1:34" x14ac:dyDescent="0.25">
      <c r="A176" s="66" t="s">
        <v>179</v>
      </c>
      <c r="B176" s="66">
        <v>901541137</v>
      </c>
      <c r="C176" s="66">
        <v>150440</v>
      </c>
      <c r="D176" s="67">
        <v>45996.443298611113</v>
      </c>
      <c r="E176" s="68">
        <v>2025</v>
      </c>
      <c r="F176" s="66">
        <v>12</v>
      </c>
      <c r="G176" s="66" t="s">
        <v>139</v>
      </c>
      <c r="H176" s="66" t="s">
        <v>139</v>
      </c>
      <c r="I176" s="66" t="s">
        <v>180</v>
      </c>
      <c r="J176" s="67">
        <v>45996</v>
      </c>
      <c r="K176" s="66"/>
      <c r="L176" s="66"/>
      <c r="M176" s="66"/>
      <c r="N176" s="66"/>
      <c r="O176" s="66"/>
      <c r="P176" s="66" t="s">
        <v>419</v>
      </c>
      <c r="Q176" s="66" t="s">
        <v>182</v>
      </c>
      <c r="R176" s="66" t="s">
        <v>183</v>
      </c>
      <c r="S176" s="66"/>
      <c r="T176" s="66"/>
      <c r="U176" s="69">
        <v>82085</v>
      </c>
      <c r="V176" s="69">
        <v>82085</v>
      </c>
      <c r="W176" s="67">
        <v>45973.443680555552</v>
      </c>
      <c r="X176" s="66"/>
      <c r="Y176" s="66" t="s">
        <v>183</v>
      </c>
      <c r="Z176" s="66" t="s">
        <v>184</v>
      </c>
      <c r="AA176" s="66" t="s">
        <v>185</v>
      </c>
      <c r="AB176" s="66" t="s">
        <v>186</v>
      </c>
      <c r="AC176" s="66"/>
      <c r="AD176" s="66"/>
      <c r="AE176" s="69">
        <v>6685</v>
      </c>
      <c r="AF176" s="70"/>
      <c r="AG176" s="66" t="s">
        <v>187</v>
      </c>
      <c r="AH176" t="s">
        <v>42</v>
      </c>
    </row>
    <row r="177" spans="1:34" x14ac:dyDescent="0.25">
      <c r="A177" s="66" t="s">
        <v>179</v>
      </c>
      <c r="B177" s="66">
        <v>901541137</v>
      </c>
      <c r="C177" s="66">
        <v>150499</v>
      </c>
      <c r="D177" s="67">
        <v>46000.350787037038</v>
      </c>
      <c r="E177" s="68">
        <v>2025</v>
      </c>
      <c r="F177" s="66">
        <v>12</v>
      </c>
      <c r="G177" s="66" t="s">
        <v>142</v>
      </c>
      <c r="H177" s="66" t="s">
        <v>142</v>
      </c>
      <c r="I177" s="66" t="s">
        <v>180</v>
      </c>
      <c r="J177" s="67">
        <v>46000</v>
      </c>
      <c r="K177" s="66"/>
      <c r="L177" s="66"/>
      <c r="M177" s="66"/>
      <c r="N177" s="66"/>
      <c r="O177" s="66"/>
      <c r="P177" s="66" t="s">
        <v>181</v>
      </c>
      <c r="Q177" s="66" t="s">
        <v>182</v>
      </c>
      <c r="R177" s="66" t="s">
        <v>183</v>
      </c>
      <c r="S177" s="66"/>
      <c r="T177" s="66"/>
      <c r="U177" s="69">
        <v>2065650</v>
      </c>
      <c r="V177" s="69">
        <v>2065650</v>
      </c>
      <c r="W177" s="67">
        <v>45980.731736111113</v>
      </c>
      <c r="X177" s="66"/>
      <c r="Y177" s="66" t="s">
        <v>183</v>
      </c>
      <c r="Z177" s="66" t="s">
        <v>184</v>
      </c>
      <c r="AA177" s="66" t="s">
        <v>212</v>
      </c>
      <c r="AB177" s="66" t="s">
        <v>213</v>
      </c>
      <c r="AC177" s="66"/>
      <c r="AD177" s="66"/>
      <c r="AE177" s="69">
        <v>1807950</v>
      </c>
      <c r="AF177" s="70"/>
      <c r="AG177" s="66" t="s">
        <v>421</v>
      </c>
      <c r="AH177" t="s">
        <v>42</v>
      </c>
    </row>
    <row r="178" spans="1:34" x14ac:dyDescent="0.25">
      <c r="A178" s="66" t="s">
        <v>179</v>
      </c>
      <c r="B178" s="66">
        <v>901541137</v>
      </c>
      <c r="C178" s="66">
        <v>150438</v>
      </c>
      <c r="D178" s="67">
        <v>45996.440381944441</v>
      </c>
      <c r="E178" s="68">
        <v>2025</v>
      </c>
      <c r="F178" s="66">
        <v>12</v>
      </c>
      <c r="G178" s="66" t="s">
        <v>137</v>
      </c>
      <c r="H178" s="66" t="s">
        <v>137</v>
      </c>
      <c r="I178" s="66" t="s">
        <v>180</v>
      </c>
      <c r="J178" s="67">
        <v>45996</v>
      </c>
      <c r="K178" s="66"/>
      <c r="L178" s="66"/>
      <c r="M178" s="66"/>
      <c r="N178" s="66"/>
      <c r="O178" s="66"/>
      <c r="P178" s="66" t="s">
        <v>419</v>
      </c>
      <c r="Q178" s="66" t="s">
        <v>182</v>
      </c>
      <c r="R178" s="66" t="s">
        <v>183</v>
      </c>
      <c r="S178" s="66"/>
      <c r="T178" s="66"/>
      <c r="U178" s="69">
        <v>35898903</v>
      </c>
      <c r="V178" s="69">
        <v>35898903</v>
      </c>
      <c r="W178" s="67">
        <v>45971.435416666667</v>
      </c>
      <c r="X178" s="66"/>
      <c r="Y178" s="66" t="s">
        <v>183</v>
      </c>
      <c r="Z178" s="66" t="s">
        <v>184</v>
      </c>
      <c r="AA178" s="66" t="s">
        <v>303</v>
      </c>
      <c r="AB178" s="66" t="s">
        <v>304</v>
      </c>
      <c r="AC178" s="66"/>
      <c r="AD178" s="66"/>
      <c r="AE178" s="69">
        <v>30661200</v>
      </c>
      <c r="AF178" s="70"/>
      <c r="AG178" s="66" t="s">
        <v>422</v>
      </c>
      <c r="AH178" t="s">
        <v>42</v>
      </c>
    </row>
    <row r="179" spans="1:34" x14ac:dyDescent="0.25">
      <c r="A179" s="66" t="s">
        <v>179</v>
      </c>
      <c r="B179" s="66">
        <v>901541137</v>
      </c>
      <c r="C179" s="66">
        <v>150439</v>
      </c>
      <c r="D179" s="67">
        <v>45996.442569444444</v>
      </c>
      <c r="E179" s="68">
        <v>2025</v>
      </c>
      <c r="F179" s="66">
        <v>12</v>
      </c>
      <c r="G179" s="66" t="s">
        <v>138</v>
      </c>
      <c r="H179" s="66" t="s">
        <v>138</v>
      </c>
      <c r="I179" s="66" t="s">
        <v>180</v>
      </c>
      <c r="J179" s="67">
        <v>45996</v>
      </c>
      <c r="K179" s="66"/>
      <c r="L179" s="66"/>
      <c r="M179" s="66"/>
      <c r="N179" s="66"/>
      <c r="O179" s="66"/>
      <c r="P179" s="66" t="s">
        <v>419</v>
      </c>
      <c r="Q179" s="66" t="s">
        <v>182</v>
      </c>
      <c r="R179" s="66" t="s">
        <v>183</v>
      </c>
      <c r="S179" s="66"/>
      <c r="T179" s="66"/>
      <c r="U179" s="69">
        <v>19152692</v>
      </c>
      <c r="V179" s="69">
        <v>19152692</v>
      </c>
      <c r="W179" s="67">
        <v>45971.441180555557</v>
      </c>
      <c r="X179" s="66"/>
      <c r="Y179" s="66" t="s">
        <v>183</v>
      </c>
      <c r="Z179" s="66" t="s">
        <v>184</v>
      </c>
      <c r="AA179" s="66" t="s">
        <v>303</v>
      </c>
      <c r="AB179" s="66" t="s">
        <v>304</v>
      </c>
      <c r="AC179" s="66"/>
      <c r="AD179" s="66"/>
      <c r="AE179" s="69">
        <v>13553900</v>
      </c>
      <c r="AF179" s="70"/>
      <c r="AG179" s="66" t="s">
        <v>422</v>
      </c>
      <c r="AH179" t="s">
        <v>42</v>
      </c>
    </row>
    <row r="180" spans="1:34" x14ac:dyDescent="0.25">
      <c r="A180" s="66" t="s">
        <v>179</v>
      </c>
      <c r="B180" s="66">
        <v>901541137</v>
      </c>
      <c r="C180" s="66">
        <v>150445</v>
      </c>
      <c r="D180" s="67">
        <v>45996.4455787037</v>
      </c>
      <c r="E180" s="68">
        <v>2025</v>
      </c>
      <c r="F180" s="66">
        <v>12</v>
      </c>
      <c r="G180" s="66" t="s">
        <v>136</v>
      </c>
      <c r="H180" s="66" t="s">
        <v>136</v>
      </c>
      <c r="I180" s="66" t="s">
        <v>180</v>
      </c>
      <c r="J180" s="67">
        <v>45996</v>
      </c>
      <c r="K180" s="66"/>
      <c r="L180" s="66"/>
      <c r="M180" s="66"/>
      <c r="N180" s="66"/>
      <c r="O180" s="66"/>
      <c r="P180" s="66" t="s">
        <v>419</v>
      </c>
      <c r="Q180" s="66" t="s">
        <v>182</v>
      </c>
      <c r="R180" s="66" t="s">
        <v>183</v>
      </c>
      <c r="S180" s="66"/>
      <c r="T180" s="66"/>
      <c r="U180" s="69">
        <v>5505766</v>
      </c>
      <c r="V180" s="69">
        <v>5505766</v>
      </c>
      <c r="W180" s="67">
        <v>45976.790706018517</v>
      </c>
      <c r="X180" s="66"/>
      <c r="Y180" s="66" t="s">
        <v>183</v>
      </c>
      <c r="Z180" s="66" t="s">
        <v>184</v>
      </c>
      <c r="AA180" s="66" t="s">
        <v>201</v>
      </c>
      <c r="AB180" s="66" t="s">
        <v>202</v>
      </c>
      <c r="AC180" s="66"/>
      <c r="AD180" s="66"/>
      <c r="AE180" s="69">
        <v>1684944</v>
      </c>
      <c r="AF180" s="70"/>
      <c r="AG180" s="66" t="s">
        <v>423</v>
      </c>
      <c r="AH180" t="s">
        <v>42</v>
      </c>
    </row>
    <row r="181" spans="1:34" x14ac:dyDescent="0.25">
      <c r="A181" s="66" t="s">
        <v>179</v>
      </c>
      <c r="B181" s="66">
        <v>901541137</v>
      </c>
      <c r="C181" s="66">
        <v>150507</v>
      </c>
      <c r="D181" s="67">
        <v>46000.362685185188</v>
      </c>
      <c r="E181" s="68">
        <v>2025</v>
      </c>
      <c r="F181" s="66">
        <v>12</v>
      </c>
      <c r="G181" s="66" t="s">
        <v>143</v>
      </c>
      <c r="H181" s="66" t="s">
        <v>143</v>
      </c>
      <c r="I181" s="66" t="s">
        <v>180</v>
      </c>
      <c r="J181" s="67">
        <v>46000</v>
      </c>
      <c r="K181" s="66"/>
      <c r="L181" s="66"/>
      <c r="M181" s="66"/>
      <c r="N181" s="66"/>
      <c r="O181" s="66"/>
      <c r="P181" s="66" t="s">
        <v>181</v>
      </c>
      <c r="Q181" s="66" t="s">
        <v>182</v>
      </c>
      <c r="R181" s="66" t="s">
        <v>183</v>
      </c>
      <c r="S181" s="66"/>
      <c r="T181" s="66"/>
      <c r="U181" s="69">
        <v>33107207</v>
      </c>
      <c r="V181" s="69">
        <v>33107207</v>
      </c>
      <c r="W181" s="67">
        <v>45982.522858796299</v>
      </c>
      <c r="X181" s="66"/>
      <c r="Y181" s="66" t="s">
        <v>183</v>
      </c>
      <c r="Z181" s="66" t="s">
        <v>184</v>
      </c>
      <c r="AA181" s="66" t="s">
        <v>227</v>
      </c>
      <c r="AB181" s="66" t="s">
        <v>228</v>
      </c>
      <c r="AC181" s="66"/>
      <c r="AD181" s="66"/>
      <c r="AE181" s="69">
        <v>23172817</v>
      </c>
      <c r="AF181" s="70"/>
      <c r="AG181" s="66" t="s">
        <v>424</v>
      </c>
      <c r="AH181" t="s">
        <v>42</v>
      </c>
    </row>
    <row r="182" spans="1:34" x14ac:dyDescent="0.25">
      <c r="A182" s="66" t="s">
        <v>179</v>
      </c>
      <c r="B182" s="66">
        <v>901541137</v>
      </c>
      <c r="C182" s="66">
        <v>150507</v>
      </c>
      <c r="D182" s="67">
        <v>46000.362685185188</v>
      </c>
      <c r="E182" s="68">
        <v>2025</v>
      </c>
      <c r="F182" s="66">
        <v>12</v>
      </c>
      <c r="G182" s="66" t="s">
        <v>143</v>
      </c>
      <c r="H182" s="66" t="s">
        <v>143</v>
      </c>
      <c r="I182" s="66" t="s">
        <v>180</v>
      </c>
      <c r="J182" s="67">
        <v>46000</v>
      </c>
      <c r="K182" s="66"/>
      <c r="L182" s="66"/>
      <c r="M182" s="66"/>
      <c r="N182" s="66"/>
      <c r="O182" s="66"/>
      <c r="P182" s="66" t="s">
        <v>181</v>
      </c>
      <c r="Q182" s="66" t="s">
        <v>182</v>
      </c>
      <c r="R182" s="66" t="s">
        <v>183</v>
      </c>
      <c r="S182" s="66"/>
      <c r="T182" s="66"/>
      <c r="U182" s="69">
        <v>33107207</v>
      </c>
      <c r="V182" s="69">
        <v>33107207</v>
      </c>
      <c r="W182" s="67">
        <v>45982.522858796299</v>
      </c>
      <c r="X182" s="66"/>
      <c r="Y182" s="66" t="s">
        <v>183</v>
      </c>
      <c r="Z182" s="66" t="s">
        <v>184</v>
      </c>
      <c r="AA182" s="66" t="s">
        <v>215</v>
      </c>
      <c r="AB182" s="66" t="s">
        <v>216</v>
      </c>
      <c r="AC182" s="66"/>
      <c r="AD182" s="66"/>
      <c r="AE182" s="69">
        <v>8344690</v>
      </c>
      <c r="AF182" s="70"/>
      <c r="AG182" s="66" t="s">
        <v>425</v>
      </c>
      <c r="AH182" t="s">
        <v>42</v>
      </c>
    </row>
    <row r="183" spans="1:34" x14ac:dyDescent="0.25">
      <c r="A183" s="66" t="s">
        <v>179</v>
      </c>
      <c r="B183" s="66">
        <v>901541137</v>
      </c>
      <c r="C183" s="66">
        <v>150514</v>
      </c>
      <c r="D183" s="67">
        <v>46000.393807870372</v>
      </c>
      <c r="E183" s="68">
        <v>2025</v>
      </c>
      <c r="F183" s="66">
        <v>12</v>
      </c>
      <c r="G183" s="66" t="s">
        <v>145</v>
      </c>
      <c r="H183" s="66" t="s">
        <v>145</v>
      </c>
      <c r="I183" s="66" t="s">
        <v>180</v>
      </c>
      <c r="J183" s="67">
        <v>46000</v>
      </c>
      <c r="K183" s="66"/>
      <c r="L183" s="66"/>
      <c r="M183" s="66"/>
      <c r="N183" s="66"/>
      <c r="O183" s="66"/>
      <c r="P183" s="66" t="s">
        <v>181</v>
      </c>
      <c r="Q183" s="66" t="s">
        <v>182</v>
      </c>
      <c r="R183" s="66" t="s">
        <v>183</v>
      </c>
      <c r="S183" s="66"/>
      <c r="T183" s="66"/>
      <c r="U183" s="69">
        <v>4381023</v>
      </c>
      <c r="V183" s="69">
        <v>4381023</v>
      </c>
      <c r="W183" s="67">
        <v>45985.473368055558</v>
      </c>
      <c r="X183" s="66"/>
      <c r="Y183" s="66" t="s">
        <v>183</v>
      </c>
      <c r="Z183" s="66" t="s">
        <v>184</v>
      </c>
      <c r="AA183" s="66" t="s">
        <v>212</v>
      </c>
      <c r="AB183" s="66" t="s">
        <v>213</v>
      </c>
      <c r="AC183" s="66"/>
      <c r="AD183" s="66"/>
      <c r="AE183" s="69">
        <v>313594</v>
      </c>
      <c r="AF183" s="70"/>
      <c r="AG183" s="66" t="s">
        <v>426</v>
      </c>
      <c r="AH183" t="s">
        <v>42</v>
      </c>
    </row>
    <row r="184" spans="1:34" x14ac:dyDescent="0.25">
      <c r="A184" s="66" t="s">
        <v>179</v>
      </c>
      <c r="B184" s="66">
        <v>901541137</v>
      </c>
      <c r="C184" s="66">
        <v>150514</v>
      </c>
      <c r="D184" s="67">
        <v>46000.393807870372</v>
      </c>
      <c r="E184" s="68">
        <v>2025</v>
      </c>
      <c r="F184" s="66">
        <v>12</v>
      </c>
      <c r="G184" s="66" t="s">
        <v>145</v>
      </c>
      <c r="H184" s="66" t="s">
        <v>145</v>
      </c>
      <c r="I184" s="66" t="s">
        <v>180</v>
      </c>
      <c r="J184" s="67">
        <v>46000</v>
      </c>
      <c r="K184" s="66"/>
      <c r="L184" s="66"/>
      <c r="M184" s="66"/>
      <c r="N184" s="66"/>
      <c r="O184" s="66"/>
      <c r="P184" s="66" t="s">
        <v>181</v>
      </c>
      <c r="Q184" s="66" t="s">
        <v>182</v>
      </c>
      <c r="R184" s="66" t="s">
        <v>183</v>
      </c>
      <c r="S184" s="66"/>
      <c r="T184" s="66"/>
      <c r="U184" s="69">
        <v>4381023</v>
      </c>
      <c r="V184" s="69">
        <v>4381023</v>
      </c>
      <c r="W184" s="67">
        <v>45985.473368055558</v>
      </c>
      <c r="X184" s="66"/>
      <c r="Y184" s="66" t="s">
        <v>183</v>
      </c>
      <c r="Z184" s="66" t="s">
        <v>184</v>
      </c>
      <c r="AA184" s="66" t="s">
        <v>227</v>
      </c>
      <c r="AB184" s="66" t="s">
        <v>228</v>
      </c>
      <c r="AC184" s="66"/>
      <c r="AD184" s="66"/>
      <c r="AE184" s="69">
        <v>359500</v>
      </c>
      <c r="AF184" s="70"/>
      <c r="AG184" s="66" t="s">
        <v>427</v>
      </c>
      <c r="AH184" t="s">
        <v>42</v>
      </c>
    </row>
    <row r="185" spans="1:34" x14ac:dyDescent="0.25">
      <c r="A185" s="66" t="s">
        <v>179</v>
      </c>
      <c r="B185" s="66">
        <v>901541137</v>
      </c>
      <c r="C185" s="66">
        <v>150514</v>
      </c>
      <c r="D185" s="67">
        <v>46000.393807870372</v>
      </c>
      <c r="E185" s="68">
        <v>2025</v>
      </c>
      <c r="F185" s="66">
        <v>12</v>
      </c>
      <c r="G185" s="66" t="s">
        <v>145</v>
      </c>
      <c r="H185" s="66" t="s">
        <v>145</v>
      </c>
      <c r="I185" s="66" t="s">
        <v>180</v>
      </c>
      <c r="J185" s="67">
        <v>46000</v>
      </c>
      <c r="K185" s="66"/>
      <c r="L185" s="66"/>
      <c r="M185" s="66"/>
      <c r="N185" s="66"/>
      <c r="O185" s="66"/>
      <c r="P185" s="66" t="s">
        <v>181</v>
      </c>
      <c r="Q185" s="66" t="s">
        <v>182</v>
      </c>
      <c r="R185" s="66" t="s">
        <v>183</v>
      </c>
      <c r="S185" s="66"/>
      <c r="T185" s="66"/>
      <c r="U185" s="69">
        <v>4381023</v>
      </c>
      <c r="V185" s="69">
        <v>4381023</v>
      </c>
      <c r="W185" s="67">
        <v>45985.473368055558</v>
      </c>
      <c r="X185" s="66"/>
      <c r="Y185" s="66" t="s">
        <v>183</v>
      </c>
      <c r="Z185" s="66" t="s">
        <v>184</v>
      </c>
      <c r="AA185" s="66" t="s">
        <v>215</v>
      </c>
      <c r="AB185" s="66" t="s">
        <v>216</v>
      </c>
      <c r="AC185" s="66"/>
      <c r="AD185" s="66"/>
      <c r="AE185" s="69">
        <v>1928063</v>
      </c>
      <c r="AF185" s="70"/>
      <c r="AG185" s="66" t="s">
        <v>428</v>
      </c>
      <c r="AH185" t="s">
        <v>42</v>
      </c>
    </row>
    <row r="186" spans="1:34" x14ac:dyDescent="0.25">
      <c r="A186" s="66" t="s">
        <v>179</v>
      </c>
      <c r="B186" s="66">
        <v>901541137</v>
      </c>
      <c r="C186" s="66">
        <v>150518</v>
      </c>
      <c r="D186" s="67">
        <v>46000.408032407409</v>
      </c>
      <c r="E186" s="68">
        <v>2025</v>
      </c>
      <c r="F186" s="66">
        <v>12</v>
      </c>
      <c r="G186" s="66" t="s">
        <v>141</v>
      </c>
      <c r="H186" s="66" t="s">
        <v>141</v>
      </c>
      <c r="I186" s="66" t="s">
        <v>180</v>
      </c>
      <c r="J186" s="67">
        <v>46000</v>
      </c>
      <c r="K186" s="66"/>
      <c r="L186" s="66"/>
      <c r="M186" s="66"/>
      <c r="N186" s="66"/>
      <c r="O186" s="66"/>
      <c r="P186" s="66" t="s">
        <v>181</v>
      </c>
      <c r="Q186" s="66" t="s">
        <v>182</v>
      </c>
      <c r="R186" s="66" t="s">
        <v>183</v>
      </c>
      <c r="S186" s="66"/>
      <c r="T186" s="66"/>
      <c r="U186" s="69">
        <v>34214349</v>
      </c>
      <c r="V186" s="69">
        <v>34214349</v>
      </c>
      <c r="W186" s="67">
        <v>45986.615115740744</v>
      </c>
      <c r="X186" s="66"/>
      <c r="Y186" s="66" t="s">
        <v>183</v>
      </c>
      <c r="Z186" s="66" t="s">
        <v>184</v>
      </c>
      <c r="AA186" s="66" t="s">
        <v>227</v>
      </c>
      <c r="AB186" s="66" t="s">
        <v>228</v>
      </c>
      <c r="AC186" s="66"/>
      <c r="AD186" s="66"/>
      <c r="AE186" s="69">
        <v>28076900</v>
      </c>
      <c r="AF186" s="70"/>
      <c r="AG186" s="66" t="s">
        <v>429</v>
      </c>
      <c r="AH186" t="s">
        <v>42</v>
      </c>
    </row>
    <row r="187" spans="1:34" x14ac:dyDescent="0.25">
      <c r="A187" s="66" t="s">
        <v>179</v>
      </c>
      <c r="B187" s="66">
        <v>901541137</v>
      </c>
      <c r="C187" s="66">
        <v>150518</v>
      </c>
      <c r="D187" s="67">
        <v>46000.408032407409</v>
      </c>
      <c r="E187" s="68">
        <v>2025</v>
      </c>
      <c r="F187" s="66">
        <v>12</v>
      </c>
      <c r="G187" s="66" t="s">
        <v>141</v>
      </c>
      <c r="H187" s="66" t="s">
        <v>141</v>
      </c>
      <c r="I187" s="66" t="s">
        <v>180</v>
      </c>
      <c r="J187" s="67">
        <v>46000</v>
      </c>
      <c r="K187" s="66"/>
      <c r="L187" s="66"/>
      <c r="M187" s="66"/>
      <c r="N187" s="66"/>
      <c r="O187" s="66"/>
      <c r="P187" s="66" t="s">
        <v>181</v>
      </c>
      <c r="Q187" s="66" t="s">
        <v>182</v>
      </c>
      <c r="R187" s="66" t="s">
        <v>183</v>
      </c>
      <c r="S187" s="66"/>
      <c r="T187" s="66"/>
      <c r="U187" s="69">
        <v>34214349</v>
      </c>
      <c r="V187" s="69">
        <v>34214349</v>
      </c>
      <c r="W187" s="67">
        <v>45986.615115740744</v>
      </c>
      <c r="X187" s="66"/>
      <c r="Y187" s="66" t="s">
        <v>183</v>
      </c>
      <c r="Z187" s="66" t="s">
        <v>184</v>
      </c>
      <c r="AA187" s="66" t="s">
        <v>230</v>
      </c>
      <c r="AB187" s="66" t="s">
        <v>231</v>
      </c>
      <c r="AC187" s="66"/>
      <c r="AD187" s="66"/>
      <c r="AE187" s="69">
        <v>266400</v>
      </c>
      <c r="AF187" s="70"/>
      <c r="AG187" s="66" t="s">
        <v>430</v>
      </c>
      <c r="AH187" t="s">
        <v>42</v>
      </c>
    </row>
    <row r="188" spans="1:34" x14ac:dyDescent="0.25">
      <c r="A188" s="66" t="s">
        <v>179</v>
      </c>
      <c r="B188" s="66">
        <v>901541137</v>
      </c>
      <c r="C188" s="66">
        <v>150518</v>
      </c>
      <c r="D188" s="67">
        <v>46000.408032407409</v>
      </c>
      <c r="E188" s="68">
        <v>2025</v>
      </c>
      <c r="F188" s="66">
        <v>12</v>
      </c>
      <c r="G188" s="66" t="s">
        <v>141</v>
      </c>
      <c r="H188" s="66" t="s">
        <v>141</v>
      </c>
      <c r="I188" s="66" t="s">
        <v>180</v>
      </c>
      <c r="J188" s="67">
        <v>46000</v>
      </c>
      <c r="K188" s="66"/>
      <c r="L188" s="66"/>
      <c r="M188" s="66"/>
      <c r="N188" s="66"/>
      <c r="O188" s="66"/>
      <c r="P188" s="66" t="s">
        <v>181</v>
      </c>
      <c r="Q188" s="66" t="s">
        <v>182</v>
      </c>
      <c r="R188" s="66" t="s">
        <v>183</v>
      </c>
      <c r="S188" s="66"/>
      <c r="T188" s="66"/>
      <c r="U188" s="69">
        <v>34214349</v>
      </c>
      <c r="V188" s="69">
        <v>34214349</v>
      </c>
      <c r="W188" s="67">
        <v>45986.615115740744</v>
      </c>
      <c r="X188" s="66"/>
      <c r="Y188" s="66" t="s">
        <v>183</v>
      </c>
      <c r="Z188" s="66" t="s">
        <v>184</v>
      </c>
      <c r="AA188" s="66" t="s">
        <v>431</v>
      </c>
      <c r="AB188" s="66" t="s">
        <v>432</v>
      </c>
      <c r="AC188" s="66"/>
      <c r="AD188" s="66"/>
      <c r="AE188" s="69">
        <v>5434199</v>
      </c>
      <c r="AF188" s="70"/>
      <c r="AG188" s="66" t="s">
        <v>433</v>
      </c>
      <c r="AH188" t="s">
        <v>42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0FFAE-5300-4A83-AB02-3AF7B1232F2B}">
  <sheetPr codeName="Hoja3"/>
  <dimension ref="A3:AK191"/>
  <sheetViews>
    <sheetView topLeftCell="V1" workbookViewId="0">
      <pane ySplit="3" topLeftCell="A142" activePane="bottomLeft" state="frozen"/>
      <selection activeCell="AB3" sqref="AB3"/>
      <selection pane="bottomLeft" activeCell="AB3" sqref="AB3"/>
    </sheetView>
  </sheetViews>
  <sheetFormatPr baseColWidth="10" defaultRowHeight="15" x14ac:dyDescent="0.25"/>
  <cols>
    <col min="1" max="1" width="13.5703125" customWidth="1"/>
    <col min="2" max="2" width="9" bestFit="1" customWidth="1"/>
    <col min="3" max="3" width="15.5703125" customWidth="1"/>
    <col min="4" max="4" width="9" customWidth="1"/>
    <col min="5" max="5" width="5" customWidth="1"/>
    <col min="6" max="6" width="21" customWidth="1"/>
    <col min="7" max="7" width="7.140625" customWidth="1"/>
    <col min="8" max="8" width="21.140625" customWidth="1"/>
    <col min="9" max="9" width="17.5703125" customWidth="1"/>
    <col min="10" max="10" width="17.140625" customWidth="1"/>
    <col min="11" max="11" width="7.85546875" customWidth="1"/>
    <col min="12" max="12" width="10" customWidth="1"/>
    <col min="13" max="13" width="5.28515625" customWidth="1"/>
    <col min="14" max="14" width="11.85546875" customWidth="1"/>
    <col min="15" max="15" width="4.42578125" customWidth="1"/>
    <col min="16" max="16" width="15.5703125" customWidth="1"/>
    <col min="17" max="17" width="29.5703125" bestFit="1" customWidth="1"/>
    <col min="18" max="18" width="24.140625" customWidth="1"/>
    <col min="19" max="19" width="16.5703125" customWidth="1"/>
    <col min="20" max="20" width="27.28515625" customWidth="1"/>
    <col min="21" max="21" width="15.7109375" customWidth="1"/>
    <col min="22" max="22" width="34.140625" customWidth="1"/>
    <col min="23" max="23" width="38.140625" customWidth="1"/>
    <col min="24" max="24" width="37.85546875" customWidth="1"/>
    <col min="25" max="25" width="30" bestFit="1" customWidth="1"/>
    <col min="26" max="26" width="35.5703125" customWidth="1"/>
    <col min="27" max="27" width="12.7109375" customWidth="1"/>
    <col min="28" max="28" width="47" customWidth="1"/>
    <col min="29" max="29" width="20.85546875" bestFit="1" customWidth="1"/>
    <col min="30" max="30" width="19.7109375" bestFit="1" customWidth="1"/>
    <col min="31" max="31" width="10.140625" customWidth="1"/>
    <col min="32" max="32" width="53.28515625" customWidth="1"/>
    <col min="34" max="34" width="106" bestFit="1" customWidth="1"/>
    <col min="35" max="35" width="15.7109375" customWidth="1"/>
    <col min="36" max="36" width="94.85546875" customWidth="1"/>
    <col min="37" max="37" width="11.140625" customWidth="1"/>
  </cols>
  <sheetData>
    <row r="3" spans="1:37" x14ac:dyDescent="0.25">
      <c r="A3" s="72" t="s">
        <v>146</v>
      </c>
      <c r="B3" s="72" t="s">
        <v>437</v>
      </c>
      <c r="C3" s="73" t="s">
        <v>438</v>
      </c>
      <c r="D3" s="73" t="s">
        <v>439</v>
      </c>
      <c r="E3" s="73" t="s">
        <v>440</v>
      </c>
      <c r="F3" s="72" t="s">
        <v>441</v>
      </c>
      <c r="G3" s="72" t="s">
        <v>442</v>
      </c>
      <c r="H3" s="72" t="s">
        <v>443</v>
      </c>
      <c r="I3" s="74" t="s">
        <v>444</v>
      </c>
      <c r="J3" s="72" t="s">
        <v>161</v>
      </c>
      <c r="K3" s="72" t="s">
        <v>158</v>
      </c>
      <c r="L3" s="72" t="s">
        <v>160</v>
      </c>
      <c r="M3" s="72" t="s">
        <v>159</v>
      </c>
      <c r="N3" s="72" t="s">
        <v>445</v>
      </c>
      <c r="O3" s="72" t="s">
        <v>446</v>
      </c>
      <c r="P3" s="72" t="s">
        <v>152</v>
      </c>
      <c r="Q3" s="72" t="s">
        <v>447</v>
      </c>
      <c r="R3" s="72" t="s">
        <v>448</v>
      </c>
      <c r="S3" s="80" t="s">
        <v>449</v>
      </c>
      <c r="T3" s="72" t="s">
        <v>154</v>
      </c>
      <c r="U3" s="72" t="s">
        <v>162</v>
      </c>
      <c r="V3" s="74" t="s">
        <v>450</v>
      </c>
      <c r="W3" s="73" t="s">
        <v>451</v>
      </c>
      <c r="X3" s="73" t="s">
        <v>452</v>
      </c>
      <c r="Y3" s="81" t="s">
        <v>453</v>
      </c>
      <c r="Z3" s="73" t="s">
        <v>454</v>
      </c>
      <c r="AA3" s="72" t="s">
        <v>455</v>
      </c>
      <c r="AB3" s="72" t="s">
        <v>171</v>
      </c>
      <c r="AC3" s="74" t="s">
        <v>456</v>
      </c>
      <c r="AD3" s="74" t="s">
        <v>457</v>
      </c>
      <c r="AE3" s="72" t="s">
        <v>458</v>
      </c>
      <c r="AF3" s="72" t="s">
        <v>459</v>
      </c>
      <c r="AG3" s="75" t="s">
        <v>172</v>
      </c>
      <c r="AH3" s="72" t="s">
        <v>173</v>
      </c>
      <c r="AI3" s="72" t="s">
        <v>460</v>
      </c>
      <c r="AJ3" s="72" t="s">
        <v>178</v>
      </c>
      <c r="AK3" s="76"/>
    </row>
    <row r="4" spans="1:37" x14ac:dyDescent="0.25">
      <c r="A4" s="66" t="s">
        <v>179</v>
      </c>
      <c r="B4" s="66">
        <v>138349</v>
      </c>
      <c r="C4" s="67">
        <v>45947.437175925923</v>
      </c>
      <c r="D4" s="77">
        <v>2025</v>
      </c>
      <c r="E4" s="77">
        <v>10</v>
      </c>
      <c r="F4" s="66">
        <v>901541137</v>
      </c>
      <c r="G4" s="66"/>
      <c r="H4" s="66" t="s">
        <v>184</v>
      </c>
      <c r="I4" s="69">
        <v>82085</v>
      </c>
      <c r="J4" s="66" t="s">
        <v>461</v>
      </c>
      <c r="K4" s="66"/>
      <c r="L4" s="66"/>
      <c r="M4" s="66"/>
      <c r="N4" s="66"/>
      <c r="O4" s="66"/>
      <c r="P4" s="66" t="s">
        <v>44</v>
      </c>
      <c r="Q4" s="68" t="str">
        <f>P4&amp;AE4&amp;AC4</f>
        <v>HUS0000414638TA02016685</v>
      </c>
      <c r="R4" s="66" t="s">
        <v>467</v>
      </c>
      <c r="S4" s="66" t="s">
        <v>468</v>
      </c>
      <c r="T4" s="66"/>
      <c r="U4" s="66" t="s">
        <v>182</v>
      </c>
      <c r="V4" s="69">
        <v>82085</v>
      </c>
      <c r="W4" s="67">
        <v>45901.446666666663</v>
      </c>
      <c r="X4" s="67">
        <v>45926</v>
      </c>
      <c r="Y4" s="66">
        <v>138597</v>
      </c>
      <c r="Z4" s="67">
        <v>45926.417303240742</v>
      </c>
      <c r="AA4" s="66">
        <v>901541137</v>
      </c>
      <c r="AB4" s="66" t="s">
        <v>184</v>
      </c>
      <c r="AC4" s="69">
        <v>6685</v>
      </c>
      <c r="AD4" s="69">
        <v>0</v>
      </c>
      <c r="AE4" s="66" t="s">
        <v>185</v>
      </c>
      <c r="AF4" s="66" t="s">
        <v>186</v>
      </c>
      <c r="AG4" s="66" t="s">
        <v>464</v>
      </c>
      <c r="AH4" s="66" t="s">
        <v>465</v>
      </c>
      <c r="AI4" s="66"/>
      <c r="AJ4" s="66" t="s">
        <v>469</v>
      </c>
      <c r="AK4" s="78" t="s">
        <v>42</v>
      </c>
    </row>
    <row r="5" spans="1:37" x14ac:dyDescent="0.25">
      <c r="A5" s="66" t="s">
        <v>179</v>
      </c>
      <c r="B5" s="66">
        <v>138358</v>
      </c>
      <c r="C5" s="67">
        <v>45947.461261574077</v>
      </c>
      <c r="D5" s="77">
        <v>2025</v>
      </c>
      <c r="E5" s="77">
        <v>10</v>
      </c>
      <c r="F5" s="66">
        <v>901541137</v>
      </c>
      <c r="G5" s="66"/>
      <c r="H5" s="66" t="s">
        <v>184</v>
      </c>
      <c r="I5" s="69">
        <v>8450501</v>
      </c>
      <c r="J5" s="66" t="s">
        <v>461</v>
      </c>
      <c r="K5" s="66"/>
      <c r="L5" s="66"/>
      <c r="M5" s="66"/>
      <c r="N5" s="66"/>
      <c r="O5" s="66"/>
      <c r="P5" s="66" t="s">
        <v>58</v>
      </c>
      <c r="Q5" s="68" t="str">
        <f t="shared" ref="Q5:Q68" si="0">P5&amp;AE5&amp;AC5</f>
        <v>HUS0000412324CL020181018</v>
      </c>
      <c r="R5" s="66" t="s">
        <v>462</v>
      </c>
      <c r="S5" s="66" t="s">
        <v>463</v>
      </c>
      <c r="T5" s="66"/>
      <c r="U5" s="66" t="s">
        <v>182</v>
      </c>
      <c r="V5" s="69">
        <v>8450501</v>
      </c>
      <c r="W5" s="67">
        <v>45895.494363425925</v>
      </c>
      <c r="X5" s="67">
        <v>45933</v>
      </c>
      <c r="Y5" s="66">
        <v>139403</v>
      </c>
      <c r="Z5" s="67">
        <v>45933.440648148149</v>
      </c>
      <c r="AA5" s="66">
        <v>901541137</v>
      </c>
      <c r="AB5" s="66" t="s">
        <v>184</v>
      </c>
      <c r="AC5" s="69">
        <v>81018</v>
      </c>
      <c r="AD5" s="69">
        <v>0</v>
      </c>
      <c r="AE5" s="66" t="s">
        <v>198</v>
      </c>
      <c r="AF5" s="66" t="s">
        <v>199</v>
      </c>
      <c r="AG5" s="66" t="s">
        <v>464</v>
      </c>
      <c r="AH5" s="66" t="s">
        <v>465</v>
      </c>
      <c r="AI5" s="66"/>
      <c r="AJ5" s="66" t="s">
        <v>470</v>
      </c>
      <c r="AK5" s="78" t="s">
        <v>42</v>
      </c>
    </row>
    <row r="6" spans="1:37" x14ac:dyDescent="0.25">
      <c r="A6" s="66" t="s">
        <v>179</v>
      </c>
      <c r="B6" s="66">
        <v>138358</v>
      </c>
      <c r="C6" s="67">
        <v>45947.461261574077</v>
      </c>
      <c r="D6" s="77">
        <v>2025</v>
      </c>
      <c r="E6" s="77">
        <v>10</v>
      </c>
      <c r="F6" s="66">
        <v>901541137</v>
      </c>
      <c r="G6" s="66"/>
      <c r="H6" s="66" t="s">
        <v>184</v>
      </c>
      <c r="I6" s="69">
        <v>8450501</v>
      </c>
      <c r="J6" s="66" t="s">
        <v>461</v>
      </c>
      <c r="K6" s="66"/>
      <c r="L6" s="66"/>
      <c r="M6" s="66"/>
      <c r="N6" s="66"/>
      <c r="O6" s="66"/>
      <c r="P6" s="66" t="s">
        <v>58</v>
      </c>
      <c r="Q6" s="68" t="str">
        <f t="shared" si="0"/>
        <v>HUS0000412324FA020379407</v>
      </c>
      <c r="R6" s="66" t="s">
        <v>462</v>
      </c>
      <c r="S6" s="66" t="s">
        <v>463</v>
      </c>
      <c r="T6" s="66"/>
      <c r="U6" s="66" t="s">
        <v>182</v>
      </c>
      <c r="V6" s="69">
        <v>8450501</v>
      </c>
      <c r="W6" s="67">
        <v>45895.494363425925</v>
      </c>
      <c r="X6" s="67">
        <v>45933</v>
      </c>
      <c r="Y6" s="66">
        <v>139403</v>
      </c>
      <c r="Z6" s="67">
        <v>45933.440648148149</v>
      </c>
      <c r="AA6" s="66">
        <v>901541137</v>
      </c>
      <c r="AB6" s="66" t="s">
        <v>184</v>
      </c>
      <c r="AC6" s="69">
        <v>79407</v>
      </c>
      <c r="AD6" s="69">
        <v>0</v>
      </c>
      <c r="AE6" s="66" t="s">
        <v>204</v>
      </c>
      <c r="AF6" s="66" t="s">
        <v>205</v>
      </c>
      <c r="AG6" s="66" t="s">
        <v>464</v>
      </c>
      <c r="AH6" s="66" t="s">
        <v>465</v>
      </c>
      <c r="AI6" s="66"/>
      <c r="AJ6" s="66" t="s">
        <v>471</v>
      </c>
      <c r="AK6" s="78" t="s">
        <v>42</v>
      </c>
    </row>
    <row r="7" spans="1:37" x14ac:dyDescent="0.25">
      <c r="A7" s="66" t="s">
        <v>179</v>
      </c>
      <c r="B7" s="66">
        <v>138358</v>
      </c>
      <c r="C7" s="67">
        <v>45947.461261574077</v>
      </c>
      <c r="D7" s="77">
        <v>2025</v>
      </c>
      <c r="E7" s="77">
        <v>10</v>
      </c>
      <c r="F7" s="66">
        <v>901541137</v>
      </c>
      <c r="G7" s="66"/>
      <c r="H7" s="66" t="s">
        <v>184</v>
      </c>
      <c r="I7" s="69">
        <v>8450501</v>
      </c>
      <c r="J7" s="66" t="s">
        <v>461</v>
      </c>
      <c r="K7" s="66"/>
      <c r="L7" s="66"/>
      <c r="M7" s="66"/>
      <c r="N7" s="66"/>
      <c r="O7" s="66"/>
      <c r="P7" s="66" t="s">
        <v>58</v>
      </c>
      <c r="Q7" s="68" t="str">
        <f t="shared" si="0"/>
        <v>HUS0000412324TA58014020421</v>
      </c>
      <c r="R7" s="66" t="s">
        <v>462</v>
      </c>
      <c r="S7" s="66" t="s">
        <v>463</v>
      </c>
      <c r="T7" s="66"/>
      <c r="U7" s="66" t="s">
        <v>182</v>
      </c>
      <c r="V7" s="69">
        <v>8450501</v>
      </c>
      <c r="W7" s="67">
        <v>45895.494363425925</v>
      </c>
      <c r="X7" s="67">
        <v>45933</v>
      </c>
      <c r="Y7" s="66">
        <v>139403</v>
      </c>
      <c r="Z7" s="67">
        <v>45933.440648148149</v>
      </c>
      <c r="AA7" s="66">
        <v>901541137</v>
      </c>
      <c r="AB7" s="66" t="s">
        <v>184</v>
      </c>
      <c r="AC7" s="69">
        <v>4020421</v>
      </c>
      <c r="AD7" s="69">
        <v>0</v>
      </c>
      <c r="AE7" s="66" t="s">
        <v>201</v>
      </c>
      <c r="AF7" s="66" t="s">
        <v>202</v>
      </c>
      <c r="AG7" s="66" t="s">
        <v>464</v>
      </c>
      <c r="AH7" s="66" t="s">
        <v>465</v>
      </c>
      <c r="AI7" s="66"/>
      <c r="AJ7" s="66" t="s">
        <v>472</v>
      </c>
      <c r="AK7" s="78" t="s">
        <v>42</v>
      </c>
    </row>
    <row r="8" spans="1:37" x14ac:dyDescent="0.25">
      <c r="A8" s="66" t="s">
        <v>179</v>
      </c>
      <c r="B8" s="66">
        <v>138360</v>
      </c>
      <c r="C8" s="67">
        <v>45947.475266203706</v>
      </c>
      <c r="D8" s="77">
        <v>2025</v>
      </c>
      <c r="E8" s="77">
        <v>10</v>
      </c>
      <c r="F8" s="66">
        <v>901541137</v>
      </c>
      <c r="G8" s="66"/>
      <c r="H8" s="66" t="s">
        <v>184</v>
      </c>
      <c r="I8" s="69">
        <v>15835799</v>
      </c>
      <c r="J8" s="66" t="s">
        <v>461</v>
      </c>
      <c r="K8" s="66"/>
      <c r="L8" s="66"/>
      <c r="M8" s="66"/>
      <c r="N8" s="66"/>
      <c r="O8" s="66"/>
      <c r="P8" s="66" t="s">
        <v>57</v>
      </c>
      <c r="Q8" s="68" t="str">
        <f t="shared" si="0"/>
        <v>HUS0000417459CL0601640800</v>
      </c>
      <c r="R8" s="66" t="s">
        <v>462</v>
      </c>
      <c r="S8" s="66" t="s">
        <v>463</v>
      </c>
      <c r="T8" s="66"/>
      <c r="U8" s="66" t="s">
        <v>182</v>
      </c>
      <c r="V8" s="69">
        <v>16632959</v>
      </c>
      <c r="W8" s="67">
        <v>45909.489386574074</v>
      </c>
      <c r="X8" s="67">
        <v>45933</v>
      </c>
      <c r="Y8" s="66">
        <v>139416</v>
      </c>
      <c r="Z8" s="67">
        <v>45933.44730324074</v>
      </c>
      <c r="AA8" s="66">
        <v>901541137</v>
      </c>
      <c r="AB8" s="66" t="s">
        <v>184</v>
      </c>
      <c r="AC8" s="69">
        <v>640800</v>
      </c>
      <c r="AD8" s="69">
        <v>0</v>
      </c>
      <c r="AE8" s="66" t="s">
        <v>224</v>
      </c>
      <c r="AF8" s="66" t="s">
        <v>225</v>
      </c>
      <c r="AG8" s="66" t="s">
        <v>464</v>
      </c>
      <c r="AH8" s="66" t="s">
        <v>465</v>
      </c>
      <c r="AI8" s="66"/>
      <c r="AJ8" s="66" t="s">
        <v>473</v>
      </c>
      <c r="AK8" s="78" t="s">
        <v>42</v>
      </c>
    </row>
    <row r="9" spans="1:37" x14ac:dyDescent="0.25">
      <c r="A9" s="66" t="s">
        <v>179</v>
      </c>
      <c r="B9" s="66">
        <v>138360</v>
      </c>
      <c r="C9" s="67">
        <v>45947.475266203706</v>
      </c>
      <c r="D9" s="77">
        <v>2025</v>
      </c>
      <c r="E9" s="77">
        <v>10</v>
      </c>
      <c r="F9" s="66">
        <v>901541137</v>
      </c>
      <c r="G9" s="66"/>
      <c r="H9" s="66" t="s">
        <v>184</v>
      </c>
      <c r="I9" s="69">
        <v>15835799</v>
      </c>
      <c r="J9" s="66" t="s">
        <v>461</v>
      </c>
      <c r="K9" s="66"/>
      <c r="L9" s="66"/>
      <c r="M9" s="66"/>
      <c r="N9" s="66"/>
      <c r="O9" s="66"/>
      <c r="P9" s="66" t="s">
        <v>57</v>
      </c>
      <c r="Q9" s="68" t="str">
        <f t="shared" si="0"/>
        <v>HUS0000417459FA01011195740</v>
      </c>
      <c r="R9" s="66" t="s">
        <v>462</v>
      </c>
      <c r="S9" s="66" t="s">
        <v>463</v>
      </c>
      <c r="T9" s="66"/>
      <c r="U9" s="66" t="s">
        <v>182</v>
      </c>
      <c r="V9" s="69">
        <v>16632959</v>
      </c>
      <c r="W9" s="67">
        <v>45909.489386574074</v>
      </c>
      <c r="X9" s="67">
        <v>45933</v>
      </c>
      <c r="Y9" s="66">
        <v>139416</v>
      </c>
      <c r="Z9" s="67">
        <v>45933.44730324074</v>
      </c>
      <c r="AA9" s="66">
        <v>901541137</v>
      </c>
      <c r="AB9" s="66" t="s">
        <v>184</v>
      </c>
      <c r="AC9" s="69">
        <v>1195740</v>
      </c>
      <c r="AD9" s="69">
        <v>797160</v>
      </c>
      <c r="AE9" s="66" t="s">
        <v>190</v>
      </c>
      <c r="AF9" s="66" t="s">
        <v>191</v>
      </c>
      <c r="AG9" s="66" t="s">
        <v>474</v>
      </c>
      <c r="AH9" s="66" t="s">
        <v>475</v>
      </c>
      <c r="AI9" s="66"/>
      <c r="AJ9" s="66" t="s">
        <v>476</v>
      </c>
      <c r="AK9" s="78" t="s">
        <v>42</v>
      </c>
    </row>
    <row r="10" spans="1:37" x14ac:dyDescent="0.25">
      <c r="A10" s="66" t="s">
        <v>179</v>
      </c>
      <c r="B10" s="66">
        <v>138360</v>
      </c>
      <c r="C10" s="67">
        <v>45947.475266203706</v>
      </c>
      <c r="D10" s="77">
        <v>2025</v>
      </c>
      <c r="E10" s="77">
        <v>10</v>
      </c>
      <c r="F10" s="66">
        <v>901541137</v>
      </c>
      <c r="G10" s="66"/>
      <c r="H10" s="66" t="s">
        <v>184</v>
      </c>
      <c r="I10" s="69">
        <v>15835799</v>
      </c>
      <c r="J10" s="66" t="s">
        <v>461</v>
      </c>
      <c r="K10" s="66"/>
      <c r="L10" s="66"/>
      <c r="M10" s="66"/>
      <c r="N10" s="66"/>
      <c r="O10" s="66"/>
      <c r="P10" s="66" t="s">
        <v>57</v>
      </c>
      <c r="Q10" s="68" t="str">
        <f t="shared" si="0"/>
        <v>HUS0000417459FA060210300</v>
      </c>
      <c r="R10" s="66" t="s">
        <v>462</v>
      </c>
      <c r="S10" s="66" t="s">
        <v>463</v>
      </c>
      <c r="T10" s="66"/>
      <c r="U10" s="66" t="s">
        <v>182</v>
      </c>
      <c r="V10" s="69">
        <v>16632959</v>
      </c>
      <c r="W10" s="67">
        <v>45909.489386574074</v>
      </c>
      <c r="X10" s="67">
        <v>45933</v>
      </c>
      <c r="Y10" s="66">
        <v>139416</v>
      </c>
      <c r="Z10" s="67">
        <v>45933.44730324074</v>
      </c>
      <c r="AA10" s="66">
        <v>901541137</v>
      </c>
      <c r="AB10" s="66" t="s">
        <v>184</v>
      </c>
      <c r="AC10" s="69">
        <v>10300</v>
      </c>
      <c r="AD10" s="69">
        <v>0</v>
      </c>
      <c r="AE10" s="66" t="s">
        <v>230</v>
      </c>
      <c r="AF10" s="66" t="s">
        <v>231</v>
      </c>
      <c r="AG10" s="66" t="s">
        <v>464</v>
      </c>
      <c r="AH10" s="66" t="s">
        <v>465</v>
      </c>
      <c r="AI10" s="66"/>
      <c r="AJ10" s="66" t="s">
        <v>477</v>
      </c>
      <c r="AK10" s="78" t="s">
        <v>42</v>
      </c>
    </row>
    <row r="11" spans="1:37" x14ac:dyDescent="0.25">
      <c r="A11" s="66" t="s">
        <v>179</v>
      </c>
      <c r="B11" s="66">
        <v>138360</v>
      </c>
      <c r="C11" s="67">
        <v>45947.475266203706</v>
      </c>
      <c r="D11" s="77">
        <v>2025</v>
      </c>
      <c r="E11" s="77">
        <v>10</v>
      </c>
      <c r="F11" s="66">
        <v>901541137</v>
      </c>
      <c r="G11" s="66"/>
      <c r="H11" s="66" t="s">
        <v>184</v>
      </c>
      <c r="I11" s="69">
        <v>15835799</v>
      </c>
      <c r="J11" s="66" t="s">
        <v>461</v>
      </c>
      <c r="K11" s="66"/>
      <c r="L11" s="66"/>
      <c r="M11" s="66"/>
      <c r="N11" s="66"/>
      <c r="O11" s="66"/>
      <c r="P11" s="66" t="s">
        <v>57</v>
      </c>
      <c r="Q11" s="68" t="str">
        <f t="shared" si="0"/>
        <v>HUS0000417459FA2302585629</v>
      </c>
      <c r="R11" s="66" t="s">
        <v>462</v>
      </c>
      <c r="S11" s="66" t="s">
        <v>463</v>
      </c>
      <c r="T11" s="66"/>
      <c r="U11" s="66" t="s">
        <v>182</v>
      </c>
      <c r="V11" s="69">
        <v>16632959</v>
      </c>
      <c r="W11" s="67">
        <v>45909.489386574074</v>
      </c>
      <c r="X11" s="67">
        <v>45933</v>
      </c>
      <c r="Y11" s="66">
        <v>139416</v>
      </c>
      <c r="Z11" s="67">
        <v>45933.44730324074</v>
      </c>
      <c r="AA11" s="66">
        <v>901541137</v>
      </c>
      <c r="AB11" s="66" t="s">
        <v>184</v>
      </c>
      <c r="AC11" s="69">
        <v>585629</v>
      </c>
      <c r="AD11" s="69">
        <v>0</v>
      </c>
      <c r="AE11" s="66" t="s">
        <v>234</v>
      </c>
      <c r="AF11" s="66" t="s">
        <v>235</v>
      </c>
      <c r="AG11" s="66" t="s">
        <v>464</v>
      </c>
      <c r="AH11" s="66" t="s">
        <v>465</v>
      </c>
      <c r="AI11" s="66"/>
      <c r="AJ11" s="66" t="s">
        <v>478</v>
      </c>
      <c r="AK11" s="78" t="s">
        <v>42</v>
      </c>
    </row>
    <row r="12" spans="1:37" x14ac:dyDescent="0.25">
      <c r="A12" s="66" t="s">
        <v>179</v>
      </c>
      <c r="B12" s="66">
        <v>138360</v>
      </c>
      <c r="C12" s="67">
        <v>45947.475266203706</v>
      </c>
      <c r="D12" s="77">
        <v>2025</v>
      </c>
      <c r="E12" s="77">
        <v>10</v>
      </c>
      <c r="F12" s="66">
        <v>901541137</v>
      </c>
      <c r="G12" s="66"/>
      <c r="H12" s="66" t="s">
        <v>184</v>
      </c>
      <c r="I12" s="69">
        <v>15835799</v>
      </c>
      <c r="J12" s="66" t="s">
        <v>461</v>
      </c>
      <c r="K12" s="66"/>
      <c r="L12" s="66"/>
      <c r="M12" s="66"/>
      <c r="N12" s="66"/>
      <c r="O12" s="66"/>
      <c r="P12" s="66" t="s">
        <v>57</v>
      </c>
      <c r="Q12" s="68" t="str">
        <f t="shared" si="0"/>
        <v>HUS0000417459TA06011850200</v>
      </c>
      <c r="R12" s="66" t="s">
        <v>462</v>
      </c>
      <c r="S12" s="66" t="s">
        <v>463</v>
      </c>
      <c r="T12" s="66"/>
      <c r="U12" s="66" t="s">
        <v>182</v>
      </c>
      <c r="V12" s="69">
        <v>16632959</v>
      </c>
      <c r="W12" s="67">
        <v>45909.489386574074</v>
      </c>
      <c r="X12" s="67">
        <v>45933</v>
      </c>
      <c r="Y12" s="66">
        <v>139416</v>
      </c>
      <c r="Z12" s="67">
        <v>45933.44730324074</v>
      </c>
      <c r="AA12" s="66">
        <v>901541137</v>
      </c>
      <c r="AB12" s="66" t="s">
        <v>184</v>
      </c>
      <c r="AC12" s="69">
        <v>1850200</v>
      </c>
      <c r="AD12" s="69">
        <v>0</v>
      </c>
      <c r="AE12" s="66" t="s">
        <v>227</v>
      </c>
      <c r="AF12" s="66" t="s">
        <v>228</v>
      </c>
      <c r="AG12" s="66" t="s">
        <v>464</v>
      </c>
      <c r="AH12" s="66" t="s">
        <v>465</v>
      </c>
      <c r="AI12" s="66"/>
      <c r="AJ12" s="66" t="s">
        <v>479</v>
      </c>
      <c r="AK12" s="78" t="s">
        <v>42</v>
      </c>
    </row>
    <row r="13" spans="1:37" x14ac:dyDescent="0.25">
      <c r="A13" s="66" t="s">
        <v>179</v>
      </c>
      <c r="B13" s="66">
        <v>138367</v>
      </c>
      <c r="C13" s="67">
        <v>45947.490312499998</v>
      </c>
      <c r="D13" s="77">
        <v>2025</v>
      </c>
      <c r="E13" s="77">
        <v>10</v>
      </c>
      <c r="F13" s="66">
        <v>901541137</v>
      </c>
      <c r="G13" s="66"/>
      <c r="H13" s="66" t="s">
        <v>184</v>
      </c>
      <c r="I13" s="69">
        <v>49186014</v>
      </c>
      <c r="J13" s="66" t="s">
        <v>480</v>
      </c>
      <c r="K13" s="66"/>
      <c r="L13" s="66"/>
      <c r="M13" s="66"/>
      <c r="N13" s="66"/>
      <c r="O13" s="66"/>
      <c r="P13" s="66" t="s">
        <v>54</v>
      </c>
      <c r="Q13" s="68" t="str">
        <f t="shared" si="0"/>
        <v>HUS0000412697CL01014384380</v>
      </c>
      <c r="R13" s="66" t="s">
        <v>462</v>
      </c>
      <c r="S13" s="66" t="s">
        <v>463</v>
      </c>
      <c r="T13" s="66"/>
      <c r="U13" s="66" t="s">
        <v>182</v>
      </c>
      <c r="V13" s="69">
        <v>49186014</v>
      </c>
      <c r="W13" s="67">
        <v>45896.36546296296</v>
      </c>
      <c r="X13" s="67">
        <v>45936</v>
      </c>
      <c r="Y13" s="66">
        <v>139427</v>
      </c>
      <c r="Z13" s="67">
        <v>45936.471678240741</v>
      </c>
      <c r="AA13" s="66">
        <v>901541137</v>
      </c>
      <c r="AB13" s="66" t="s">
        <v>184</v>
      </c>
      <c r="AC13" s="69">
        <v>4384380</v>
      </c>
      <c r="AD13" s="69">
        <v>0</v>
      </c>
      <c r="AE13" s="66" t="s">
        <v>194</v>
      </c>
      <c r="AF13" s="66" t="s">
        <v>195</v>
      </c>
      <c r="AG13" s="66" t="s">
        <v>464</v>
      </c>
      <c r="AH13" s="66" t="s">
        <v>465</v>
      </c>
      <c r="AI13" s="66"/>
      <c r="AJ13" s="66" t="s">
        <v>481</v>
      </c>
      <c r="AK13" s="78" t="s">
        <v>42</v>
      </c>
    </row>
    <row r="14" spans="1:37" x14ac:dyDescent="0.25">
      <c r="A14" s="66" t="s">
        <v>179</v>
      </c>
      <c r="B14" s="66">
        <v>138389</v>
      </c>
      <c r="C14" s="67">
        <v>45947.587708333333</v>
      </c>
      <c r="D14" s="77">
        <v>2025</v>
      </c>
      <c r="E14" s="77">
        <v>10</v>
      </c>
      <c r="F14" s="66">
        <v>901541137</v>
      </c>
      <c r="G14" s="66"/>
      <c r="H14" s="66" t="s">
        <v>184</v>
      </c>
      <c r="I14" s="69">
        <v>5773764</v>
      </c>
      <c r="J14" s="66" t="s">
        <v>461</v>
      </c>
      <c r="K14" s="66"/>
      <c r="L14" s="66"/>
      <c r="M14" s="66"/>
      <c r="N14" s="66"/>
      <c r="O14" s="66"/>
      <c r="P14" s="66" t="s">
        <v>47</v>
      </c>
      <c r="Q14" s="68" t="str">
        <f t="shared" si="0"/>
        <v>HUS0000415322TA0101267680</v>
      </c>
      <c r="R14" s="66" t="s">
        <v>467</v>
      </c>
      <c r="S14" s="66" t="s">
        <v>468</v>
      </c>
      <c r="T14" s="66"/>
      <c r="U14" s="66" t="s">
        <v>182</v>
      </c>
      <c r="V14" s="69">
        <v>5773764</v>
      </c>
      <c r="W14" s="67">
        <v>45902.860752314817</v>
      </c>
      <c r="X14" s="67">
        <v>45929</v>
      </c>
      <c r="Y14" s="66">
        <v>138702</v>
      </c>
      <c r="Z14" s="67">
        <v>45931.602164351854</v>
      </c>
      <c r="AA14" s="66">
        <v>901541137</v>
      </c>
      <c r="AB14" s="66" t="s">
        <v>184</v>
      </c>
      <c r="AC14" s="69">
        <v>267680</v>
      </c>
      <c r="AD14" s="69">
        <v>0</v>
      </c>
      <c r="AE14" s="66" t="s">
        <v>208</v>
      </c>
      <c r="AF14" s="66" t="s">
        <v>209</v>
      </c>
      <c r="AG14" s="66" t="s">
        <v>464</v>
      </c>
      <c r="AH14" s="66" t="s">
        <v>465</v>
      </c>
      <c r="AI14" s="66"/>
      <c r="AJ14" s="66" t="s">
        <v>482</v>
      </c>
      <c r="AK14" s="78" t="s">
        <v>42</v>
      </c>
    </row>
    <row r="15" spans="1:37" x14ac:dyDescent="0.25">
      <c r="A15" s="66" t="s">
        <v>179</v>
      </c>
      <c r="B15" s="66">
        <v>138389</v>
      </c>
      <c r="C15" s="67">
        <v>45947.587708333333</v>
      </c>
      <c r="D15" s="77">
        <v>2025</v>
      </c>
      <c r="E15" s="77">
        <v>10</v>
      </c>
      <c r="F15" s="66">
        <v>901541137</v>
      </c>
      <c r="G15" s="66"/>
      <c r="H15" s="66" t="s">
        <v>184</v>
      </c>
      <c r="I15" s="69">
        <v>5773764</v>
      </c>
      <c r="J15" s="66" t="s">
        <v>461</v>
      </c>
      <c r="K15" s="66"/>
      <c r="L15" s="66"/>
      <c r="M15" s="66"/>
      <c r="N15" s="66"/>
      <c r="O15" s="66"/>
      <c r="P15" s="66" t="s">
        <v>47</v>
      </c>
      <c r="Q15" s="68" t="str">
        <f t="shared" si="0"/>
        <v>HUS0000415322TA02011807</v>
      </c>
      <c r="R15" s="66" t="s">
        <v>467</v>
      </c>
      <c r="S15" s="66" t="s">
        <v>468</v>
      </c>
      <c r="T15" s="66"/>
      <c r="U15" s="66" t="s">
        <v>182</v>
      </c>
      <c r="V15" s="69">
        <v>5773764</v>
      </c>
      <c r="W15" s="67">
        <v>45902.860752314817</v>
      </c>
      <c r="X15" s="67">
        <v>45929</v>
      </c>
      <c r="Y15" s="66">
        <v>138702</v>
      </c>
      <c r="Z15" s="67">
        <v>45931.602164351854</v>
      </c>
      <c r="AA15" s="66">
        <v>901541137</v>
      </c>
      <c r="AB15" s="66" t="s">
        <v>184</v>
      </c>
      <c r="AC15" s="69">
        <v>1807</v>
      </c>
      <c r="AD15" s="69">
        <v>0</v>
      </c>
      <c r="AE15" s="66" t="s">
        <v>185</v>
      </c>
      <c r="AF15" s="66" t="s">
        <v>186</v>
      </c>
      <c r="AG15" s="66" t="s">
        <v>464</v>
      </c>
      <c r="AH15" s="66" t="s">
        <v>465</v>
      </c>
      <c r="AI15" s="66"/>
      <c r="AJ15" s="66" t="s">
        <v>482</v>
      </c>
      <c r="AK15" s="78" t="s">
        <v>42</v>
      </c>
    </row>
    <row r="16" spans="1:37" x14ac:dyDescent="0.25">
      <c r="A16" s="66" t="s">
        <v>179</v>
      </c>
      <c r="B16" s="66">
        <v>138389</v>
      </c>
      <c r="C16" s="67">
        <v>45947.587708333333</v>
      </c>
      <c r="D16" s="77">
        <v>2025</v>
      </c>
      <c r="E16" s="77">
        <v>10</v>
      </c>
      <c r="F16" s="66">
        <v>901541137</v>
      </c>
      <c r="G16" s="66"/>
      <c r="H16" s="66" t="s">
        <v>184</v>
      </c>
      <c r="I16" s="69">
        <v>5773764</v>
      </c>
      <c r="J16" s="66" t="s">
        <v>461</v>
      </c>
      <c r="K16" s="66"/>
      <c r="L16" s="66"/>
      <c r="M16" s="66"/>
      <c r="N16" s="66"/>
      <c r="O16" s="66"/>
      <c r="P16" s="66" t="s">
        <v>47</v>
      </c>
      <c r="Q16" s="68" t="str">
        <f t="shared" si="0"/>
        <v>HUS0000415322TA080177820</v>
      </c>
      <c r="R16" s="66" t="s">
        <v>467</v>
      </c>
      <c r="S16" s="66" t="s">
        <v>468</v>
      </c>
      <c r="T16" s="66"/>
      <c r="U16" s="66" t="s">
        <v>182</v>
      </c>
      <c r="V16" s="69">
        <v>5773764</v>
      </c>
      <c r="W16" s="67">
        <v>45902.860752314817</v>
      </c>
      <c r="X16" s="67">
        <v>45929</v>
      </c>
      <c r="Y16" s="66">
        <v>138702</v>
      </c>
      <c r="Z16" s="67">
        <v>45931.602164351854</v>
      </c>
      <c r="AA16" s="66">
        <v>901541137</v>
      </c>
      <c r="AB16" s="66" t="s">
        <v>184</v>
      </c>
      <c r="AC16" s="69">
        <v>77820</v>
      </c>
      <c r="AD16" s="69">
        <v>0</v>
      </c>
      <c r="AE16" s="66" t="s">
        <v>212</v>
      </c>
      <c r="AF16" s="66" t="s">
        <v>213</v>
      </c>
      <c r="AG16" s="66" t="s">
        <v>464</v>
      </c>
      <c r="AH16" s="66" t="s">
        <v>465</v>
      </c>
      <c r="AI16" s="66"/>
      <c r="AJ16" s="66" t="s">
        <v>482</v>
      </c>
      <c r="AK16" s="78" t="s">
        <v>42</v>
      </c>
    </row>
    <row r="17" spans="1:37" x14ac:dyDescent="0.25">
      <c r="A17" s="66" t="s">
        <v>179</v>
      </c>
      <c r="B17" s="66">
        <v>138389</v>
      </c>
      <c r="C17" s="67">
        <v>45947.587708333333</v>
      </c>
      <c r="D17" s="77">
        <v>2025</v>
      </c>
      <c r="E17" s="77">
        <v>10</v>
      </c>
      <c r="F17" s="66">
        <v>901541137</v>
      </c>
      <c r="G17" s="66"/>
      <c r="H17" s="66" t="s">
        <v>184</v>
      </c>
      <c r="I17" s="69">
        <v>5773764</v>
      </c>
      <c r="J17" s="66" t="s">
        <v>461</v>
      </c>
      <c r="K17" s="66"/>
      <c r="L17" s="66"/>
      <c r="M17" s="66"/>
      <c r="N17" s="66"/>
      <c r="O17" s="66"/>
      <c r="P17" s="66" t="s">
        <v>47</v>
      </c>
      <c r="Q17" s="68" t="str">
        <f t="shared" si="0"/>
        <v>HUS0000415322TA2301625</v>
      </c>
      <c r="R17" s="66" t="s">
        <v>467</v>
      </c>
      <c r="S17" s="66" t="s">
        <v>468</v>
      </c>
      <c r="T17" s="66"/>
      <c r="U17" s="66" t="s">
        <v>182</v>
      </c>
      <c r="V17" s="69">
        <v>5773764</v>
      </c>
      <c r="W17" s="67">
        <v>45902.860752314817</v>
      </c>
      <c r="X17" s="67">
        <v>45929</v>
      </c>
      <c r="Y17" s="66">
        <v>138702</v>
      </c>
      <c r="Z17" s="67">
        <v>45931.602164351854</v>
      </c>
      <c r="AA17" s="66">
        <v>901541137</v>
      </c>
      <c r="AB17" s="66" t="s">
        <v>184</v>
      </c>
      <c r="AC17" s="69">
        <v>625</v>
      </c>
      <c r="AD17" s="69">
        <v>0</v>
      </c>
      <c r="AE17" s="66" t="s">
        <v>215</v>
      </c>
      <c r="AF17" s="66" t="s">
        <v>216</v>
      </c>
      <c r="AG17" s="66" t="s">
        <v>464</v>
      </c>
      <c r="AH17" s="66" t="s">
        <v>465</v>
      </c>
      <c r="AI17" s="66"/>
      <c r="AJ17" s="66" t="s">
        <v>482</v>
      </c>
      <c r="AK17" s="78" t="s">
        <v>42</v>
      </c>
    </row>
    <row r="18" spans="1:37" x14ac:dyDescent="0.25">
      <c r="A18" s="66" t="s">
        <v>179</v>
      </c>
      <c r="B18" s="66">
        <v>138391</v>
      </c>
      <c r="C18" s="67">
        <v>45947.589398148149</v>
      </c>
      <c r="D18" s="77">
        <v>2025</v>
      </c>
      <c r="E18" s="77">
        <v>10</v>
      </c>
      <c r="F18" s="66">
        <v>901541137</v>
      </c>
      <c r="G18" s="66"/>
      <c r="H18" s="66" t="s">
        <v>184</v>
      </c>
      <c r="I18" s="69">
        <v>6404609</v>
      </c>
      <c r="J18" s="66" t="s">
        <v>461</v>
      </c>
      <c r="K18" s="66"/>
      <c r="L18" s="66"/>
      <c r="M18" s="66"/>
      <c r="N18" s="66"/>
      <c r="O18" s="66"/>
      <c r="P18" s="66" t="s">
        <v>48</v>
      </c>
      <c r="Q18" s="68" t="str">
        <f t="shared" si="0"/>
        <v>HUS0000415683TA0101267680</v>
      </c>
      <c r="R18" s="66" t="s">
        <v>467</v>
      </c>
      <c r="S18" s="66" t="s">
        <v>468</v>
      </c>
      <c r="T18" s="66"/>
      <c r="U18" s="66" t="s">
        <v>182</v>
      </c>
      <c r="V18" s="69">
        <v>6404609</v>
      </c>
      <c r="W18" s="67">
        <v>45904.182256944441</v>
      </c>
      <c r="X18" s="67">
        <v>45929</v>
      </c>
      <c r="Y18" s="66">
        <v>138705</v>
      </c>
      <c r="Z18" s="67">
        <v>45931.683344907404</v>
      </c>
      <c r="AA18" s="66">
        <v>901541137</v>
      </c>
      <c r="AB18" s="66" t="s">
        <v>184</v>
      </c>
      <c r="AC18" s="69">
        <v>267680</v>
      </c>
      <c r="AD18" s="69">
        <v>0</v>
      </c>
      <c r="AE18" s="66" t="s">
        <v>208</v>
      </c>
      <c r="AF18" s="66" t="s">
        <v>209</v>
      </c>
      <c r="AG18" s="66" t="s">
        <v>464</v>
      </c>
      <c r="AH18" s="66" t="s">
        <v>465</v>
      </c>
      <c r="AI18" s="66"/>
      <c r="AJ18" s="66" t="s">
        <v>483</v>
      </c>
      <c r="AK18" s="78" t="s">
        <v>42</v>
      </c>
    </row>
    <row r="19" spans="1:37" x14ac:dyDescent="0.25">
      <c r="A19" s="66" t="s">
        <v>179</v>
      </c>
      <c r="B19" s="66">
        <v>138391</v>
      </c>
      <c r="C19" s="67">
        <v>45947.589398148149</v>
      </c>
      <c r="D19" s="77">
        <v>2025</v>
      </c>
      <c r="E19" s="77">
        <v>10</v>
      </c>
      <c r="F19" s="66">
        <v>901541137</v>
      </c>
      <c r="G19" s="66"/>
      <c r="H19" s="66" t="s">
        <v>184</v>
      </c>
      <c r="I19" s="69">
        <v>6404609</v>
      </c>
      <c r="J19" s="66" t="s">
        <v>461</v>
      </c>
      <c r="K19" s="66"/>
      <c r="L19" s="66"/>
      <c r="M19" s="66"/>
      <c r="N19" s="66"/>
      <c r="O19" s="66"/>
      <c r="P19" s="66" t="s">
        <v>48</v>
      </c>
      <c r="Q19" s="68" t="str">
        <f t="shared" si="0"/>
        <v>HUS0000415683TA02015331</v>
      </c>
      <c r="R19" s="66" t="s">
        <v>467</v>
      </c>
      <c r="S19" s="66" t="s">
        <v>468</v>
      </c>
      <c r="T19" s="66"/>
      <c r="U19" s="66" t="s">
        <v>182</v>
      </c>
      <c r="V19" s="69">
        <v>6404609</v>
      </c>
      <c r="W19" s="67">
        <v>45904.182256944441</v>
      </c>
      <c r="X19" s="67">
        <v>45929</v>
      </c>
      <c r="Y19" s="66">
        <v>138705</v>
      </c>
      <c r="Z19" s="67">
        <v>45931.683344907404</v>
      </c>
      <c r="AA19" s="66">
        <v>901541137</v>
      </c>
      <c r="AB19" s="66" t="s">
        <v>184</v>
      </c>
      <c r="AC19" s="69">
        <v>5331</v>
      </c>
      <c r="AD19" s="69">
        <v>0</v>
      </c>
      <c r="AE19" s="66" t="s">
        <v>185</v>
      </c>
      <c r="AF19" s="66" t="s">
        <v>186</v>
      </c>
      <c r="AG19" s="66" t="s">
        <v>464</v>
      </c>
      <c r="AH19" s="66" t="s">
        <v>465</v>
      </c>
      <c r="AI19" s="66"/>
      <c r="AJ19" s="66" t="s">
        <v>483</v>
      </c>
      <c r="AK19" s="78" t="s">
        <v>42</v>
      </c>
    </row>
    <row r="20" spans="1:37" x14ac:dyDescent="0.25">
      <c r="A20" s="66" t="s">
        <v>179</v>
      </c>
      <c r="B20" s="66">
        <v>138391</v>
      </c>
      <c r="C20" s="67">
        <v>45947.589398148149</v>
      </c>
      <c r="D20" s="77">
        <v>2025</v>
      </c>
      <c r="E20" s="77">
        <v>10</v>
      </c>
      <c r="F20" s="66">
        <v>901541137</v>
      </c>
      <c r="G20" s="66"/>
      <c r="H20" s="66" t="s">
        <v>184</v>
      </c>
      <c r="I20" s="69">
        <v>6404609</v>
      </c>
      <c r="J20" s="66" t="s">
        <v>461</v>
      </c>
      <c r="K20" s="66"/>
      <c r="L20" s="66"/>
      <c r="M20" s="66"/>
      <c r="N20" s="66"/>
      <c r="O20" s="66"/>
      <c r="P20" s="66" t="s">
        <v>48</v>
      </c>
      <c r="Q20" s="68" t="str">
        <f t="shared" si="0"/>
        <v>HUS0000415683TA08019232</v>
      </c>
      <c r="R20" s="66" t="s">
        <v>467</v>
      </c>
      <c r="S20" s="66" t="s">
        <v>468</v>
      </c>
      <c r="T20" s="66"/>
      <c r="U20" s="66" t="s">
        <v>182</v>
      </c>
      <c r="V20" s="69">
        <v>6404609</v>
      </c>
      <c r="W20" s="67">
        <v>45904.182256944441</v>
      </c>
      <c r="X20" s="67">
        <v>45929</v>
      </c>
      <c r="Y20" s="66">
        <v>138705</v>
      </c>
      <c r="Z20" s="67">
        <v>45931.683344907404</v>
      </c>
      <c r="AA20" s="66">
        <v>901541137</v>
      </c>
      <c r="AB20" s="66" t="s">
        <v>184</v>
      </c>
      <c r="AC20" s="69">
        <v>9232</v>
      </c>
      <c r="AD20" s="69">
        <v>0</v>
      </c>
      <c r="AE20" s="66" t="s">
        <v>212</v>
      </c>
      <c r="AF20" s="66" t="s">
        <v>213</v>
      </c>
      <c r="AG20" s="66" t="s">
        <v>464</v>
      </c>
      <c r="AH20" s="66" t="s">
        <v>465</v>
      </c>
      <c r="AI20" s="66"/>
      <c r="AJ20" s="66" t="s">
        <v>483</v>
      </c>
      <c r="AK20" s="78" t="s">
        <v>42</v>
      </c>
    </row>
    <row r="21" spans="1:37" x14ac:dyDescent="0.25">
      <c r="A21" s="66" t="s">
        <v>179</v>
      </c>
      <c r="B21" s="66">
        <v>138391</v>
      </c>
      <c r="C21" s="67">
        <v>45947.589398148149</v>
      </c>
      <c r="D21" s="77">
        <v>2025</v>
      </c>
      <c r="E21" s="77">
        <v>10</v>
      </c>
      <c r="F21" s="66">
        <v>901541137</v>
      </c>
      <c r="G21" s="66"/>
      <c r="H21" s="66" t="s">
        <v>184</v>
      </c>
      <c r="I21" s="69">
        <v>6404609</v>
      </c>
      <c r="J21" s="66" t="s">
        <v>461</v>
      </c>
      <c r="K21" s="66"/>
      <c r="L21" s="66"/>
      <c r="M21" s="66"/>
      <c r="N21" s="66"/>
      <c r="O21" s="66"/>
      <c r="P21" s="66" t="s">
        <v>48</v>
      </c>
      <c r="Q21" s="68" t="str">
        <f t="shared" si="0"/>
        <v>HUS0000415683TA2301125</v>
      </c>
      <c r="R21" s="66" t="s">
        <v>467</v>
      </c>
      <c r="S21" s="66" t="s">
        <v>468</v>
      </c>
      <c r="T21" s="66"/>
      <c r="U21" s="66" t="s">
        <v>182</v>
      </c>
      <c r="V21" s="69">
        <v>6404609</v>
      </c>
      <c r="W21" s="67">
        <v>45904.182256944441</v>
      </c>
      <c r="X21" s="67">
        <v>45929</v>
      </c>
      <c r="Y21" s="66">
        <v>138705</v>
      </c>
      <c r="Z21" s="67">
        <v>45931.683344907404</v>
      </c>
      <c r="AA21" s="66">
        <v>901541137</v>
      </c>
      <c r="AB21" s="66" t="s">
        <v>184</v>
      </c>
      <c r="AC21" s="69">
        <v>125</v>
      </c>
      <c r="AD21" s="69">
        <v>0</v>
      </c>
      <c r="AE21" s="66" t="s">
        <v>215</v>
      </c>
      <c r="AF21" s="66" t="s">
        <v>216</v>
      </c>
      <c r="AG21" s="66" t="s">
        <v>464</v>
      </c>
      <c r="AH21" s="66" t="s">
        <v>465</v>
      </c>
      <c r="AI21" s="66"/>
      <c r="AJ21" s="66" t="s">
        <v>483</v>
      </c>
      <c r="AK21" s="78" t="s">
        <v>42</v>
      </c>
    </row>
    <row r="22" spans="1:37" x14ac:dyDescent="0.25">
      <c r="A22" s="66" t="s">
        <v>179</v>
      </c>
      <c r="B22" s="66">
        <v>138700</v>
      </c>
      <c r="C22" s="67">
        <v>45953.453298611108</v>
      </c>
      <c r="D22" s="77">
        <v>2025</v>
      </c>
      <c r="E22" s="77">
        <v>10</v>
      </c>
      <c r="F22" s="66">
        <v>901541137</v>
      </c>
      <c r="G22" s="66"/>
      <c r="H22" s="66" t="s">
        <v>184</v>
      </c>
      <c r="I22" s="69">
        <v>24557345</v>
      </c>
      <c r="J22" s="66" t="s">
        <v>461</v>
      </c>
      <c r="K22" s="66"/>
      <c r="L22" s="66"/>
      <c r="M22" s="66"/>
      <c r="N22" s="66"/>
      <c r="O22" s="66"/>
      <c r="P22" s="66" t="s">
        <v>56</v>
      </c>
      <c r="Q22" s="68" t="str">
        <f t="shared" si="0"/>
        <v>HUS0000412682SO08011037378</v>
      </c>
      <c r="R22" s="66" t="s">
        <v>462</v>
      </c>
      <c r="S22" s="66" t="s">
        <v>463</v>
      </c>
      <c r="T22" s="66"/>
      <c r="U22" s="66" t="s">
        <v>182</v>
      </c>
      <c r="V22" s="69">
        <v>25481600</v>
      </c>
      <c r="W22" s="67">
        <v>45896.345347222225</v>
      </c>
      <c r="X22" s="67">
        <v>45937</v>
      </c>
      <c r="Y22" s="66">
        <v>139521</v>
      </c>
      <c r="Z22" s="67">
        <v>45937</v>
      </c>
      <c r="AA22" s="66">
        <v>901541137</v>
      </c>
      <c r="AB22" s="66" t="s">
        <v>184</v>
      </c>
      <c r="AC22" s="69">
        <v>1037378</v>
      </c>
      <c r="AD22" s="69">
        <v>0</v>
      </c>
      <c r="AE22" s="66" t="s">
        <v>237</v>
      </c>
      <c r="AF22" s="66" t="s">
        <v>238</v>
      </c>
      <c r="AG22" s="66" t="s">
        <v>464</v>
      </c>
      <c r="AH22" s="66" t="s">
        <v>465</v>
      </c>
      <c r="AI22" s="66"/>
      <c r="AJ22" s="66" t="s">
        <v>484</v>
      </c>
      <c r="AK22" s="78" t="s">
        <v>42</v>
      </c>
    </row>
    <row r="23" spans="1:37" x14ac:dyDescent="0.25">
      <c r="A23" s="66" t="s">
        <v>179</v>
      </c>
      <c r="B23" s="66">
        <v>138700</v>
      </c>
      <c r="C23" s="67">
        <v>45953.453298611108</v>
      </c>
      <c r="D23" s="77">
        <v>2025</v>
      </c>
      <c r="E23" s="77">
        <v>10</v>
      </c>
      <c r="F23" s="66">
        <v>901541137</v>
      </c>
      <c r="G23" s="66"/>
      <c r="H23" s="66" t="s">
        <v>184</v>
      </c>
      <c r="I23" s="69">
        <v>24557345</v>
      </c>
      <c r="J23" s="66" t="s">
        <v>461</v>
      </c>
      <c r="K23" s="66"/>
      <c r="L23" s="66"/>
      <c r="M23" s="66"/>
      <c r="N23" s="66"/>
      <c r="O23" s="66"/>
      <c r="P23" s="66" t="s">
        <v>56</v>
      </c>
      <c r="Q23" s="68" t="str">
        <f t="shared" si="0"/>
        <v>HUS0000412682CL01011358494</v>
      </c>
      <c r="R23" s="66" t="s">
        <v>462</v>
      </c>
      <c r="S23" s="66" t="s">
        <v>463</v>
      </c>
      <c r="T23" s="66"/>
      <c r="U23" s="66" t="s">
        <v>182</v>
      </c>
      <c r="V23" s="69">
        <v>25481600</v>
      </c>
      <c r="W23" s="67">
        <v>45896.345347222225</v>
      </c>
      <c r="X23" s="67">
        <v>45937</v>
      </c>
      <c r="Y23" s="66">
        <v>139521</v>
      </c>
      <c r="Z23" s="67">
        <v>45937</v>
      </c>
      <c r="AA23" s="66">
        <v>901541137</v>
      </c>
      <c r="AB23" s="66" t="s">
        <v>184</v>
      </c>
      <c r="AC23" s="69">
        <v>1358494</v>
      </c>
      <c r="AD23" s="69">
        <v>0</v>
      </c>
      <c r="AE23" s="66" t="s">
        <v>194</v>
      </c>
      <c r="AF23" s="66" t="s">
        <v>195</v>
      </c>
      <c r="AG23" s="66" t="s">
        <v>464</v>
      </c>
      <c r="AH23" s="66" t="s">
        <v>465</v>
      </c>
      <c r="AI23" s="66"/>
      <c r="AJ23" s="66" t="s">
        <v>485</v>
      </c>
      <c r="AK23" s="78" t="s">
        <v>42</v>
      </c>
    </row>
    <row r="24" spans="1:37" x14ac:dyDescent="0.25">
      <c r="A24" s="66" t="s">
        <v>179</v>
      </c>
      <c r="B24" s="66">
        <v>138700</v>
      </c>
      <c r="C24" s="67">
        <v>45953.453298611108</v>
      </c>
      <c r="D24" s="77">
        <v>2025</v>
      </c>
      <c r="E24" s="77">
        <v>10</v>
      </c>
      <c r="F24" s="66">
        <v>901541137</v>
      </c>
      <c r="G24" s="66"/>
      <c r="H24" s="66" t="s">
        <v>184</v>
      </c>
      <c r="I24" s="69">
        <v>24557345</v>
      </c>
      <c r="J24" s="66" t="s">
        <v>461</v>
      </c>
      <c r="K24" s="66"/>
      <c r="L24" s="66"/>
      <c r="M24" s="66"/>
      <c r="N24" s="66"/>
      <c r="O24" s="66"/>
      <c r="P24" s="66" t="s">
        <v>56</v>
      </c>
      <c r="Q24" s="68" t="str">
        <f t="shared" si="0"/>
        <v>HUS0000412682CL0801924255</v>
      </c>
      <c r="R24" s="66" t="s">
        <v>462</v>
      </c>
      <c r="S24" s="66" t="s">
        <v>463</v>
      </c>
      <c r="T24" s="66"/>
      <c r="U24" s="66" t="s">
        <v>182</v>
      </c>
      <c r="V24" s="69">
        <v>25481600</v>
      </c>
      <c r="W24" s="67">
        <v>45896.345347222225</v>
      </c>
      <c r="X24" s="67">
        <v>45937</v>
      </c>
      <c r="Y24" s="66">
        <v>139521</v>
      </c>
      <c r="Z24" s="67">
        <v>45937</v>
      </c>
      <c r="AA24" s="66">
        <v>901541137</v>
      </c>
      <c r="AB24" s="66" t="s">
        <v>184</v>
      </c>
      <c r="AC24" s="69">
        <v>924255</v>
      </c>
      <c r="AD24" s="69">
        <v>924255</v>
      </c>
      <c r="AE24" s="66" t="s">
        <v>241</v>
      </c>
      <c r="AF24" s="66" t="s">
        <v>242</v>
      </c>
      <c r="AG24" s="66" t="s">
        <v>486</v>
      </c>
      <c r="AH24" s="66" t="s">
        <v>487</v>
      </c>
      <c r="AI24" s="66"/>
      <c r="AJ24" s="66" t="s">
        <v>488</v>
      </c>
      <c r="AK24" s="78" t="s">
        <v>42</v>
      </c>
    </row>
    <row r="25" spans="1:37" x14ac:dyDescent="0.25">
      <c r="A25" s="66" t="s">
        <v>179</v>
      </c>
      <c r="B25" s="66">
        <v>138724</v>
      </c>
      <c r="C25" s="67">
        <v>45953.494664351849</v>
      </c>
      <c r="D25" s="77">
        <v>2025</v>
      </c>
      <c r="E25" s="77">
        <v>10</v>
      </c>
      <c r="F25" s="66">
        <v>901541137</v>
      </c>
      <c r="G25" s="66"/>
      <c r="H25" s="66" t="s">
        <v>184</v>
      </c>
      <c r="I25" s="69">
        <v>11020458</v>
      </c>
      <c r="J25" s="66" t="s">
        <v>461</v>
      </c>
      <c r="K25" s="66"/>
      <c r="L25" s="66"/>
      <c r="M25" s="66"/>
      <c r="N25" s="66"/>
      <c r="O25" s="66"/>
      <c r="P25" s="66" t="s">
        <v>51</v>
      </c>
      <c r="Q25" s="68" t="str">
        <f t="shared" si="0"/>
        <v>HUS0000416746CL0201153976</v>
      </c>
      <c r="R25" s="66" t="s">
        <v>467</v>
      </c>
      <c r="S25" s="66" t="s">
        <v>468</v>
      </c>
      <c r="T25" s="66"/>
      <c r="U25" s="66" t="s">
        <v>182</v>
      </c>
      <c r="V25" s="69">
        <v>11020458</v>
      </c>
      <c r="W25" s="67">
        <v>45907.512858796297</v>
      </c>
      <c r="X25" s="67">
        <v>45938</v>
      </c>
      <c r="Y25" s="66">
        <v>139823</v>
      </c>
      <c r="Z25" s="67">
        <v>45938.428703703707</v>
      </c>
      <c r="AA25" s="66">
        <v>901541137</v>
      </c>
      <c r="AB25" s="66" t="s">
        <v>184</v>
      </c>
      <c r="AC25" s="69">
        <v>153976</v>
      </c>
      <c r="AD25" s="69">
        <v>0</v>
      </c>
      <c r="AE25" s="66" t="s">
        <v>198</v>
      </c>
      <c r="AF25" s="66" t="s">
        <v>199</v>
      </c>
      <c r="AG25" s="66" t="s">
        <v>464</v>
      </c>
      <c r="AH25" s="66" t="s">
        <v>465</v>
      </c>
      <c r="AI25" s="66"/>
      <c r="AJ25" s="66" t="s">
        <v>489</v>
      </c>
      <c r="AK25" s="78" t="s">
        <v>42</v>
      </c>
    </row>
    <row r="26" spans="1:37" x14ac:dyDescent="0.25">
      <c r="A26" s="66" t="s">
        <v>179</v>
      </c>
      <c r="B26" s="66">
        <v>138724</v>
      </c>
      <c r="C26" s="67">
        <v>45953.494664351849</v>
      </c>
      <c r="D26" s="77">
        <v>2025</v>
      </c>
      <c r="E26" s="77">
        <v>10</v>
      </c>
      <c r="F26" s="66">
        <v>901541137</v>
      </c>
      <c r="G26" s="66"/>
      <c r="H26" s="66" t="s">
        <v>184</v>
      </c>
      <c r="I26" s="69">
        <v>11020458</v>
      </c>
      <c r="J26" s="66" t="s">
        <v>461</v>
      </c>
      <c r="K26" s="66"/>
      <c r="L26" s="66"/>
      <c r="M26" s="66"/>
      <c r="N26" s="66"/>
      <c r="O26" s="66"/>
      <c r="P26" s="66" t="s">
        <v>51</v>
      </c>
      <c r="Q26" s="68" t="str">
        <f t="shared" si="0"/>
        <v>HUS0000416746TA0801262296</v>
      </c>
      <c r="R26" s="66" t="s">
        <v>467</v>
      </c>
      <c r="S26" s="66" t="s">
        <v>468</v>
      </c>
      <c r="T26" s="66"/>
      <c r="U26" s="66" t="s">
        <v>182</v>
      </c>
      <c r="V26" s="69">
        <v>11020458</v>
      </c>
      <c r="W26" s="67">
        <v>45907.512858796297</v>
      </c>
      <c r="X26" s="67">
        <v>45938</v>
      </c>
      <c r="Y26" s="66">
        <v>139823</v>
      </c>
      <c r="Z26" s="67">
        <v>45938.428703703707</v>
      </c>
      <c r="AA26" s="66">
        <v>901541137</v>
      </c>
      <c r="AB26" s="66" t="s">
        <v>184</v>
      </c>
      <c r="AC26" s="69">
        <v>262296</v>
      </c>
      <c r="AD26" s="69">
        <v>0</v>
      </c>
      <c r="AE26" s="66" t="s">
        <v>212</v>
      </c>
      <c r="AF26" s="66" t="s">
        <v>213</v>
      </c>
      <c r="AG26" s="66" t="s">
        <v>464</v>
      </c>
      <c r="AH26" s="66" t="s">
        <v>465</v>
      </c>
      <c r="AI26" s="66"/>
      <c r="AJ26" s="66" t="s">
        <v>490</v>
      </c>
      <c r="AK26" s="78" t="s">
        <v>42</v>
      </c>
    </row>
    <row r="27" spans="1:37" x14ac:dyDescent="0.25">
      <c r="A27" s="66" t="s">
        <v>179</v>
      </c>
      <c r="B27" s="66">
        <v>138724</v>
      </c>
      <c r="C27" s="67">
        <v>45953.494664351849</v>
      </c>
      <c r="D27" s="77">
        <v>2025</v>
      </c>
      <c r="E27" s="77">
        <v>10</v>
      </c>
      <c r="F27" s="66">
        <v>901541137</v>
      </c>
      <c r="G27" s="66"/>
      <c r="H27" s="66" t="s">
        <v>184</v>
      </c>
      <c r="I27" s="69">
        <v>11020458</v>
      </c>
      <c r="J27" s="66" t="s">
        <v>461</v>
      </c>
      <c r="K27" s="66"/>
      <c r="L27" s="66"/>
      <c r="M27" s="66"/>
      <c r="N27" s="66"/>
      <c r="O27" s="66"/>
      <c r="P27" s="66" t="s">
        <v>51</v>
      </c>
      <c r="Q27" s="68" t="str">
        <f t="shared" si="0"/>
        <v>HUS0000416746TA0101468960</v>
      </c>
      <c r="R27" s="66" t="s">
        <v>467</v>
      </c>
      <c r="S27" s="66" t="s">
        <v>468</v>
      </c>
      <c r="T27" s="66"/>
      <c r="U27" s="66" t="s">
        <v>182</v>
      </c>
      <c r="V27" s="69">
        <v>11020458</v>
      </c>
      <c r="W27" s="67">
        <v>45907.512858796297</v>
      </c>
      <c r="X27" s="67">
        <v>45938</v>
      </c>
      <c r="Y27" s="66">
        <v>139823</v>
      </c>
      <c r="Z27" s="67">
        <v>45938.428703703707</v>
      </c>
      <c r="AA27" s="66">
        <v>901541137</v>
      </c>
      <c r="AB27" s="66" t="s">
        <v>184</v>
      </c>
      <c r="AC27" s="69">
        <v>468960</v>
      </c>
      <c r="AD27" s="69">
        <v>0</v>
      </c>
      <c r="AE27" s="66" t="s">
        <v>208</v>
      </c>
      <c r="AF27" s="66" t="s">
        <v>209</v>
      </c>
      <c r="AG27" s="66" t="s">
        <v>464</v>
      </c>
      <c r="AH27" s="66" t="s">
        <v>465</v>
      </c>
      <c r="AI27" s="66"/>
      <c r="AJ27" s="66" t="s">
        <v>490</v>
      </c>
      <c r="AK27" s="78" t="s">
        <v>42</v>
      </c>
    </row>
    <row r="28" spans="1:37" x14ac:dyDescent="0.25">
      <c r="A28" s="66" t="s">
        <v>179</v>
      </c>
      <c r="B28" s="66">
        <v>138742</v>
      </c>
      <c r="C28" s="67">
        <v>45953.555127314816</v>
      </c>
      <c r="D28" s="77">
        <v>2025</v>
      </c>
      <c r="E28" s="77">
        <v>10</v>
      </c>
      <c r="F28" s="66">
        <v>901541137</v>
      </c>
      <c r="G28" s="66"/>
      <c r="H28" s="66" t="s">
        <v>184</v>
      </c>
      <c r="I28" s="69">
        <v>6913001</v>
      </c>
      <c r="J28" s="66" t="s">
        <v>461</v>
      </c>
      <c r="K28" s="66"/>
      <c r="L28" s="66"/>
      <c r="M28" s="66"/>
      <c r="N28" s="66"/>
      <c r="O28" s="66"/>
      <c r="P28" s="66" t="s">
        <v>49</v>
      </c>
      <c r="Q28" s="68" t="str">
        <f t="shared" si="0"/>
        <v>HUS0000415897TA5801116242</v>
      </c>
      <c r="R28" s="66" t="s">
        <v>467</v>
      </c>
      <c r="S28" s="66" t="s">
        <v>468</v>
      </c>
      <c r="T28" s="66"/>
      <c r="U28" s="66" t="s">
        <v>182</v>
      </c>
      <c r="V28" s="69">
        <v>6913001</v>
      </c>
      <c r="W28" s="67">
        <v>45904.560763888891</v>
      </c>
      <c r="X28" s="67">
        <v>45931</v>
      </c>
      <c r="Y28" s="66">
        <v>138922</v>
      </c>
      <c r="Z28" s="67">
        <v>45936.684629629628</v>
      </c>
      <c r="AA28" s="66">
        <v>901541137</v>
      </c>
      <c r="AB28" s="66" t="s">
        <v>184</v>
      </c>
      <c r="AC28" s="69">
        <v>116242</v>
      </c>
      <c r="AD28" s="69">
        <v>0</v>
      </c>
      <c r="AE28" s="66" t="s">
        <v>201</v>
      </c>
      <c r="AF28" s="66" t="s">
        <v>202</v>
      </c>
      <c r="AG28" s="66" t="s">
        <v>464</v>
      </c>
      <c r="AH28" s="66" t="s">
        <v>465</v>
      </c>
      <c r="AI28" s="66"/>
      <c r="AJ28" s="66" t="s">
        <v>491</v>
      </c>
      <c r="AK28" s="78" t="s">
        <v>42</v>
      </c>
    </row>
    <row r="29" spans="1:37" x14ac:dyDescent="0.25">
      <c r="A29" s="66" t="s">
        <v>179</v>
      </c>
      <c r="B29" s="66">
        <v>139486</v>
      </c>
      <c r="C29" s="67">
        <v>45957.681747685187</v>
      </c>
      <c r="D29" s="77">
        <v>2025</v>
      </c>
      <c r="E29" s="77">
        <v>10</v>
      </c>
      <c r="F29" s="66">
        <v>901541137</v>
      </c>
      <c r="G29" s="66"/>
      <c r="H29" s="66" t="s">
        <v>184</v>
      </c>
      <c r="I29" s="69">
        <v>11426409</v>
      </c>
      <c r="J29" s="66" t="s">
        <v>461</v>
      </c>
      <c r="K29" s="66"/>
      <c r="L29" s="66"/>
      <c r="M29" s="66"/>
      <c r="N29" s="66"/>
      <c r="O29" s="66"/>
      <c r="P29" s="66" t="s">
        <v>55</v>
      </c>
      <c r="Q29" s="68" t="str">
        <f t="shared" si="0"/>
        <v>HUS0000414642SO61011776240</v>
      </c>
      <c r="R29" s="66" t="s">
        <v>467</v>
      </c>
      <c r="S29" s="66" t="s">
        <v>468</v>
      </c>
      <c r="T29" s="66"/>
      <c r="U29" s="66" t="s">
        <v>182</v>
      </c>
      <c r="V29" s="69">
        <v>11426409</v>
      </c>
      <c r="W29" s="67">
        <v>45901.451539351852</v>
      </c>
      <c r="X29" s="67">
        <v>45933</v>
      </c>
      <c r="Y29" s="66">
        <v>139407</v>
      </c>
      <c r="Z29" s="67">
        <v>45933.443043981482</v>
      </c>
      <c r="AA29" s="66">
        <v>901541137</v>
      </c>
      <c r="AB29" s="66" t="s">
        <v>184</v>
      </c>
      <c r="AC29" s="69">
        <v>1776240</v>
      </c>
      <c r="AD29" s="69">
        <v>0</v>
      </c>
      <c r="AE29" s="66" t="s">
        <v>221</v>
      </c>
      <c r="AF29" s="66" t="s">
        <v>222</v>
      </c>
      <c r="AG29" s="66" t="s">
        <v>464</v>
      </c>
      <c r="AH29" s="66" t="s">
        <v>465</v>
      </c>
      <c r="AI29" s="66"/>
      <c r="AJ29" s="66" t="s">
        <v>492</v>
      </c>
      <c r="AK29" s="78" t="s">
        <v>42</v>
      </c>
    </row>
    <row r="30" spans="1:37" x14ac:dyDescent="0.25">
      <c r="A30" s="66" t="s">
        <v>179</v>
      </c>
      <c r="B30" s="66">
        <v>139511</v>
      </c>
      <c r="C30" s="67">
        <v>45958.301747685182</v>
      </c>
      <c r="D30" s="77">
        <v>2025</v>
      </c>
      <c r="E30" s="77">
        <v>10</v>
      </c>
      <c r="F30" s="66">
        <v>901541137</v>
      </c>
      <c r="G30" s="66"/>
      <c r="H30" s="66" t="s">
        <v>184</v>
      </c>
      <c r="I30" s="69">
        <v>11817412</v>
      </c>
      <c r="J30" s="66" t="s">
        <v>461</v>
      </c>
      <c r="K30" s="66"/>
      <c r="L30" s="66"/>
      <c r="M30" s="66"/>
      <c r="N30" s="66"/>
      <c r="O30" s="66"/>
      <c r="P30" s="66" t="s">
        <v>53</v>
      </c>
      <c r="Q30" s="68" t="str">
        <f t="shared" si="0"/>
        <v>HUS0000412903FA01011077827</v>
      </c>
      <c r="R30" s="66" t="s">
        <v>462</v>
      </c>
      <c r="S30" s="66" t="s">
        <v>463</v>
      </c>
      <c r="T30" s="66"/>
      <c r="U30" s="66" t="s">
        <v>182</v>
      </c>
      <c r="V30" s="69">
        <v>11817412</v>
      </c>
      <c r="W30" s="67">
        <v>45896.564803240741</v>
      </c>
      <c r="X30" s="67">
        <v>45936</v>
      </c>
      <c r="Y30" s="66">
        <v>139428</v>
      </c>
      <c r="Z30" s="67">
        <v>45936.477662037039</v>
      </c>
      <c r="AA30" s="66">
        <v>901541137</v>
      </c>
      <c r="AB30" s="66" t="s">
        <v>184</v>
      </c>
      <c r="AC30" s="69">
        <v>1077827</v>
      </c>
      <c r="AD30" s="69">
        <v>0</v>
      </c>
      <c r="AE30" s="66" t="s">
        <v>190</v>
      </c>
      <c r="AF30" s="66" t="s">
        <v>191</v>
      </c>
      <c r="AG30" s="66" t="s">
        <v>464</v>
      </c>
      <c r="AH30" s="66" t="s">
        <v>465</v>
      </c>
      <c r="AI30" s="66"/>
      <c r="AJ30" s="66" t="s">
        <v>493</v>
      </c>
      <c r="AK30" s="78" t="s">
        <v>42</v>
      </c>
    </row>
    <row r="31" spans="1:37" x14ac:dyDescent="0.25">
      <c r="A31" s="66" t="s">
        <v>179</v>
      </c>
      <c r="B31" s="66">
        <v>139519</v>
      </c>
      <c r="C31" s="67">
        <v>45958.30809027778</v>
      </c>
      <c r="D31" s="77">
        <v>2025</v>
      </c>
      <c r="E31" s="77">
        <v>10</v>
      </c>
      <c r="F31" s="66">
        <v>901541137</v>
      </c>
      <c r="G31" s="66"/>
      <c r="H31" s="66" t="s">
        <v>184</v>
      </c>
      <c r="I31" s="69">
        <v>106697</v>
      </c>
      <c r="J31" s="66" t="s">
        <v>461</v>
      </c>
      <c r="K31" s="66"/>
      <c r="L31" s="66"/>
      <c r="M31" s="66"/>
      <c r="N31" s="66"/>
      <c r="O31" s="66"/>
      <c r="P31" s="66" t="s">
        <v>61</v>
      </c>
      <c r="Q31" s="68" t="str">
        <f t="shared" si="0"/>
        <v>HUS0000419699TA020131297</v>
      </c>
      <c r="R31" s="66" t="s">
        <v>467</v>
      </c>
      <c r="S31" s="66" t="s">
        <v>468</v>
      </c>
      <c r="T31" s="66"/>
      <c r="U31" s="66" t="s">
        <v>182</v>
      </c>
      <c r="V31" s="69">
        <v>106697</v>
      </c>
      <c r="W31" s="67">
        <v>45915.691701388889</v>
      </c>
      <c r="X31" s="67">
        <v>45936</v>
      </c>
      <c r="Y31" s="66">
        <v>139436</v>
      </c>
      <c r="Z31" s="67">
        <v>45936.480613425927</v>
      </c>
      <c r="AA31" s="66">
        <v>901541137</v>
      </c>
      <c r="AB31" s="66" t="s">
        <v>184</v>
      </c>
      <c r="AC31" s="69">
        <v>31297</v>
      </c>
      <c r="AD31" s="69">
        <v>0</v>
      </c>
      <c r="AE31" s="66" t="s">
        <v>185</v>
      </c>
      <c r="AF31" s="66" t="s">
        <v>186</v>
      </c>
      <c r="AG31" s="66" t="s">
        <v>464</v>
      </c>
      <c r="AH31" s="66" t="s">
        <v>465</v>
      </c>
      <c r="AI31" s="66"/>
      <c r="AJ31" s="66" t="s">
        <v>494</v>
      </c>
      <c r="AK31" s="78" t="s">
        <v>42</v>
      </c>
    </row>
    <row r="32" spans="1:37" x14ac:dyDescent="0.25">
      <c r="A32" s="66" t="s">
        <v>179</v>
      </c>
      <c r="B32" s="66">
        <v>139533</v>
      </c>
      <c r="C32" s="67">
        <v>45958.574444444443</v>
      </c>
      <c r="D32" s="77">
        <v>2025</v>
      </c>
      <c r="E32" s="77">
        <v>10</v>
      </c>
      <c r="F32" s="66">
        <v>901541137</v>
      </c>
      <c r="G32" s="66"/>
      <c r="H32" s="66" t="s">
        <v>184</v>
      </c>
      <c r="I32" s="69">
        <v>4994737</v>
      </c>
      <c r="J32" s="66" t="s">
        <v>461</v>
      </c>
      <c r="K32" s="66"/>
      <c r="L32" s="66"/>
      <c r="M32" s="66"/>
      <c r="N32" s="66"/>
      <c r="O32" s="66"/>
      <c r="P32" s="66" t="s">
        <v>45</v>
      </c>
      <c r="Q32" s="68" t="str">
        <f t="shared" si="0"/>
        <v>HUS0000415591SO0801164858</v>
      </c>
      <c r="R32" s="66" t="s">
        <v>467</v>
      </c>
      <c r="S32" s="66" t="s">
        <v>468</v>
      </c>
      <c r="T32" s="66"/>
      <c r="U32" s="66" t="s">
        <v>182</v>
      </c>
      <c r="V32" s="69">
        <v>4994737</v>
      </c>
      <c r="W32" s="67">
        <v>45903.647418981483</v>
      </c>
      <c r="X32" s="67">
        <v>45938</v>
      </c>
      <c r="Y32" s="66">
        <v>139581</v>
      </c>
      <c r="Z32" s="67">
        <v>45945.689131944448</v>
      </c>
      <c r="AA32" s="66">
        <v>901541137</v>
      </c>
      <c r="AB32" s="66" t="s">
        <v>184</v>
      </c>
      <c r="AC32" s="69">
        <v>164858</v>
      </c>
      <c r="AD32" s="69">
        <v>0</v>
      </c>
      <c r="AE32" s="66" t="s">
        <v>237</v>
      </c>
      <c r="AF32" s="66" t="s">
        <v>238</v>
      </c>
      <c r="AG32" s="66" t="s">
        <v>464</v>
      </c>
      <c r="AH32" s="66" t="s">
        <v>465</v>
      </c>
      <c r="AI32" s="66"/>
      <c r="AJ32" s="66" t="s">
        <v>495</v>
      </c>
      <c r="AK32" s="78" t="s">
        <v>42</v>
      </c>
    </row>
    <row r="33" spans="1:37" x14ac:dyDescent="0.25">
      <c r="A33" s="66" t="s">
        <v>179</v>
      </c>
      <c r="B33" s="66">
        <v>139533</v>
      </c>
      <c r="C33" s="67">
        <v>45958.574444444443</v>
      </c>
      <c r="D33" s="77">
        <v>2025</v>
      </c>
      <c r="E33" s="77">
        <v>10</v>
      </c>
      <c r="F33" s="66">
        <v>901541137</v>
      </c>
      <c r="G33" s="66"/>
      <c r="H33" s="66" t="s">
        <v>184</v>
      </c>
      <c r="I33" s="69">
        <v>4994737</v>
      </c>
      <c r="J33" s="66" t="s">
        <v>461</v>
      </c>
      <c r="K33" s="66"/>
      <c r="L33" s="66"/>
      <c r="M33" s="66"/>
      <c r="N33" s="66"/>
      <c r="O33" s="66"/>
      <c r="P33" s="66" t="s">
        <v>45</v>
      </c>
      <c r="Q33" s="68" t="str">
        <f t="shared" si="0"/>
        <v>HUS0000415591CL0801129388</v>
      </c>
      <c r="R33" s="66" t="s">
        <v>467</v>
      </c>
      <c r="S33" s="66" t="s">
        <v>468</v>
      </c>
      <c r="T33" s="66"/>
      <c r="U33" s="66" t="s">
        <v>182</v>
      </c>
      <c r="V33" s="69">
        <v>4994737</v>
      </c>
      <c r="W33" s="67">
        <v>45903.647418981483</v>
      </c>
      <c r="X33" s="67">
        <v>45938</v>
      </c>
      <c r="Y33" s="66">
        <v>139581</v>
      </c>
      <c r="Z33" s="67">
        <v>45945.689131944448</v>
      </c>
      <c r="AA33" s="66">
        <v>901541137</v>
      </c>
      <c r="AB33" s="66" t="s">
        <v>184</v>
      </c>
      <c r="AC33" s="69">
        <v>129388</v>
      </c>
      <c r="AD33" s="69">
        <v>0</v>
      </c>
      <c r="AE33" s="66" t="s">
        <v>241</v>
      </c>
      <c r="AF33" s="66" t="s">
        <v>242</v>
      </c>
      <c r="AG33" s="66" t="s">
        <v>464</v>
      </c>
      <c r="AH33" s="66" t="s">
        <v>465</v>
      </c>
      <c r="AI33" s="66"/>
      <c r="AJ33" s="66" t="s">
        <v>496</v>
      </c>
      <c r="AK33" s="78" t="s">
        <v>42</v>
      </c>
    </row>
    <row r="34" spans="1:37" x14ac:dyDescent="0.25">
      <c r="A34" s="66" t="s">
        <v>179</v>
      </c>
      <c r="B34" s="66">
        <v>140369</v>
      </c>
      <c r="C34" s="67">
        <v>45959.372789351852</v>
      </c>
      <c r="D34" s="77">
        <v>2025</v>
      </c>
      <c r="E34" s="77">
        <v>10</v>
      </c>
      <c r="F34" s="66">
        <v>901541137</v>
      </c>
      <c r="G34" s="66"/>
      <c r="H34" s="66" t="s">
        <v>184</v>
      </c>
      <c r="I34" s="69">
        <v>20880710</v>
      </c>
      <c r="J34" s="66" t="s">
        <v>461</v>
      </c>
      <c r="K34" s="66"/>
      <c r="L34" s="66"/>
      <c r="M34" s="66"/>
      <c r="N34" s="66"/>
      <c r="O34" s="66"/>
      <c r="P34" s="66" t="s">
        <v>50</v>
      </c>
      <c r="Q34" s="68" t="str">
        <f t="shared" si="0"/>
        <v>HUS0000416671SO0201660000</v>
      </c>
      <c r="R34" s="66" t="s">
        <v>467</v>
      </c>
      <c r="S34" s="66" t="s">
        <v>468</v>
      </c>
      <c r="T34" s="66"/>
      <c r="U34" s="66" t="s">
        <v>182</v>
      </c>
      <c r="V34" s="69">
        <v>20880710</v>
      </c>
      <c r="W34" s="67">
        <v>45907.349675925929</v>
      </c>
      <c r="X34" s="67">
        <v>45938</v>
      </c>
      <c r="Y34" s="66">
        <v>139822</v>
      </c>
      <c r="Z34" s="67">
        <v>45947.646111111113</v>
      </c>
      <c r="AA34" s="66">
        <v>901541137</v>
      </c>
      <c r="AB34" s="66" t="s">
        <v>184</v>
      </c>
      <c r="AC34" s="69">
        <v>660000</v>
      </c>
      <c r="AD34" s="69">
        <v>0</v>
      </c>
      <c r="AE34" s="66" t="s">
        <v>252</v>
      </c>
      <c r="AF34" s="66" t="s">
        <v>253</v>
      </c>
      <c r="AG34" s="66" t="s">
        <v>464</v>
      </c>
      <c r="AH34" s="66" t="s">
        <v>465</v>
      </c>
      <c r="AI34" s="66"/>
      <c r="AJ34" s="66" t="s">
        <v>497</v>
      </c>
      <c r="AK34" s="78" t="s">
        <v>42</v>
      </c>
    </row>
    <row r="35" spans="1:37" x14ac:dyDescent="0.25">
      <c r="A35" s="66" t="s">
        <v>179</v>
      </c>
      <c r="B35" s="66">
        <v>140369</v>
      </c>
      <c r="C35" s="67">
        <v>45959.372789351852</v>
      </c>
      <c r="D35" s="77">
        <v>2025</v>
      </c>
      <c r="E35" s="77">
        <v>10</v>
      </c>
      <c r="F35" s="66">
        <v>901541137</v>
      </c>
      <c r="G35" s="66"/>
      <c r="H35" s="66" t="s">
        <v>184</v>
      </c>
      <c r="I35" s="69">
        <v>20880710</v>
      </c>
      <c r="J35" s="66" t="s">
        <v>461</v>
      </c>
      <c r="K35" s="66"/>
      <c r="L35" s="66"/>
      <c r="M35" s="66"/>
      <c r="N35" s="66"/>
      <c r="O35" s="66"/>
      <c r="P35" s="66" t="s">
        <v>50</v>
      </c>
      <c r="Q35" s="68" t="str">
        <f t="shared" si="0"/>
        <v>HUS0000416671TA08012213956</v>
      </c>
      <c r="R35" s="66" t="s">
        <v>467</v>
      </c>
      <c r="S35" s="66" t="s">
        <v>468</v>
      </c>
      <c r="T35" s="66"/>
      <c r="U35" s="66" t="s">
        <v>182</v>
      </c>
      <c r="V35" s="69">
        <v>20880710</v>
      </c>
      <c r="W35" s="67">
        <v>45907.349675925929</v>
      </c>
      <c r="X35" s="67">
        <v>45938</v>
      </c>
      <c r="Y35" s="66">
        <v>139822</v>
      </c>
      <c r="Z35" s="67">
        <v>45947.646111111113</v>
      </c>
      <c r="AA35" s="66">
        <v>901541137</v>
      </c>
      <c r="AB35" s="66" t="s">
        <v>184</v>
      </c>
      <c r="AC35" s="69">
        <v>2213956</v>
      </c>
      <c r="AD35" s="69">
        <v>0</v>
      </c>
      <c r="AE35" s="66" t="s">
        <v>212</v>
      </c>
      <c r="AF35" s="66" t="s">
        <v>213</v>
      </c>
      <c r="AG35" s="66" t="s">
        <v>464</v>
      </c>
      <c r="AH35" s="66" t="s">
        <v>465</v>
      </c>
      <c r="AI35" s="66"/>
      <c r="AJ35" s="66" t="s">
        <v>490</v>
      </c>
      <c r="AK35" s="78" t="s">
        <v>42</v>
      </c>
    </row>
    <row r="36" spans="1:37" x14ac:dyDescent="0.25">
      <c r="A36" s="66" t="s">
        <v>179</v>
      </c>
      <c r="B36" s="66">
        <v>140369</v>
      </c>
      <c r="C36" s="67">
        <v>45959.372789351852</v>
      </c>
      <c r="D36" s="77">
        <v>2025</v>
      </c>
      <c r="E36" s="77">
        <v>10</v>
      </c>
      <c r="F36" s="66">
        <v>901541137</v>
      </c>
      <c r="G36" s="66"/>
      <c r="H36" s="66" t="s">
        <v>184</v>
      </c>
      <c r="I36" s="69">
        <v>20880710</v>
      </c>
      <c r="J36" s="66" t="s">
        <v>461</v>
      </c>
      <c r="K36" s="66"/>
      <c r="L36" s="66"/>
      <c r="M36" s="66"/>
      <c r="N36" s="66"/>
      <c r="O36" s="66"/>
      <c r="P36" s="66" t="s">
        <v>50</v>
      </c>
      <c r="Q36" s="68" t="str">
        <f t="shared" si="0"/>
        <v>HUS0000416671TA0101708040</v>
      </c>
      <c r="R36" s="66" t="s">
        <v>467</v>
      </c>
      <c r="S36" s="66" t="s">
        <v>468</v>
      </c>
      <c r="T36" s="66"/>
      <c r="U36" s="66" t="s">
        <v>182</v>
      </c>
      <c r="V36" s="69">
        <v>20880710</v>
      </c>
      <c r="W36" s="67">
        <v>45907.349675925929</v>
      </c>
      <c r="X36" s="67">
        <v>45938</v>
      </c>
      <c r="Y36" s="66">
        <v>139822</v>
      </c>
      <c r="Z36" s="67">
        <v>45947.646111111113</v>
      </c>
      <c r="AA36" s="66">
        <v>901541137</v>
      </c>
      <c r="AB36" s="66" t="s">
        <v>184</v>
      </c>
      <c r="AC36" s="69">
        <v>708040</v>
      </c>
      <c r="AD36" s="69">
        <v>0</v>
      </c>
      <c r="AE36" s="66" t="s">
        <v>208</v>
      </c>
      <c r="AF36" s="66" t="s">
        <v>209</v>
      </c>
      <c r="AG36" s="66" t="s">
        <v>464</v>
      </c>
      <c r="AH36" s="66" t="s">
        <v>465</v>
      </c>
      <c r="AI36" s="66"/>
      <c r="AJ36" s="66" t="s">
        <v>490</v>
      </c>
      <c r="AK36" s="78" t="s">
        <v>42</v>
      </c>
    </row>
    <row r="37" spans="1:37" x14ac:dyDescent="0.25">
      <c r="A37" s="66" t="s">
        <v>179</v>
      </c>
      <c r="B37" s="66">
        <v>140369</v>
      </c>
      <c r="C37" s="67">
        <v>45959.372789351852</v>
      </c>
      <c r="D37" s="77">
        <v>2025</v>
      </c>
      <c r="E37" s="77">
        <v>10</v>
      </c>
      <c r="F37" s="66">
        <v>901541137</v>
      </c>
      <c r="G37" s="66"/>
      <c r="H37" s="66" t="s">
        <v>184</v>
      </c>
      <c r="I37" s="69">
        <v>20880710</v>
      </c>
      <c r="J37" s="66" t="s">
        <v>461</v>
      </c>
      <c r="K37" s="66"/>
      <c r="L37" s="66"/>
      <c r="M37" s="66"/>
      <c r="N37" s="66"/>
      <c r="O37" s="66"/>
      <c r="P37" s="66" t="s">
        <v>50</v>
      </c>
      <c r="Q37" s="68" t="str">
        <f t="shared" si="0"/>
        <v>HUS0000416671CL0201713851</v>
      </c>
      <c r="R37" s="66" t="s">
        <v>467</v>
      </c>
      <c r="S37" s="66" t="s">
        <v>468</v>
      </c>
      <c r="T37" s="66"/>
      <c r="U37" s="66" t="s">
        <v>182</v>
      </c>
      <c r="V37" s="69">
        <v>20880710</v>
      </c>
      <c r="W37" s="67">
        <v>45907.349675925929</v>
      </c>
      <c r="X37" s="67">
        <v>45938</v>
      </c>
      <c r="Y37" s="66">
        <v>139822</v>
      </c>
      <c r="Z37" s="67">
        <v>45947.646111111113</v>
      </c>
      <c r="AA37" s="66">
        <v>901541137</v>
      </c>
      <c r="AB37" s="66" t="s">
        <v>184</v>
      </c>
      <c r="AC37" s="69">
        <v>713851</v>
      </c>
      <c r="AD37" s="69">
        <v>0</v>
      </c>
      <c r="AE37" s="66" t="s">
        <v>198</v>
      </c>
      <c r="AF37" s="66" t="s">
        <v>199</v>
      </c>
      <c r="AG37" s="66" t="s">
        <v>464</v>
      </c>
      <c r="AH37" s="66" t="s">
        <v>465</v>
      </c>
      <c r="AI37" s="66"/>
      <c r="AJ37" s="66" t="s">
        <v>498</v>
      </c>
      <c r="AK37" s="78" t="s">
        <v>42</v>
      </c>
    </row>
    <row r="38" spans="1:37" x14ac:dyDescent="0.25">
      <c r="A38" s="66" t="s">
        <v>179</v>
      </c>
      <c r="B38" s="66">
        <v>140371</v>
      </c>
      <c r="C38" s="67">
        <v>45959.389351851853</v>
      </c>
      <c r="D38" s="77">
        <v>2025</v>
      </c>
      <c r="E38" s="77">
        <v>10</v>
      </c>
      <c r="F38" s="66">
        <v>901541137</v>
      </c>
      <c r="G38" s="66"/>
      <c r="H38" s="66" t="s">
        <v>184</v>
      </c>
      <c r="I38" s="69">
        <v>20079205</v>
      </c>
      <c r="J38" s="66" t="s">
        <v>461</v>
      </c>
      <c r="K38" s="66"/>
      <c r="L38" s="66"/>
      <c r="M38" s="66"/>
      <c r="N38" s="66"/>
      <c r="O38" s="66"/>
      <c r="P38" s="66" t="s">
        <v>52</v>
      </c>
      <c r="Q38" s="68" t="str">
        <f t="shared" si="0"/>
        <v>HUS0000417269TA0801173545</v>
      </c>
      <c r="R38" s="66" t="s">
        <v>467</v>
      </c>
      <c r="S38" s="66" t="s">
        <v>468</v>
      </c>
      <c r="T38" s="66"/>
      <c r="U38" s="66" t="s">
        <v>182</v>
      </c>
      <c r="V38" s="69">
        <v>20079205</v>
      </c>
      <c r="W38" s="67">
        <v>45909.308125000003</v>
      </c>
      <c r="X38" s="67">
        <v>45938</v>
      </c>
      <c r="Y38" s="66">
        <v>139824</v>
      </c>
      <c r="Z38" s="67">
        <v>45938.430462962962</v>
      </c>
      <c r="AA38" s="66">
        <v>901541137</v>
      </c>
      <c r="AB38" s="66" t="s">
        <v>184</v>
      </c>
      <c r="AC38" s="69">
        <v>173545</v>
      </c>
      <c r="AD38" s="69">
        <v>0</v>
      </c>
      <c r="AE38" s="66" t="s">
        <v>212</v>
      </c>
      <c r="AF38" s="66" t="s">
        <v>213</v>
      </c>
      <c r="AG38" s="66" t="s">
        <v>464</v>
      </c>
      <c r="AH38" s="66" t="s">
        <v>465</v>
      </c>
      <c r="AI38" s="66"/>
      <c r="AJ38" s="66" t="s">
        <v>499</v>
      </c>
      <c r="AK38" s="78" t="s">
        <v>42</v>
      </c>
    </row>
    <row r="39" spans="1:37" x14ac:dyDescent="0.25">
      <c r="A39" s="66" t="s">
        <v>179</v>
      </c>
      <c r="B39" s="66">
        <v>140371</v>
      </c>
      <c r="C39" s="67">
        <v>45959.389351851853</v>
      </c>
      <c r="D39" s="77">
        <v>2025</v>
      </c>
      <c r="E39" s="77">
        <v>10</v>
      </c>
      <c r="F39" s="66">
        <v>901541137</v>
      </c>
      <c r="G39" s="66"/>
      <c r="H39" s="66" t="s">
        <v>184</v>
      </c>
      <c r="I39" s="69">
        <v>20079205</v>
      </c>
      <c r="J39" s="66" t="s">
        <v>461</v>
      </c>
      <c r="K39" s="66"/>
      <c r="L39" s="66"/>
      <c r="M39" s="66"/>
      <c r="N39" s="66"/>
      <c r="O39" s="66"/>
      <c r="P39" s="66" t="s">
        <v>52</v>
      </c>
      <c r="Q39" s="68" t="str">
        <f t="shared" si="0"/>
        <v>HUS0000417269TA0101650731</v>
      </c>
      <c r="R39" s="66" t="s">
        <v>467</v>
      </c>
      <c r="S39" s="66" t="s">
        <v>468</v>
      </c>
      <c r="T39" s="66"/>
      <c r="U39" s="66" t="s">
        <v>182</v>
      </c>
      <c r="V39" s="69">
        <v>20079205</v>
      </c>
      <c r="W39" s="67">
        <v>45909.308125000003</v>
      </c>
      <c r="X39" s="67">
        <v>45938</v>
      </c>
      <c r="Y39" s="66">
        <v>139824</v>
      </c>
      <c r="Z39" s="67">
        <v>45938.430462962962</v>
      </c>
      <c r="AA39" s="66">
        <v>901541137</v>
      </c>
      <c r="AB39" s="66" t="s">
        <v>184</v>
      </c>
      <c r="AC39" s="69">
        <v>650731</v>
      </c>
      <c r="AD39" s="69">
        <v>0</v>
      </c>
      <c r="AE39" s="66" t="s">
        <v>208</v>
      </c>
      <c r="AF39" s="66" t="s">
        <v>209</v>
      </c>
      <c r="AG39" s="66" t="s">
        <v>464</v>
      </c>
      <c r="AH39" s="66" t="s">
        <v>465</v>
      </c>
      <c r="AI39" s="66"/>
      <c r="AJ39" s="66" t="s">
        <v>499</v>
      </c>
      <c r="AK39" s="78" t="s">
        <v>42</v>
      </c>
    </row>
    <row r="40" spans="1:37" x14ac:dyDescent="0.25">
      <c r="A40" s="66" t="s">
        <v>179</v>
      </c>
      <c r="B40" s="66">
        <v>140372</v>
      </c>
      <c r="C40" s="67">
        <v>45959.392013888886</v>
      </c>
      <c r="D40" s="77">
        <v>2025</v>
      </c>
      <c r="E40" s="77">
        <v>10</v>
      </c>
      <c r="F40" s="66">
        <v>901541137</v>
      </c>
      <c r="G40" s="66"/>
      <c r="H40" s="66" t="s">
        <v>184</v>
      </c>
      <c r="I40" s="69">
        <v>6637772</v>
      </c>
      <c r="J40" s="66" t="s">
        <v>461</v>
      </c>
      <c r="K40" s="66"/>
      <c r="L40" s="66"/>
      <c r="M40" s="66"/>
      <c r="N40" s="66"/>
      <c r="O40" s="66"/>
      <c r="P40" s="66" t="s">
        <v>60</v>
      </c>
      <c r="Q40" s="68" t="str">
        <f t="shared" si="0"/>
        <v>HUS0000418147FA0303216048</v>
      </c>
      <c r="R40" s="66" t="s">
        <v>467</v>
      </c>
      <c r="S40" s="66" t="s">
        <v>468</v>
      </c>
      <c r="T40" s="66"/>
      <c r="U40" s="66" t="s">
        <v>182</v>
      </c>
      <c r="V40" s="69">
        <v>6637772</v>
      </c>
      <c r="W40" s="67">
        <v>45911.353946759256</v>
      </c>
      <c r="X40" s="67">
        <v>45938</v>
      </c>
      <c r="Y40" s="66">
        <v>139825</v>
      </c>
      <c r="Z40" s="67">
        <v>45938.432233796295</v>
      </c>
      <c r="AA40" s="66">
        <v>901541137</v>
      </c>
      <c r="AB40" s="66" t="s">
        <v>184</v>
      </c>
      <c r="AC40" s="69">
        <v>216048</v>
      </c>
      <c r="AD40" s="69">
        <v>0</v>
      </c>
      <c r="AE40" s="66" t="s">
        <v>260</v>
      </c>
      <c r="AF40" s="66" t="s">
        <v>261</v>
      </c>
      <c r="AG40" s="66" t="s">
        <v>464</v>
      </c>
      <c r="AH40" s="66" t="s">
        <v>465</v>
      </c>
      <c r="AI40" s="66"/>
      <c r="AJ40" s="66" t="s">
        <v>500</v>
      </c>
      <c r="AK40" s="78" t="s">
        <v>42</v>
      </c>
    </row>
    <row r="41" spans="1:37" x14ac:dyDescent="0.25">
      <c r="A41" s="66" t="s">
        <v>179</v>
      </c>
      <c r="B41" s="66">
        <v>140375</v>
      </c>
      <c r="C41" s="67">
        <v>45959.395300925928</v>
      </c>
      <c r="D41" s="77">
        <v>2025</v>
      </c>
      <c r="E41" s="77">
        <v>10</v>
      </c>
      <c r="F41" s="66">
        <v>901541137</v>
      </c>
      <c r="G41" s="66"/>
      <c r="H41" s="66" t="s">
        <v>184</v>
      </c>
      <c r="I41" s="69">
        <v>1514481</v>
      </c>
      <c r="J41" s="66" t="s">
        <v>461</v>
      </c>
      <c r="K41" s="66"/>
      <c r="L41" s="66"/>
      <c r="M41" s="66"/>
      <c r="N41" s="66"/>
      <c r="O41" s="66"/>
      <c r="P41" s="66" t="s">
        <v>46</v>
      </c>
      <c r="Q41" s="68" t="str">
        <f t="shared" si="0"/>
        <v>HUS0000415435CL020179407</v>
      </c>
      <c r="R41" s="66" t="s">
        <v>467</v>
      </c>
      <c r="S41" s="66" t="s">
        <v>468</v>
      </c>
      <c r="T41" s="66"/>
      <c r="U41" s="66" t="s">
        <v>182</v>
      </c>
      <c r="V41" s="69">
        <v>1514481</v>
      </c>
      <c r="W41" s="67">
        <v>45903.435613425929</v>
      </c>
      <c r="X41" s="67">
        <v>45938</v>
      </c>
      <c r="Y41" s="66">
        <v>139669</v>
      </c>
      <c r="Z41" s="67">
        <v>45947.646215277775</v>
      </c>
      <c r="AA41" s="66">
        <v>901541137</v>
      </c>
      <c r="AB41" s="66" t="s">
        <v>184</v>
      </c>
      <c r="AC41" s="69">
        <v>79407</v>
      </c>
      <c r="AD41" s="69">
        <v>0</v>
      </c>
      <c r="AE41" s="66" t="s">
        <v>198</v>
      </c>
      <c r="AF41" s="66" t="s">
        <v>199</v>
      </c>
      <c r="AG41" s="66" t="s">
        <v>464</v>
      </c>
      <c r="AH41" s="66" t="s">
        <v>465</v>
      </c>
      <c r="AI41" s="66"/>
      <c r="AJ41" s="66" t="s">
        <v>501</v>
      </c>
      <c r="AK41" s="78" t="s">
        <v>42</v>
      </c>
    </row>
    <row r="42" spans="1:37" x14ac:dyDescent="0.25">
      <c r="A42" s="66" t="s">
        <v>179</v>
      </c>
      <c r="B42" s="66">
        <v>140375</v>
      </c>
      <c r="C42" s="67">
        <v>45959.395300925928</v>
      </c>
      <c r="D42" s="77">
        <v>2025</v>
      </c>
      <c r="E42" s="77">
        <v>10</v>
      </c>
      <c r="F42" s="66">
        <v>901541137</v>
      </c>
      <c r="G42" s="66"/>
      <c r="H42" s="66" t="s">
        <v>184</v>
      </c>
      <c r="I42" s="69">
        <v>1514481</v>
      </c>
      <c r="J42" s="66" t="s">
        <v>461</v>
      </c>
      <c r="K42" s="66"/>
      <c r="L42" s="66"/>
      <c r="M42" s="66"/>
      <c r="N42" s="66"/>
      <c r="O42" s="66"/>
      <c r="P42" s="66" t="s">
        <v>46</v>
      </c>
      <c r="Q42" s="68" t="str">
        <f t="shared" si="0"/>
        <v>HUS0000415435SO0801397693</v>
      </c>
      <c r="R42" s="66" t="s">
        <v>467</v>
      </c>
      <c r="S42" s="66" t="s">
        <v>468</v>
      </c>
      <c r="T42" s="66"/>
      <c r="U42" s="66" t="s">
        <v>182</v>
      </c>
      <c r="V42" s="69">
        <v>1514481</v>
      </c>
      <c r="W42" s="67">
        <v>45903.435613425929</v>
      </c>
      <c r="X42" s="67">
        <v>45938</v>
      </c>
      <c r="Y42" s="66">
        <v>139669</v>
      </c>
      <c r="Z42" s="67">
        <v>45947.646215277775</v>
      </c>
      <c r="AA42" s="66">
        <v>901541137</v>
      </c>
      <c r="AB42" s="66" t="s">
        <v>184</v>
      </c>
      <c r="AC42" s="69">
        <v>397693</v>
      </c>
      <c r="AD42" s="69">
        <v>0</v>
      </c>
      <c r="AE42" s="66" t="s">
        <v>237</v>
      </c>
      <c r="AF42" s="66" t="s">
        <v>238</v>
      </c>
      <c r="AG42" s="66" t="s">
        <v>464</v>
      </c>
      <c r="AH42" s="66" t="s">
        <v>465</v>
      </c>
      <c r="AI42" s="66"/>
      <c r="AJ42" s="66" t="s">
        <v>502</v>
      </c>
      <c r="AK42" s="78" t="s">
        <v>42</v>
      </c>
    </row>
    <row r="43" spans="1:37" x14ac:dyDescent="0.25">
      <c r="A43" s="66" t="s">
        <v>179</v>
      </c>
      <c r="B43" s="66">
        <v>140375</v>
      </c>
      <c r="C43" s="67">
        <v>45959.395300925928</v>
      </c>
      <c r="D43" s="77">
        <v>2025</v>
      </c>
      <c r="E43" s="77">
        <v>10</v>
      </c>
      <c r="F43" s="66">
        <v>901541137</v>
      </c>
      <c r="G43" s="66"/>
      <c r="H43" s="66" t="s">
        <v>184</v>
      </c>
      <c r="I43" s="69">
        <v>1514481</v>
      </c>
      <c r="J43" s="66" t="s">
        <v>461</v>
      </c>
      <c r="K43" s="66"/>
      <c r="L43" s="66"/>
      <c r="M43" s="66"/>
      <c r="N43" s="66"/>
      <c r="O43" s="66"/>
      <c r="P43" s="66" t="s">
        <v>46</v>
      </c>
      <c r="Q43" s="68" t="str">
        <f t="shared" si="0"/>
        <v>HUS0000415435CL0101258370</v>
      </c>
      <c r="R43" s="66" t="s">
        <v>467</v>
      </c>
      <c r="S43" s="66" t="s">
        <v>468</v>
      </c>
      <c r="T43" s="66"/>
      <c r="U43" s="66" t="s">
        <v>182</v>
      </c>
      <c r="V43" s="69">
        <v>1514481</v>
      </c>
      <c r="W43" s="67">
        <v>45903.435613425929</v>
      </c>
      <c r="X43" s="67">
        <v>45938</v>
      </c>
      <c r="Y43" s="66">
        <v>139669</v>
      </c>
      <c r="Z43" s="67">
        <v>45947.646215277775</v>
      </c>
      <c r="AA43" s="66">
        <v>901541137</v>
      </c>
      <c r="AB43" s="66" t="s">
        <v>184</v>
      </c>
      <c r="AC43" s="69">
        <v>258370</v>
      </c>
      <c r="AD43" s="69">
        <v>0</v>
      </c>
      <c r="AE43" s="66" t="s">
        <v>194</v>
      </c>
      <c r="AF43" s="66" t="s">
        <v>195</v>
      </c>
      <c r="AG43" s="66" t="s">
        <v>464</v>
      </c>
      <c r="AH43" s="66" t="s">
        <v>465</v>
      </c>
      <c r="AI43" s="66"/>
      <c r="AJ43" s="66" t="s">
        <v>503</v>
      </c>
      <c r="AK43" s="78" t="s">
        <v>42</v>
      </c>
    </row>
    <row r="44" spans="1:37" x14ac:dyDescent="0.25">
      <c r="A44" s="66" t="s">
        <v>179</v>
      </c>
      <c r="B44" s="66">
        <v>140593</v>
      </c>
      <c r="C44" s="67">
        <v>45961.416087962964</v>
      </c>
      <c r="D44" s="77">
        <v>2025</v>
      </c>
      <c r="E44" s="77">
        <v>10</v>
      </c>
      <c r="F44" s="66">
        <v>901541137</v>
      </c>
      <c r="G44" s="66"/>
      <c r="H44" s="66" t="s">
        <v>184</v>
      </c>
      <c r="I44" s="69">
        <v>2518999</v>
      </c>
      <c r="J44" s="66" t="s">
        <v>480</v>
      </c>
      <c r="K44" s="66"/>
      <c r="L44" s="66"/>
      <c r="M44" s="66"/>
      <c r="N44" s="66"/>
      <c r="O44" s="66"/>
      <c r="P44" s="66" t="s">
        <v>71</v>
      </c>
      <c r="Q44" s="68" t="str">
        <f t="shared" si="0"/>
        <v>HUS0000418576CL01011195740</v>
      </c>
      <c r="R44" s="66" t="s">
        <v>467</v>
      </c>
      <c r="S44" s="66" t="s">
        <v>468</v>
      </c>
      <c r="T44" s="66"/>
      <c r="U44" s="66" t="s">
        <v>182</v>
      </c>
      <c r="V44" s="69">
        <v>2518999</v>
      </c>
      <c r="W44" s="67">
        <v>45912.3669212963</v>
      </c>
      <c r="X44" s="67">
        <v>45950</v>
      </c>
      <c r="Y44" s="66">
        <v>142351</v>
      </c>
      <c r="Z44" s="67">
        <v>45959.667164351849</v>
      </c>
      <c r="AA44" s="66">
        <v>901541137</v>
      </c>
      <c r="AB44" s="66" t="s">
        <v>184</v>
      </c>
      <c r="AC44" s="69">
        <v>1195740</v>
      </c>
      <c r="AD44" s="69">
        <v>1195740</v>
      </c>
      <c r="AE44" s="66" t="s">
        <v>194</v>
      </c>
      <c r="AF44" s="66" t="s">
        <v>195</v>
      </c>
      <c r="AG44" s="66" t="s">
        <v>486</v>
      </c>
      <c r="AH44" s="66" t="s">
        <v>487</v>
      </c>
      <c r="AI44" s="66"/>
      <c r="AJ44" s="66" t="s">
        <v>504</v>
      </c>
      <c r="AK44" s="78" t="s">
        <v>42</v>
      </c>
    </row>
    <row r="45" spans="1:37" x14ac:dyDescent="0.25">
      <c r="A45" s="66" t="s">
        <v>179</v>
      </c>
      <c r="B45" s="66">
        <v>140594</v>
      </c>
      <c r="C45" s="67">
        <v>45961.429016203707</v>
      </c>
      <c r="D45" s="77">
        <v>2025</v>
      </c>
      <c r="E45" s="77">
        <v>10</v>
      </c>
      <c r="F45" s="66">
        <v>901541137</v>
      </c>
      <c r="G45" s="66"/>
      <c r="H45" s="66" t="s">
        <v>184</v>
      </c>
      <c r="I45" s="69">
        <v>20232778</v>
      </c>
      <c r="J45" s="66" t="s">
        <v>480</v>
      </c>
      <c r="K45" s="66"/>
      <c r="L45" s="66"/>
      <c r="M45" s="66"/>
      <c r="N45" s="66"/>
      <c r="O45" s="66"/>
      <c r="P45" s="66" t="s">
        <v>66</v>
      </c>
      <c r="Q45" s="68" t="str">
        <f t="shared" si="0"/>
        <v>HUS0000420024CL030176988</v>
      </c>
      <c r="R45" s="66" t="s">
        <v>467</v>
      </c>
      <c r="S45" s="66" t="s">
        <v>468</v>
      </c>
      <c r="T45" s="66"/>
      <c r="U45" s="66" t="s">
        <v>182</v>
      </c>
      <c r="V45" s="69">
        <v>20232778</v>
      </c>
      <c r="W45" s="67">
        <v>45916.565069444441</v>
      </c>
      <c r="X45" s="67">
        <v>45950</v>
      </c>
      <c r="Y45" s="66">
        <v>142354</v>
      </c>
      <c r="Z45" s="67">
        <v>45959.671990740739</v>
      </c>
      <c r="AA45" s="66">
        <v>901541137</v>
      </c>
      <c r="AB45" s="66" t="s">
        <v>184</v>
      </c>
      <c r="AC45" s="69">
        <v>76988</v>
      </c>
      <c r="AD45" s="69">
        <v>0</v>
      </c>
      <c r="AE45" s="66" t="s">
        <v>283</v>
      </c>
      <c r="AF45" s="66" t="s">
        <v>284</v>
      </c>
      <c r="AG45" s="66" t="s">
        <v>464</v>
      </c>
      <c r="AH45" s="66" t="s">
        <v>465</v>
      </c>
      <c r="AI45" s="66"/>
      <c r="AJ45" s="66" t="s">
        <v>505</v>
      </c>
      <c r="AK45" s="78" t="s">
        <v>42</v>
      </c>
    </row>
    <row r="46" spans="1:37" x14ac:dyDescent="0.25">
      <c r="A46" s="66" t="s">
        <v>179</v>
      </c>
      <c r="B46" s="66">
        <v>140594</v>
      </c>
      <c r="C46" s="67">
        <v>45961.429016203707</v>
      </c>
      <c r="D46" s="77">
        <v>2025</v>
      </c>
      <c r="E46" s="77">
        <v>10</v>
      </c>
      <c r="F46" s="66">
        <v>901541137</v>
      </c>
      <c r="G46" s="66"/>
      <c r="H46" s="66" t="s">
        <v>184</v>
      </c>
      <c r="I46" s="69">
        <v>20232778</v>
      </c>
      <c r="J46" s="66" t="s">
        <v>480</v>
      </c>
      <c r="K46" s="66"/>
      <c r="L46" s="66"/>
      <c r="M46" s="66"/>
      <c r="N46" s="66"/>
      <c r="O46" s="66"/>
      <c r="P46" s="66" t="s">
        <v>66</v>
      </c>
      <c r="Q46" s="68" t="str">
        <f t="shared" si="0"/>
        <v>HUS0000420024CL01011992900</v>
      </c>
      <c r="R46" s="66" t="s">
        <v>467</v>
      </c>
      <c r="S46" s="66" t="s">
        <v>468</v>
      </c>
      <c r="T46" s="66"/>
      <c r="U46" s="66" t="s">
        <v>182</v>
      </c>
      <c r="V46" s="69">
        <v>20232778</v>
      </c>
      <c r="W46" s="67">
        <v>45916.565069444441</v>
      </c>
      <c r="X46" s="67">
        <v>45950</v>
      </c>
      <c r="Y46" s="66">
        <v>142354</v>
      </c>
      <c r="Z46" s="67">
        <v>45959.671990740739</v>
      </c>
      <c r="AA46" s="66">
        <v>901541137</v>
      </c>
      <c r="AB46" s="66" t="s">
        <v>184</v>
      </c>
      <c r="AC46" s="69">
        <v>1992900</v>
      </c>
      <c r="AD46" s="69">
        <v>0</v>
      </c>
      <c r="AE46" s="66" t="s">
        <v>194</v>
      </c>
      <c r="AF46" s="66" t="s">
        <v>195</v>
      </c>
      <c r="AG46" s="66" t="s">
        <v>464</v>
      </c>
      <c r="AH46" s="66" t="s">
        <v>465</v>
      </c>
      <c r="AI46" s="66"/>
      <c r="AJ46" s="66" t="s">
        <v>506</v>
      </c>
      <c r="AK46" s="78" t="s">
        <v>42</v>
      </c>
    </row>
    <row r="47" spans="1:37" x14ac:dyDescent="0.25">
      <c r="A47" s="66" t="s">
        <v>179</v>
      </c>
      <c r="B47" s="66">
        <v>140596</v>
      </c>
      <c r="C47" s="67">
        <v>45961.460439814815</v>
      </c>
      <c r="D47" s="77">
        <v>2025</v>
      </c>
      <c r="E47" s="77">
        <v>10</v>
      </c>
      <c r="F47" s="66">
        <v>901541137</v>
      </c>
      <c r="G47" s="66"/>
      <c r="H47" s="66" t="s">
        <v>184</v>
      </c>
      <c r="I47" s="69">
        <v>8154685</v>
      </c>
      <c r="J47" s="66" t="s">
        <v>480</v>
      </c>
      <c r="K47" s="66"/>
      <c r="L47" s="66"/>
      <c r="M47" s="66"/>
      <c r="N47" s="66"/>
      <c r="O47" s="66"/>
      <c r="P47" s="66" t="s">
        <v>65</v>
      </c>
      <c r="Q47" s="68" t="str">
        <f t="shared" si="0"/>
        <v>HUS0000419545CL01011195740</v>
      </c>
      <c r="R47" s="66" t="s">
        <v>467</v>
      </c>
      <c r="S47" s="66" t="s">
        <v>468</v>
      </c>
      <c r="T47" s="66"/>
      <c r="U47" s="66" t="s">
        <v>182</v>
      </c>
      <c r="V47" s="69">
        <v>8154685</v>
      </c>
      <c r="W47" s="67">
        <v>45915.519467592596</v>
      </c>
      <c r="X47" s="67">
        <v>45950</v>
      </c>
      <c r="Y47" s="66">
        <v>142376</v>
      </c>
      <c r="Z47" s="67">
        <v>45950.327199074076</v>
      </c>
      <c r="AA47" s="66">
        <v>901541137</v>
      </c>
      <c r="AB47" s="66" t="s">
        <v>184</v>
      </c>
      <c r="AC47" s="69">
        <v>1195740</v>
      </c>
      <c r="AD47" s="69">
        <v>0</v>
      </c>
      <c r="AE47" s="66" t="s">
        <v>194</v>
      </c>
      <c r="AF47" s="66" t="s">
        <v>195</v>
      </c>
      <c r="AG47" s="66" t="s">
        <v>464</v>
      </c>
      <c r="AH47" s="66" t="s">
        <v>465</v>
      </c>
      <c r="AI47" s="66"/>
      <c r="AJ47" s="66" t="s">
        <v>507</v>
      </c>
      <c r="AK47" s="78" t="s">
        <v>42</v>
      </c>
    </row>
    <row r="48" spans="1:37" x14ac:dyDescent="0.25">
      <c r="A48" s="66" t="s">
        <v>179</v>
      </c>
      <c r="B48" s="66">
        <v>140597</v>
      </c>
      <c r="C48" s="67">
        <v>45961.467361111114</v>
      </c>
      <c r="D48" s="77">
        <v>2025</v>
      </c>
      <c r="E48" s="77">
        <v>10</v>
      </c>
      <c r="F48" s="66">
        <v>901541137</v>
      </c>
      <c r="G48" s="66"/>
      <c r="H48" s="66" t="s">
        <v>184</v>
      </c>
      <c r="I48" s="69">
        <v>3757260</v>
      </c>
      <c r="J48" s="66" t="s">
        <v>480</v>
      </c>
      <c r="K48" s="66"/>
      <c r="L48" s="66"/>
      <c r="M48" s="66"/>
      <c r="N48" s="66"/>
      <c r="O48" s="66"/>
      <c r="P48" s="66" t="s">
        <v>67</v>
      </c>
      <c r="Q48" s="68" t="str">
        <f t="shared" si="0"/>
        <v>HUS0000420099CL0301161635</v>
      </c>
      <c r="R48" s="66" t="s">
        <v>467</v>
      </c>
      <c r="S48" s="66" t="s">
        <v>468</v>
      </c>
      <c r="T48" s="66"/>
      <c r="U48" s="66" t="s">
        <v>182</v>
      </c>
      <c r="V48" s="69">
        <v>3757260</v>
      </c>
      <c r="W48" s="67">
        <v>45916.63585648148</v>
      </c>
      <c r="X48" s="67">
        <v>45950</v>
      </c>
      <c r="Y48" s="66">
        <v>142378</v>
      </c>
      <c r="Z48" s="67">
        <v>45950.330914351849</v>
      </c>
      <c r="AA48" s="66">
        <v>901541137</v>
      </c>
      <c r="AB48" s="66" t="s">
        <v>184</v>
      </c>
      <c r="AC48" s="69">
        <v>161635</v>
      </c>
      <c r="AD48" s="69">
        <v>161635</v>
      </c>
      <c r="AE48" s="66" t="s">
        <v>283</v>
      </c>
      <c r="AF48" s="66" t="s">
        <v>284</v>
      </c>
      <c r="AG48" s="66" t="s">
        <v>486</v>
      </c>
      <c r="AH48" s="66" t="s">
        <v>487</v>
      </c>
      <c r="AI48" s="66"/>
      <c r="AJ48" s="66" t="s">
        <v>508</v>
      </c>
      <c r="AK48" s="78" t="s">
        <v>42</v>
      </c>
    </row>
    <row r="49" spans="1:37" x14ac:dyDescent="0.25">
      <c r="A49" s="66" t="s">
        <v>179</v>
      </c>
      <c r="B49" s="66">
        <v>140598</v>
      </c>
      <c r="C49" s="67">
        <v>45961.477141203701</v>
      </c>
      <c r="D49" s="77">
        <v>2025</v>
      </c>
      <c r="E49" s="77">
        <v>10</v>
      </c>
      <c r="F49" s="66">
        <v>901541137</v>
      </c>
      <c r="G49" s="66"/>
      <c r="H49" s="66" t="s">
        <v>184</v>
      </c>
      <c r="I49" s="69">
        <v>4170179</v>
      </c>
      <c r="J49" s="66" t="s">
        <v>480</v>
      </c>
      <c r="K49" s="66"/>
      <c r="L49" s="66"/>
      <c r="M49" s="66"/>
      <c r="N49" s="66"/>
      <c r="O49" s="66"/>
      <c r="P49" s="66" t="s">
        <v>72</v>
      </c>
      <c r="Q49" s="68" t="str">
        <f t="shared" si="0"/>
        <v>HUS0000420160CL060142800</v>
      </c>
      <c r="R49" s="66" t="s">
        <v>467</v>
      </c>
      <c r="S49" s="66" t="s">
        <v>468</v>
      </c>
      <c r="T49" s="66"/>
      <c r="U49" s="66" t="s">
        <v>182</v>
      </c>
      <c r="V49" s="69">
        <v>4170179</v>
      </c>
      <c r="W49" s="67">
        <v>45916.667291666665</v>
      </c>
      <c r="X49" s="67">
        <v>45950</v>
      </c>
      <c r="Y49" s="66">
        <v>142379</v>
      </c>
      <c r="Z49" s="67">
        <v>45950.331990740742</v>
      </c>
      <c r="AA49" s="66">
        <v>901541137</v>
      </c>
      <c r="AB49" s="66" t="s">
        <v>184</v>
      </c>
      <c r="AC49" s="69">
        <v>42800</v>
      </c>
      <c r="AD49" s="69">
        <v>42800</v>
      </c>
      <c r="AE49" s="66" t="s">
        <v>224</v>
      </c>
      <c r="AF49" s="66" t="s">
        <v>225</v>
      </c>
      <c r="AG49" s="66" t="s">
        <v>486</v>
      </c>
      <c r="AH49" s="66" t="s">
        <v>487</v>
      </c>
      <c r="AI49" s="66"/>
      <c r="AJ49" s="66" t="s">
        <v>509</v>
      </c>
      <c r="AK49" s="78" t="s">
        <v>42</v>
      </c>
    </row>
    <row r="50" spans="1:37" x14ac:dyDescent="0.25">
      <c r="A50" s="66" t="s">
        <v>179</v>
      </c>
      <c r="B50" s="66">
        <v>140600</v>
      </c>
      <c r="C50" s="67">
        <v>45961.480162037034</v>
      </c>
      <c r="D50" s="77">
        <v>2025</v>
      </c>
      <c r="E50" s="77">
        <v>10</v>
      </c>
      <c r="F50" s="66">
        <v>901541137</v>
      </c>
      <c r="G50" s="66"/>
      <c r="H50" s="66" t="s">
        <v>184</v>
      </c>
      <c r="I50" s="69">
        <v>3190379</v>
      </c>
      <c r="J50" s="66" t="s">
        <v>480</v>
      </c>
      <c r="K50" s="66"/>
      <c r="L50" s="66"/>
      <c r="M50" s="66"/>
      <c r="N50" s="66"/>
      <c r="O50" s="66"/>
      <c r="P50" s="66" t="s">
        <v>68</v>
      </c>
      <c r="Q50" s="68" t="str">
        <f t="shared" si="0"/>
        <v>HUS0000421295CL020176988</v>
      </c>
      <c r="R50" s="66" t="s">
        <v>467</v>
      </c>
      <c r="S50" s="66" t="s">
        <v>468</v>
      </c>
      <c r="T50" s="66"/>
      <c r="U50" s="66" t="s">
        <v>182</v>
      </c>
      <c r="V50" s="69">
        <v>3190379</v>
      </c>
      <c r="W50" s="67">
        <v>45919.409039351849</v>
      </c>
      <c r="X50" s="67">
        <v>45950</v>
      </c>
      <c r="Y50" s="66">
        <v>142380</v>
      </c>
      <c r="Z50" s="67">
        <v>45950.332789351851</v>
      </c>
      <c r="AA50" s="66">
        <v>901541137</v>
      </c>
      <c r="AB50" s="66" t="s">
        <v>184</v>
      </c>
      <c r="AC50" s="69">
        <v>76988</v>
      </c>
      <c r="AD50" s="69">
        <v>0</v>
      </c>
      <c r="AE50" s="66" t="s">
        <v>198</v>
      </c>
      <c r="AF50" s="66" t="s">
        <v>199</v>
      </c>
      <c r="AG50" s="66" t="s">
        <v>464</v>
      </c>
      <c r="AH50" s="66" t="s">
        <v>465</v>
      </c>
      <c r="AI50" s="66"/>
      <c r="AJ50" s="66" t="s">
        <v>510</v>
      </c>
      <c r="AK50" s="78" t="s">
        <v>42</v>
      </c>
    </row>
    <row r="51" spans="1:37" x14ac:dyDescent="0.25">
      <c r="A51" s="66" t="s">
        <v>179</v>
      </c>
      <c r="B51" s="66">
        <v>140601</v>
      </c>
      <c r="C51" s="67">
        <v>45961.486527777779</v>
      </c>
      <c r="D51" s="77">
        <v>2025</v>
      </c>
      <c r="E51" s="77">
        <v>10</v>
      </c>
      <c r="F51" s="66">
        <v>901541137</v>
      </c>
      <c r="G51" s="66"/>
      <c r="H51" s="66" t="s">
        <v>184</v>
      </c>
      <c r="I51" s="69">
        <v>20627343</v>
      </c>
      <c r="J51" s="66" t="s">
        <v>480</v>
      </c>
      <c r="K51" s="66"/>
      <c r="L51" s="66"/>
      <c r="M51" s="66"/>
      <c r="N51" s="66"/>
      <c r="O51" s="66"/>
      <c r="P51" s="66" t="s">
        <v>69</v>
      </c>
      <c r="Q51" s="68" t="str">
        <f t="shared" si="0"/>
        <v>HUS0000421733CL0801108024</v>
      </c>
      <c r="R51" s="66" t="s">
        <v>467</v>
      </c>
      <c r="S51" s="66" t="s">
        <v>468</v>
      </c>
      <c r="T51" s="66"/>
      <c r="U51" s="66" t="s">
        <v>182</v>
      </c>
      <c r="V51" s="69">
        <v>20627343</v>
      </c>
      <c r="W51" s="67">
        <v>45921.598182870373</v>
      </c>
      <c r="X51" s="67">
        <v>45950</v>
      </c>
      <c r="Y51" s="66">
        <v>142381</v>
      </c>
      <c r="Z51" s="67">
        <v>45950.333287037036</v>
      </c>
      <c r="AA51" s="66">
        <v>901541137</v>
      </c>
      <c r="AB51" s="66" t="s">
        <v>184</v>
      </c>
      <c r="AC51" s="69">
        <v>108024</v>
      </c>
      <c r="AD51" s="69">
        <v>108024</v>
      </c>
      <c r="AE51" s="66" t="s">
        <v>241</v>
      </c>
      <c r="AF51" s="66" t="s">
        <v>242</v>
      </c>
      <c r="AG51" s="66" t="s">
        <v>486</v>
      </c>
      <c r="AH51" s="66" t="s">
        <v>487</v>
      </c>
      <c r="AI51" s="66"/>
      <c r="AJ51" s="66" t="s">
        <v>511</v>
      </c>
      <c r="AK51" s="78" t="s">
        <v>42</v>
      </c>
    </row>
    <row r="52" spans="1:37" x14ac:dyDescent="0.25">
      <c r="A52" s="66" t="s">
        <v>179</v>
      </c>
      <c r="B52" s="66">
        <v>140601</v>
      </c>
      <c r="C52" s="67">
        <v>45961.486527777779</v>
      </c>
      <c r="D52" s="77">
        <v>2025</v>
      </c>
      <c r="E52" s="77">
        <v>10</v>
      </c>
      <c r="F52" s="66">
        <v>901541137</v>
      </c>
      <c r="G52" s="66"/>
      <c r="H52" s="66" t="s">
        <v>184</v>
      </c>
      <c r="I52" s="69">
        <v>20627343</v>
      </c>
      <c r="J52" s="66" t="s">
        <v>480</v>
      </c>
      <c r="K52" s="66"/>
      <c r="L52" s="66"/>
      <c r="M52" s="66"/>
      <c r="N52" s="66"/>
      <c r="O52" s="66"/>
      <c r="P52" s="66" t="s">
        <v>69</v>
      </c>
      <c r="Q52" s="68" t="str">
        <f t="shared" si="0"/>
        <v>HUS0000421733CL01012003145</v>
      </c>
      <c r="R52" s="66" t="s">
        <v>467</v>
      </c>
      <c r="S52" s="66" t="s">
        <v>468</v>
      </c>
      <c r="T52" s="66"/>
      <c r="U52" s="66" t="s">
        <v>182</v>
      </c>
      <c r="V52" s="69">
        <v>20627343</v>
      </c>
      <c r="W52" s="67">
        <v>45921.598182870373</v>
      </c>
      <c r="X52" s="67">
        <v>45950</v>
      </c>
      <c r="Y52" s="66">
        <v>142381</v>
      </c>
      <c r="Z52" s="67">
        <v>45950.333287037036</v>
      </c>
      <c r="AA52" s="66">
        <v>901541137</v>
      </c>
      <c r="AB52" s="66" t="s">
        <v>184</v>
      </c>
      <c r="AC52" s="69">
        <v>2003145</v>
      </c>
      <c r="AD52" s="69">
        <v>0</v>
      </c>
      <c r="AE52" s="66" t="s">
        <v>194</v>
      </c>
      <c r="AF52" s="66" t="s">
        <v>195</v>
      </c>
      <c r="AG52" s="66" t="s">
        <v>464</v>
      </c>
      <c r="AH52" s="66" t="s">
        <v>465</v>
      </c>
      <c r="AI52" s="66"/>
      <c r="AJ52" s="66" t="s">
        <v>512</v>
      </c>
      <c r="AK52" s="78" t="s">
        <v>42</v>
      </c>
    </row>
    <row r="53" spans="1:37" x14ac:dyDescent="0.25">
      <c r="A53" s="66" t="s">
        <v>179</v>
      </c>
      <c r="B53" s="66">
        <v>140602</v>
      </c>
      <c r="C53" s="67">
        <v>45961.494803240741</v>
      </c>
      <c r="D53" s="77">
        <v>2025</v>
      </c>
      <c r="E53" s="77">
        <v>10</v>
      </c>
      <c r="F53" s="66">
        <v>901541137</v>
      </c>
      <c r="G53" s="66"/>
      <c r="H53" s="66" t="s">
        <v>184</v>
      </c>
      <c r="I53" s="69">
        <v>85111531</v>
      </c>
      <c r="J53" s="66" t="s">
        <v>461</v>
      </c>
      <c r="K53" s="66"/>
      <c r="L53" s="66"/>
      <c r="M53" s="66"/>
      <c r="N53" s="66"/>
      <c r="O53" s="66"/>
      <c r="P53" s="66" t="s">
        <v>64</v>
      </c>
      <c r="Q53" s="68" t="str">
        <f t="shared" si="0"/>
        <v>HUS0000420752CL01013188640</v>
      </c>
      <c r="R53" s="66" t="s">
        <v>462</v>
      </c>
      <c r="S53" s="66" t="s">
        <v>463</v>
      </c>
      <c r="T53" s="66"/>
      <c r="U53" s="66" t="s">
        <v>182</v>
      </c>
      <c r="V53" s="69">
        <v>85111531</v>
      </c>
      <c r="W53" s="67">
        <v>45917.704722222225</v>
      </c>
      <c r="X53" s="67">
        <v>45953</v>
      </c>
      <c r="Y53" s="66">
        <v>142386</v>
      </c>
      <c r="Z53" s="67">
        <v>45953.326874999999</v>
      </c>
      <c r="AA53" s="66">
        <v>901541137</v>
      </c>
      <c r="AB53" s="66" t="s">
        <v>184</v>
      </c>
      <c r="AC53" s="69">
        <f>2790060+AC54</f>
        <v>3188640</v>
      </c>
      <c r="AD53" s="69">
        <v>1594320</v>
      </c>
      <c r="AE53" s="66" t="s">
        <v>194</v>
      </c>
      <c r="AF53" s="66" t="s">
        <v>195</v>
      </c>
      <c r="AG53" s="66" t="s">
        <v>474</v>
      </c>
      <c r="AH53" s="66" t="s">
        <v>475</v>
      </c>
      <c r="AI53" s="66"/>
      <c r="AJ53" s="66" t="s">
        <v>629</v>
      </c>
      <c r="AK53" s="78" t="s">
        <v>42</v>
      </c>
    </row>
    <row r="54" spans="1:37" x14ac:dyDescent="0.25">
      <c r="A54" s="66" t="s">
        <v>179</v>
      </c>
      <c r="B54" s="66">
        <v>140602</v>
      </c>
      <c r="C54" s="67">
        <v>45961.494803240741</v>
      </c>
      <c r="D54" s="77">
        <v>2025</v>
      </c>
      <c r="E54" s="77">
        <v>10</v>
      </c>
      <c r="F54" s="66">
        <v>901541137</v>
      </c>
      <c r="G54" s="66"/>
      <c r="H54" s="66" t="s">
        <v>184</v>
      </c>
      <c r="I54" s="69">
        <v>85111531</v>
      </c>
      <c r="J54" s="66" t="s">
        <v>461</v>
      </c>
      <c r="K54" s="66"/>
      <c r="L54" s="66"/>
      <c r="M54" s="66"/>
      <c r="N54" s="66"/>
      <c r="O54" s="66"/>
      <c r="P54" s="66" t="s">
        <v>64</v>
      </c>
      <c r="Q54" s="68" t="str">
        <f t="shared" si="0"/>
        <v>HUS0000420752CL0101398580</v>
      </c>
      <c r="R54" s="66" t="s">
        <v>462</v>
      </c>
      <c r="S54" s="66" t="s">
        <v>463</v>
      </c>
      <c r="T54" s="66"/>
      <c r="U54" s="66" t="s">
        <v>182</v>
      </c>
      <c r="V54" s="69">
        <v>85111531</v>
      </c>
      <c r="W54" s="67">
        <v>45917.704722222225</v>
      </c>
      <c r="X54" s="67">
        <v>45953</v>
      </c>
      <c r="Y54" s="66">
        <v>142386</v>
      </c>
      <c r="Z54" s="67">
        <v>45953.326874999999</v>
      </c>
      <c r="AA54" s="66">
        <v>901541137</v>
      </c>
      <c r="AB54" s="66" t="s">
        <v>184</v>
      </c>
      <c r="AC54" s="69">
        <v>398580</v>
      </c>
      <c r="AD54" s="69">
        <v>0</v>
      </c>
      <c r="AE54" s="66" t="s">
        <v>194</v>
      </c>
      <c r="AF54" s="66" t="s">
        <v>195</v>
      </c>
      <c r="AG54" s="66" t="s">
        <v>464</v>
      </c>
      <c r="AH54" s="66" t="s">
        <v>465</v>
      </c>
      <c r="AI54" s="66"/>
      <c r="AJ54" s="66" t="s">
        <v>513</v>
      </c>
      <c r="AK54" s="78" t="s">
        <v>42</v>
      </c>
    </row>
    <row r="55" spans="1:37" x14ac:dyDescent="0.25">
      <c r="A55" s="66" t="s">
        <v>179</v>
      </c>
      <c r="B55" s="66">
        <v>140602</v>
      </c>
      <c r="C55" s="67">
        <v>45961.494803240741</v>
      </c>
      <c r="D55" s="77">
        <v>2025</v>
      </c>
      <c r="E55" s="77">
        <v>10</v>
      </c>
      <c r="F55" s="66">
        <v>901541137</v>
      </c>
      <c r="G55" s="66"/>
      <c r="H55" s="66" t="s">
        <v>184</v>
      </c>
      <c r="I55" s="69">
        <v>85111531</v>
      </c>
      <c r="J55" s="66" t="s">
        <v>461</v>
      </c>
      <c r="K55" s="66"/>
      <c r="L55" s="66"/>
      <c r="M55" s="66"/>
      <c r="N55" s="66"/>
      <c r="O55" s="66"/>
      <c r="P55" s="66" t="s">
        <v>64</v>
      </c>
      <c r="Q55" s="68" t="str">
        <f t="shared" si="0"/>
        <v>HUS0000420752FA060271200</v>
      </c>
      <c r="R55" s="66" t="s">
        <v>462</v>
      </c>
      <c r="S55" s="66" t="s">
        <v>463</v>
      </c>
      <c r="T55" s="66"/>
      <c r="U55" s="66" t="s">
        <v>182</v>
      </c>
      <c r="V55" s="69">
        <v>85111531</v>
      </c>
      <c r="W55" s="67">
        <v>45917.704722222225</v>
      </c>
      <c r="X55" s="67">
        <v>45953</v>
      </c>
      <c r="Y55" s="66">
        <v>142386</v>
      </c>
      <c r="Z55" s="67">
        <v>45953.326874999999</v>
      </c>
      <c r="AA55" s="66">
        <v>901541137</v>
      </c>
      <c r="AB55" s="66" t="s">
        <v>184</v>
      </c>
      <c r="AC55" s="69">
        <v>71200</v>
      </c>
      <c r="AD55" s="69">
        <v>0</v>
      </c>
      <c r="AE55" s="66" t="s">
        <v>230</v>
      </c>
      <c r="AF55" s="66" t="s">
        <v>231</v>
      </c>
      <c r="AG55" s="66" t="s">
        <v>464</v>
      </c>
      <c r="AH55" s="66" t="s">
        <v>465</v>
      </c>
      <c r="AI55" s="66"/>
      <c r="AJ55" s="66" t="s">
        <v>514</v>
      </c>
      <c r="AK55" s="78" t="s">
        <v>42</v>
      </c>
    </row>
    <row r="56" spans="1:37" x14ac:dyDescent="0.25">
      <c r="A56" s="66" t="s">
        <v>179</v>
      </c>
      <c r="B56" s="66">
        <v>140817</v>
      </c>
      <c r="C56" s="67">
        <v>45966.770358796297</v>
      </c>
      <c r="D56" s="77">
        <v>2025</v>
      </c>
      <c r="E56" s="77">
        <v>11</v>
      </c>
      <c r="F56" s="66">
        <v>901541137</v>
      </c>
      <c r="G56" s="66"/>
      <c r="H56" s="66" t="s">
        <v>184</v>
      </c>
      <c r="I56" s="69">
        <v>32396282</v>
      </c>
      <c r="J56" s="66" t="s">
        <v>466</v>
      </c>
      <c r="K56" s="66"/>
      <c r="L56" s="66"/>
      <c r="M56" s="66"/>
      <c r="N56" s="66"/>
      <c r="O56" s="66"/>
      <c r="P56" s="66" t="s">
        <v>59</v>
      </c>
      <c r="Q56" s="68" t="str">
        <f t="shared" si="0"/>
        <v>HUS0000417807TA23013323567</v>
      </c>
      <c r="R56" s="66" t="s">
        <v>467</v>
      </c>
      <c r="S56" s="66" t="s">
        <v>468</v>
      </c>
      <c r="T56" s="66"/>
      <c r="U56" s="66" t="s">
        <v>182</v>
      </c>
      <c r="V56" s="69">
        <v>32396282</v>
      </c>
      <c r="W56" s="67">
        <v>45910.434305555558</v>
      </c>
      <c r="X56" s="67">
        <v>45944</v>
      </c>
      <c r="Y56" s="66">
        <v>139849</v>
      </c>
      <c r="Z56" s="67">
        <v>45944.580763888887</v>
      </c>
      <c r="AA56" s="66">
        <v>901541137</v>
      </c>
      <c r="AB56" s="66" t="s">
        <v>184</v>
      </c>
      <c r="AC56" s="69">
        <v>3323567</v>
      </c>
      <c r="AD56" s="69">
        <v>0</v>
      </c>
      <c r="AE56" s="66" t="s">
        <v>215</v>
      </c>
      <c r="AF56" s="66" t="s">
        <v>216</v>
      </c>
      <c r="AG56" s="66" t="s">
        <v>464</v>
      </c>
      <c r="AH56" s="66" t="s">
        <v>465</v>
      </c>
      <c r="AI56" s="66"/>
      <c r="AJ56" s="66" t="s">
        <v>515</v>
      </c>
    </row>
    <row r="57" spans="1:37" x14ac:dyDescent="0.25">
      <c r="A57" s="66" t="s">
        <v>179</v>
      </c>
      <c r="B57" s="66">
        <v>140817</v>
      </c>
      <c r="C57" s="67">
        <v>45966.770358796297</v>
      </c>
      <c r="D57" s="77">
        <v>2025</v>
      </c>
      <c r="E57" s="77">
        <v>11</v>
      </c>
      <c r="F57" s="66">
        <v>901541137</v>
      </c>
      <c r="G57" s="66"/>
      <c r="H57" s="66" t="s">
        <v>184</v>
      </c>
      <c r="I57" s="69">
        <v>32396282</v>
      </c>
      <c r="J57" s="66" t="s">
        <v>466</v>
      </c>
      <c r="K57" s="66"/>
      <c r="L57" s="66"/>
      <c r="M57" s="66"/>
      <c r="N57" s="66"/>
      <c r="O57" s="66"/>
      <c r="P57" s="66" t="s">
        <v>59</v>
      </c>
      <c r="Q57" s="68" t="str">
        <f t="shared" si="0"/>
        <v>HUS0000417807TA060110903900</v>
      </c>
      <c r="R57" s="66" t="s">
        <v>467</v>
      </c>
      <c r="S57" s="66" t="s">
        <v>468</v>
      </c>
      <c r="T57" s="66"/>
      <c r="U57" s="66" t="s">
        <v>182</v>
      </c>
      <c r="V57" s="69">
        <v>32396282</v>
      </c>
      <c r="W57" s="67">
        <v>45910.434305555558</v>
      </c>
      <c r="X57" s="67">
        <v>45944</v>
      </c>
      <c r="Y57" s="66">
        <v>139849</v>
      </c>
      <c r="Z57" s="67">
        <v>45944.580763888887</v>
      </c>
      <c r="AA57" s="66">
        <v>901541137</v>
      </c>
      <c r="AB57" s="66" t="s">
        <v>184</v>
      </c>
      <c r="AC57" s="69">
        <v>10903900</v>
      </c>
      <c r="AD57" s="69">
        <v>0</v>
      </c>
      <c r="AE57" s="66" t="s">
        <v>227</v>
      </c>
      <c r="AF57" s="66" t="s">
        <v>228</v>
      </c>
      <c r="AG57" s="66" t="s">
        <v>464</v>
      </c>
      <c r="AH57" s="66" t="s">
        <v>465</v>
      </c>
      <c r="AI57" s="66"/>
      <c r="AJ57" s="66" t="s">
        <v>515</v>
      </c>
    </row>
    <row r="58" spans="1:37" x14ac:dyDescent="0.25">
      <c r="A58" s="66" t="s">
        <v>179</v>
      </c>
      <c r="B58" s="66">
        <v>140949</v>
      </c>
      <c r="C58" s="67">
        <v>45968.693078703705</v>
      </c>
      <c r="D58" s="77">
        <v>2025</v>
      </c>
      <c r="E58" s="77">
        <v>11</v>
      </c>
      <c r="F58" s="66">
        <v>901541137</v>
      </c>
      <c r="G58" s="66"/>
      <c r="H58" s="66" t="s">
        <v>184</v>
      </c>
      <c r="I58" s="69">
        <v>22175283</v>
      </c>
      <c r="J58" s="66" t="s">
        <v>466</v>
      </c>
      <c r="K58" s="66"/>
      <c r="L58" s="66"/>
      <c r="M58" s="66"/>
      <c r="N58" s="66"/>
      <c r="O58" s="66"/>
      <c r="P58" s="66" t="s">
        <v>63</v>
      </c>
      <c r="Q58" s="68" t="str">
        <f t="shared" si="0"/>
        <v>HUS0000420727FA5803474915</v>
      </c>
      <c r="R58" s="66" t="s">
        <v>467</v>
      </c>
      <c r="S58" s="66" t="s">
        <v>468</v>
      </c>
      <c r="T58" s="66"/>
      <c r="U58" s="66" t="s">
        <v>182</v>
      </c>
      <c r="V58" s="69">
        <v>22175283</v>
      </c>
      <c r="W58" s="67">
        <v>45917.691782407404</v>
      </c>
      <c r="X58" s="67">
        <v>45946</v>
      </c>
      <c r="Y58" s="66">
        <v>140237</v>
      </c>
      <c r="Z58" s="67">
        <v>45946.596180555556</v>
      </c>
      <c r="AA58" s="66">
        <v>901541137</v>
      </c>
      <c r="AB58" s="66" t="s">
        <v>184</v>
      </c>
      <c r="AC58" s="69">
        <v>474915</v>
      </c>
      <c r="AD58" s="69">
        <v>0</v>
      </c>
      <c r="AE58" s="66" t="s">
        <v>266</v>
      </c>
      <c r="AF58" s="66" t="s">
        <v>267</v>
      </c>
      <c r="AG58" s="66" t="s">
        <v>464</v>
      </c>
      <c r="AH58" s="66" t="s">
        <v>465</v>
      </c>
      <c r="AI58" s="66"/>
      <c r="AJ58" s="66" t="s">
        <v>516</v>
      </c>
    </row>
    <row r="59" spans="1:37" x14ac:dyDescent="0.25">
      <c r="A59" s="66" t="s">
        <v>179</v>
      </c>
      <c r="B59" s="66">
        <v>140949</v>
      </c>
      <c r="C59" s="67">
        <v>45968.693078703705</v>
      </c>
      <c r="D59" s="77">
        <v>2025</v>
      </c>
      <c r="E59" s="77">
        <v>11</v>
      </c>
      <c r="F59" s="66">
        <v>901541137</v>
      </c>
      <c r="G59" s="66"/>
      <c r="H59" s="66" t="s">
        <v>184</v>
      </c>
      <c r="I59" s="69">
        <v>22175283</v>
      </c>
      <c r="J59" s="66" t="s">
        <v>466</v>
      </c>
      <c r="K59" s="66"/>
      <c r="L59" s="66"/>
      <c r="M59" s="66"/>
      <c r="N59" s="66"/>
      <c r="O59" s="66"/>
      <c r="P59" s="66" t="s">
        <v>63</v>
      </c>
      <c r="Q59" s="68" t="str">
        <f t="shared" si="0"/>
        <v>HUS0000420727TA06012867499</v>
      </c>
      <c r="R59" s="66" t="s">
        <v>467</v>
      </c>
      <c r="S59" s="66" t="s">
        <v>468</v>
      </c>
      <c r="T59" s="66"/>
      <c r="U59" s="66" t="s">
        <v>182</v>
      </c>
      <c r="V59" s="69">
        <v>22175283</v>
      </c>
      <c r="W59" s="67">
        <v>45917.691782407404</v>
      </c>
      <c r="X59" s="67">
        <v>45946</v>
      </c>
      <c r="Y59" s="66">
        <v>140237</v>
      </c>
      <c r="Z59" s="67">
        <v>45946.596180555556</v>
      </c>
      <c r="AA59" s="66">
        <v>901541137</v>
      </c>
      <c r="AB59" s="66" t="s">
        <v>184</v>
      </c>
      <c r="AC59" s="69">
        <v>2867499</v>
      </c>
      <c r="AD59" s="69">
        <v>0</v>
      </c>
      <c r="AE59" s="66" t="s">
        <v>227</v>
      </c>
      <c r="AF59" s="66" t="s">
        <v>228</v>
      </c>
      <c r="AG59" s="66" t="s">
        <v>464</v>
      </c>
      <c r="AH59" s="66" t="s">
        <v>465</v>
      </c>
      <c r="AI59" s="66"/>
      <c r="AJ59" s="66" t="s">
        <v>517</v>
      </c>
    </row>
    <row r="60" spans="1:37" x14ac:dyDescent="0.25">
      <c r="A60" s="66" t="s">
        <v>179</v>
      </c>
      <c r="B60" s="66">
        <v>140953</v>
      </c>
      <c r="C60" s="67">
        <v>45968.697962962964</v>
      </c>
      <c r="D60" s="77">
        <v>2025</v>
      </c>
      <c r="E60" s="77">
        <v>11</v>
      </c>
      <c r="F60" s="66">
        <v>901541137</v>
      </c>
      <c r="G60" s="66"/>
      <c r="H60" s="66" t="s">
        <v>184</v>
      </c>
      <c r="I60" s="69">
        <v>16131730</v>
      </c>
      <c r="J60" s="66" t="s">
        <v>466</v>
      </c>
      <c r="K60" s="66"/>
      <c r="L60" s="66"/>
      <c r="M60" s="66"/>
      <c r="N60" s="66"/>
      <c r="O60" s="66"/>
      <c r="P60" s="66" t="s">
        <v>62</v>
      </c>
      <c r="Q60" s="68" t="str">
        <f t="shared" si="0"/>
        <v>HUS0000420690CL01015903439</v>
      </c>
      <c r="R60" s="66" t="s">
        <v>467</v>
      </c>
      <c r="S60" s="66" t="s">
        <v>468</v>
      </c>
      <c r="T60" s="66"/>
      <c r="U60" s="66" t="s">
        <v>182</v>
      </c>
      <c r="V60" s="69">
        <v>16131730</v>
      </c>
      <c r="W60" s="67">
        <v>45917.676261574074</v>
      </c>
      <c r="X60" s="67">
        <v>45946</v>
      </c>
      <c r="Y60" s="66">
        <v>140238</v>
      </c>
      <c r="Z60" s="67">
        <v>45946.601504629631</v>
      </c>
      <c r="AA60" s="66">
        <v>901541137</v>
      </c>
      <c r="AB60" s="66" t="s">
        <v>184</v>
      </c>
      <c r="AC60" s="69">
        <v>5903439</v>
      </c>
      <c r="AD60" s="69">
        <v>0</v>
      </c>
      <c r="AE60" s="66" t="s">
        <v>194</v>
      </c>
      <c r="AF60" s="66" t="s">
        <v>195</v>
      </c>
      <c r="AG60" s="66" t="s">
        <v>464</v>
      </c>
      <c r="AH60" s="66" t="s">
        <v>465</v>
      </c>
      <c r="AI60" s="66"/>
      <c r="AJ60" s="66" t="s">
        <v>518</v>
      </c>
    </row>
    <row r="61" spans="1:37" x14ac:dyDescent="0.25">
      <c r="A61" s="66" t="s">
        <v>179</v>
      </c>
      <c r="B61" s="66">
        <v>140953</v>
      </c>
      <c r="C61" s="67">
        <v>45968.697962962964</v>
      </c>
      <c r="D61" s="77">
        <v>2025</v>
      </c>
      <c r="E61" s="77">
        <v>11</v>
      </c>
      <c r="F61" s="66">
        <v>901541137</v>
      </c>
      <c r="G61" s="66"/>
      <c r="H61" s="66" t="s">
        <v>184</v>
      </c>
      <c r="I61" s="69">
        <v>16131730</v>
      </c>
      <c r="J61" s="66" t="s">
        <v>466</v>
      </c>
      <c r="K61" s="66"/>
      <c r="L61" s="66"/>
      <c r="M61" s="66"/>
      <c r="N61" s="66"/>
      <c r="O61" s="66"/>
      <c r="P61" s="66" t="s">
        <v>62</v>
      </c>
      <c r="Q61" s="68" t="str">
        <f t="shared" si="0"/>
        <v>HUS0000420690CL58011847550</v>
      </c>
      <c r="R61" s="66" t="s">
        <v>467</v>
      </c>
      <c r="S61" s="66" t="s">
        <v>468</v>
      </c>
      <c r="T61" s="66"/>
      <c r="U61" s="66" t="s">
        <v>182</v>
      </c>
      <c r="V61" s="69">
        <v>16131730</v>
      </c>
      <c r="W61" s="67">
        <v>45917.676261574074</v>
      </c>
      <c r="X61" s="67">
        <v>45946</v>
      </c>
      <c r="Y61" s="66">
        <v>140238</v>
      </c>
      <c r="Z61" s="67">
        <v>45946.601504629631</v>
      </c>
      <c r="AA61" s="66">
        <v>901541137</v>
      </c>
      <c r="AB61" s="66" t="s">
        <v>184</v>
      </c>
      <c r="AC61" s="69">
        <v>1847550</v>
      </c>
      <c r="AD61" s="69">
        <v>0</v>
      </c>
      <c r="AE61" s="66" t="s">
        <v>279</v>
      </c>
      <c r="AF61" s="66" t="s">
        <v>280</v>
      </c>
      <c r="AG61" s="66" t="s">
        <v>464</v>
      </c>
      <c r="AH61" s="66" t="s">
        <v>465</v>
      </c>
      <c r="AI61" s="66"/>
      <c r="AJ61" s="66" t="s">
        <v>519</v>
      </c>
    </row>
    <row r="62" spans="1:37" x14ac:dyDescent="0.25">
      <c r="A62" s="66" t="s">
        <v>179</v>
      </c>
      <c r="B62" s="66">
        <v>140953</v>
      </c>
      <c r="C62" s="67">
        <v>45968.697962962964</v>
      </c>
      <c r="D62" s="77">
        <v>2025</v>
      </c>
      <c r="E62" s="77">
        <v>11</v>
      </c>
      <c r="F62" s="66">
        <v>901541137</v>
      </c>
      <c r="G62" s="66"/>
      <c r="H62" s="66" t="s">
        <v>184</v>
      </c>
      <c r="I62" s="69">
        <v>16131730</v>
      </c>
      <c r="J62" s="66" t="s">
        <v>466</v>
      </c>
      <c r="K62" s="66"/>
      <c r="L62" s="66"/>
      <c r="M62" s="66"/>
      <c r="N62" s="66"/>
      <c r="O62" s="66"/>
      <c r="P62" s="66" t="s">
        <v>62</v>
      </c>
      <c r="Q62" s="68" t="str">
        <f t="shared" si="0"/>
        <v>HUS0000420690CL0701367200</v>
      </c>
      <c r="R62" s="66" t="s">
        <v>467</v>
      </c>
      <c r="S62" s="66" t="s">
        <v>468</v>
      </c>
      <c r="T62" s="66"/>
      <c r="U62" s="66" t="s">
        <v>182</v>
      </c>
      <c r="V62" s="69">
        <v>16131730</v>
      </c>
      <c r="W62" s="67">
        <v>45917.676261574074</v>
      </c>
      <c r="X62" s="67">
        <v>45946</v>
      </c>
      <c r="Y62" s="66">
        <v>140238</v>
      </c>
      <c r="Z62" s="67">
        <v>45946.601504629631</v>
      </c>
      <c r="AA62" s="66">
        <v>901541137</v>
      </c>
      <c r="AB62" s="66" t="s">
        <v>184</v>
      </c>
      <c r="AC62" s="69">
        <v>367200</v>
      </c>
      <c r="AD62" s="69">
        <v>0</v>
      </c>
      <c r="AE62" s="66" t="s">
        <v>271</v>
      </c>
      <c r="AF62" s="66" t="s">
        <v>272</v>
      </c>
      <c r="AG62" s="66" t="s">
        <v>464</v>
      </c>
      <c r="AH62" s="66" t="s">
        <v>465</v>
      </c>
      <c r="AI62" s="66"/>
      <c r="AJ62" s="66" t="s">
        <v>520</v>
      </c>
    </row>
    <row r="63" spans="1:37" x14ac:dyDescent="0.25">
      <c r="A63" s="66" t="s">
        <v>179</v>
      </c>
      <c r="B63" s="66">
        <v>140953</v>
      </c>
      <c r="C63" s="67">
        <v>45968.697962962964</v>
      </c>
      <c r="D63" s="77">
        <v>2025</v>
      </c>
      <c r="E63" s="77">
        <v>11</v>
      </c>
      <c r="F63" s="66">
        <v>901541137</v>
      </c>
      <c r="G63" s="66"/>
      <c r="H63" s="66" t="s">
        <v>184</v>
      </c>
      <c r="I63" s="69">
        <v>16131730</v>
      </c>
      <c r="J63" s="66" t="s">
        <v>466</v>
      </c>
      <c r="K63" s="66"/>
      <c r="L63" s="66"/>
      <c r="M63" s="66"/>
      <c r="N63" s="66"/>
      <c r="O63" s="66"/>
      <c r="P63" s="66" t="s">
        <v>62</v>
      </c>
      <c r="Q63" s="68" t="str">
        <f t="shared" si="0"/>
        <v>HUS0000420690CL02011036875</v>
      </c>
      <c r="R63" s="66" t="s">
        <v>467</v>
      </c>
      <c r="S63" s="66" t="s">
        <v>468</v>
      </c>
      <c r="T63" s="66"/>
      <c r="U63" s="66" t="s">
        <v>182</v>
      </c>
      <c r="V63" s="69">
        <v>16131730</v>
      </c>
      <c r="W63" s="67">
        <v>45917.676261574074</v>
      </c>
      <c r="X63" s="67">
        <v>45946</v>
      </c>
      <c r="Y63" s="66">
        <v>140238</v>
      </c>
      <c r="Z63" s="67">
        <v>45946.601504629631</v>
      </c>
      <c r="AA63" s="66">
        <v>901541137</v>
      </c>
      <c r="AB63" s="66" t="s">
        <v>184</v>
      </c>
      <c r="AC63" s="69">
        <v>1036875</v>
      </c>
      <c r="AD63" s="69">
        <v>0</v>
      </c>
      <c r="AE63" s="66" t="s">
        <v>198</v>
      </c>
      <c r="AF63" s="66" t="s">
        <v>199</v>
      </c>
      <c r="AG63" s="66" t="s">
        <v>464</v>
      </c>
      <c r="AH63" s="66" t="s">
        <v>465</v>
      </c>
      <c r="AI63" s="66"/>
      <c r="AJ63" s="66" t="s">
        <v>521</v>
      </c>
    </row>
    <row r="64" spans="1:37" x14ac:dyDescent="0.25">
      <c r="A64" s="66" t="s">
        <v>179</v>
      </c>
      <c r="B64" s="66">
        <v>140953</v>
      </c>
      <c r="C64" s="67">
        <v>45968.697962962964</v>
      </c>
      <c r="D64" s="77">
        <v>2025</v>
      </c>
      <c r="E64" s="77">
        <v>11</v>
      </c>
      <c r="F64" s="66">
        <v>901541137</v>
      </c>
      <c r="G64" s="66"/>
      <c r="H64" s="66" t="s">
        <v>184</v>
      </c>
      <c r="I64" s="69">
        <v>16131730</v>
      </c>
      <c r="J64" s="66" t="s">
        <v>466</v>
      </c>
      <c r="K64" s="66"/>
      <c r="L64" s="66"/>
      <c r="M64" s="66"/>
      <c r="N64" s="66"/>
      <c r="O64" s="66"/>
      <c r="P64" s="66" t="s">
        <v>62</v>
      </c>
      <c r="Q64" s="68" t="str">
        <f t="shared" si="0"/>
        <v>HUS0000420690CL06011430800</v>
      </c>
      <c r="R64" s="66" t="s">
        <v>467</v>
      </c>
      <c r="S64" s="66" t="s">
        <v>468</v>
      </c>
      <c r="T64" s="66"/>
      <c r="U64" s="66" t="s">
        <v>182</v>
      </c>
      <c r="V64" s="69">
        <v>16131730</v>
      </c>
      <c r="W64" s="67">
        <v>45917.676261574074</v>
      </c>
      <c r="X64" s="67">
        <v>45946</v>
      </c>
      <c r="Y64" s="66">
        <v>140238</v>
      </c>
      <c r="Z64" s="67">
        <v>45946.601504629631</v>
      </c>
      <c r="AA64" s="66">
        <v>901541137</v>
      </c>
      <c r="AB64" s="66" t="s">
        <v>184</v>
      </c>
      <c r="AC64" s="69">
        <v>1430800</v>
      </c>
      <c r="AD64" s="69">
        <v>0</v>
      </c>
      <c r="AE64" s="66" t="s">
        <v>224</v>
      </c>
      <c r="AF64" s="66" t="s">
        <v>225</v>
      </c>
      <c r="AG64" s="66" t="s">
        <v>464</v>
      </c>
      <c r="AH64" s="66" t="s">
        <v>465</v>
      </c>
      <c r="AI64" s="66"/>
      <c r="AJ64" s="66" t="s">
        <v>522</v>
      </c>
    </row>
    <row r="65" spans="1:36" x14ac:dyDescent="0.25">
      <c r="A65" s="66" t="s">
        <v>179</v>
      </c>
      <c r="B65" s="66">
        <v>140953</v>
      </c>
      <c r="C65" s="67">
        <v>45968.697962962964</v>
      </c>
      <c r="D65" s="77">
        <v>2025</v>
      </c>
      <c r="E65" s="77">
        <v>11</v>
      </c>
      <c r="F65" s="66">
        <v>901541137</v>
      </c>
      <c r="G65" s="66"/>
      <c r="H65" s="66" t="s">
        <v>184</v>
      </c>
      <c r="I65" s="69">
        <v>16131730</v>
      </c>
      <c r="J65" s="66" t="s">
        <v>466</v>
      </c>
      <c r="K65" s="66"/>
      <c r="L65" s="66"/>
      <c r="M65" s="66"/>
      <c r="N65" s="66"/>
      <c r="O65" s="66"/>
      <c r="P65" s="66" t="s">
        <v>62</v>
      </c>
      <c r="Q65" s="68" t="str">
        <f t="shared" si="0"/>
        <v>HUS0000420690CL23011004799</v>
      </c>
      <c r="R65" s="66" t="s">
        <v>467</v>
      </c>
      <c r="S65" s="66" t="s">
        <v>468</v>
      </c>
      <c r="T65" s="66"/>
      <c r="U65" s="66" t="s">
        <v>182</v>
      </c>
      <c r="V65" s="69">
        <v>16131730</v>
      </c>
      <c r="W65" s="67">
        <v>45917.676261574074</v>
      </c>
      <c r="X65" s="67">
        <v>45946</v>
      </c>
      <c r="Y65" s="66">
        <v>140238</v>
      </c>
      <c r="Z65" s="67">
        <v>45946.601504629631</v>
      </c>
      <c r="AA65" s="66">
        <v>901541137</v>
      </c>
      <c r="AB65" s="66" t="s">
        <v>184</v>
      </c>
      <c r="AC65" s="69">
        <v>1004799</v>
      </c>
      <c r="AD65" s="69">
        <v>0</v>
      </c>
      <c r="AE65" s="66" t="s">
        <v>275</v>
      </c>
      <c r="AF65" s="66" t="s">
        <v>276</v>
      </c>
      <c r="AG65" s="66" t="s">
        <v>464</v>
      </c>
      <c r="AH65" s="66" t="s">
        <v>465</v>
      </c>
      <c r="AI65" s="66"/>
      <c r="AJ65" s="66" t="s">
        <v>519</v>
      </c>
    </row>
    <row r="66" spans="1:36" x14ac:dyDescent="0.25">
      <c r="A66" s="66" t="s">
        <v>179</v>
      </c>
      <c r="B66" s="66">
        <v>140953</v>
      </c>
      <c r="C66" s="67">
        <v>45968.697962962964</v>
      </c>
      <c r="D66" s="77">
        <v>2025</v>
      </c>
      <c r="E66" s="77">
        <v>11</v>
      </c>
      <c r="F66" s="66">
        <v>901541137</v>
      </c>
      <c r="G66" s="66"/>
      <c r="H66" s="66" t="s">
        <v>184</v>
      </c>
      <c r="I66" s="69">
        <v>16131730</v>
      </c>
      <c r="J66" s="66" t="s">
        <v>466</v>
      </c>
      <c r="K66" s="66"/>
      <c r="L66" s="66"/>
      <c r="M66" s="66"/>
      <c r="N66" s="66"/>
      <c r="O66" s="66"/>
      <c r="P66" s="66" t="s">
        <v>62</v>
      </c>
      <c r="Q66" s="68" t="str">
        <f t="shared" si="0"/>
        <v>HUS0000420690CL08011083664</v>
      </c>
      <c r="R66" s="66" t="s">
        <v>467</v>
      </c>
      <c r="S66" s="66" t="s">
        <v>468</v>
      </c>
      <c r="T66" s="66"/>
      <c r="U66" s="66" t="s">
        <v>182</v>
      </c>
      <c r="V66" s="69">
        <v>16131730</v>
      </c>
      <c r="W66" s="67">
        <v>45917.676261574074</v>
      </c>
      <c r="X66" s="67">
        <v>45946</v>
      </c>
      <c r="Y66" s="66">
        <v>140238</v>
      </c>
      <c r="Z66" s="67">
        <v>45946.601504629631</v>
      </c>
      <c r="AA66" s="66">
        <v>901541137</v>
      </c>
      <c r="AB66" s="66" t="s">
        <v>184</v>
      </c>
      <c r="AC66" s="69">
        <v>1083664</v>
      </c>
      <c r="AD66" s="69">
        <v>0</v>
      </c>
      <c r="AE66" s="66" t="s">
        <v>241</v>
      </c>
      <c r="AF66" s="66" t="s">
        <v>242</v>
      </c>
      <c r="AG66" s="66" t="s">
        <v>464</v>
      </c>
      <c r="AH66" s="66" t="s">
        <v>465</v>
      </c>
      <c r="AI66" s="66"/>
      <c r="AJ66" s="66" t="s">
        <v>523</v>
      </c>
    </row>
    <row r="67" spans="1:36" x14ac:dyDescent="0.25">
      <c r="A67" s="66" t="s">
        <v>179</v>
      </c>
      <c r="B67" s="66">
        <v>141197</v>
      </c>
      <c r="C67" s="67">
        <v>45972.636412037034</v>
      </c>
      <c r="D67" s="77">
        <v>2025</v>
      </c>
      <c r="E67" s="77">
        <v>11</v>
      </c>
      <c r="F67" s="66">
        <v>901541137</v>
      </c>
      <c r="G67" s="66"/>
      <c r="H67" s="66" t="s">
        <v>184</v>
      </c>
      <c r="I67" s="69">
        <v>55315347</v>
      </c>
      <c r="J67" s="66" t="s">
        <v>461</v>
      </c>
      <c r="K67" s="66"/>
      <c r="L67" s="66"/>
      <c r="M67" s="66"/>
      <c r="N67" s="66"/>
      <c r="O67" s="66"/>
      <c r="P67" s="66" t="s">
        <v>70</v>
      </c>
      <c r="Q67" s="68" t="str">
        <f t="shared" si="0"/>
        <v>HUS0000421956TA580111818564</v>
      </c>
      <c r="R67" s="66" t="s">
        <v>467</v>
      </c>
      <c r="S67" s="66" t="s">
        <v>468</v>
      </c>
      <c r="T67" s="66"/>
      <c r="U67" s="66" t="s">
        <v>182</v>
      </c>
      <c r="V67" s="69">
        <v>55315347</v>
      </c>
      <c r="W67" s="67">
        <v>45922.43949074074</v>
      </c>
      <c r="X67" s="67">
        <v>45950</v>
      </c>
      <c r="Y67" s="66">
        <v>142383</v>
      </c>
      <c r="Z67" s="67">
        <v>45950.336909722224</v>
      </c>
      <c r="AA67" s="66">
        <v>901541137</v>
      </c>
      <c r="AB67" s="66" t="s">
        <v>184</v>
      </c>
      <c r="AC67" s="69">
        <v>11818564</v>
      </c>
      <c r="AD67" s="69">
        <v>0</v>
      </c>
      <c r="AE67" s="66" t="s">
        <v>201</v>
      </c>
      <c r="AF67" s="66" t="s">
        <v>202</v>
      </c>
      <c r="AG67" s="66" t="s">
        <v>464</v>
      </c>
      <c r="AH67" s="66" t="s">
        <v>465</v>
      </c>
      <c r="AI67" s="66"/>
      <c r="AJ67" s="66" t="s">
        <v>524</v>
      </c>
    </row>
    <row r="68" spans="1:36" x14ac:dyDescent="0.25">
      <c r="A68" s="66" t="s">
        <v>179</v>
      </c>
      <c r="B68" s="66">
        <v>141197</v>
      </c>
      <c r="C68" s="67">
        <v>45972.636412037034</v>
      </c>
      <c r="D68" s="77">
        <v>2025</v>
      </c>
      <c r="E68" s="77">
        <v>11</v>
      </c>
      <c r="F68" s="66">
        <v>901541137</v>
      </c>
      <c r="G68" s="66"/>
      <c r="H68" s="66" t="s">
        <v>184</v>
      </c>
      <c r="I68" s="69">
        <v>55315347</v>
      </c>
      <c r="J68" s="66" t="s">
        <v>461</v>
      </c>
      <c r="K68" s="66"/>
      <c r="L68" s="66"/>
      <c r="M68" s="66"/>
      <c r="N68" s="66"/>
      <c r="O68" s="66"/>
      <c r="P68" s="66" t="s">
        <v>70</v>
      </c>
      <c r="Q68" s="68" t="str">
        <f t="shared" si="0"/>
        <v>HUS0000421956TA060112216800</v>
      </c>
      <c r="R68" s="66" t="s">
        <v>467</v>
      </c>
      <c r="S68" s="66" t="s">
        <v>468</v>
      </c>
      <c r="T68" s="66"/>
      <c r="U68" s="66" t="s">
        <v>182</v>
      </c>
      <c r="V68" s="69">
        <v>55315347</v>
      </c>
      <c r="W68" s="67">
        <v>45922.43949074074</v>
      </c>
      <c r="X68" s="67">
        <v>45950</v>
      </c>
      <c r="Y68" s="66">
        <v>142383</v>
      </c>
      <c r="Z68" s="67">
        <v>45950.336909722224</v>
      </c>
      <c r="AA68" s="66">
        <v>901541137</v>
      </c>
      <c r="AB68" s="66" t="s">
        <v>184</v>
      </c>
      <c r="AC68" s="69">
        <v>12216800</v>
      </c>
      <c r="AD68" s="69">
        <v>0</v>
      </c>
      <c r="AE68" s="66" t="s">
        <v>227</v>
      </c>
      <c r="AF68" s="66" t="s">
        <v>228</v>
      </c>
      <c r="AG68" s="66" t="s">
        <v>464</v>
      </c>
      <c r="AH68" s="66" t="s">
        <v>465</v>
      </c>
      <c r="AI68" s="66"/>
      <c r="AJ68" s="66" t="s">
        <v>525</v>
      </c>
    </row>
    <row r="69" spans="1:36" x14ac:dyDescent="0.25">
      <c r="A69" s="66" t="s">
        <v>179</v>
      </c>
      <c r="B69" s="66">
        <v>141416</v>
      </c>
      <c r="C69" s="67">
        <v>45975.391898148147</v>
      </c>
      <c r="D69" s="77">
        <v>2025</v>
      </c>
      <c r="E69" s="77">
        <v>11</v>
      </c>
      <c r="F69" s="66">
        <v>901541137</v>
      </c>
      <c r="G69" s="66"/>
      <c r="H69" s="66" t="s">
        <v>184</v>
      </c>
      <c r="I69" s="69">
        <v>62123956</v>
      </c>
      <c r="J69" s="66" t="s">
        <v>461</v>
      </c>
      <c r="K69" s="66"/>
      <c r="L69" s="66"/>
      <c r="M69" s="66"/>
      <c r="N69" s="66"/>
      <c r="O69" s="66"/>
      <c r="P69" s="66" t="s">
        <v>74</v>
      </c>
      <c r="Q69" s="68" t="str">
        <f t="shared" ref="Q69:Q132" si="1">P69&amp;AE69&amp;AC69</f>
        <v>HUS0000421741CL01013456904</v>
      </c>
      <c r="R69" s="66" t="s">
        <v>467</v>
      </c>
      <c r="S69" s="66" t="s">
        <v>468</v>
      </c>
      <c r="T69" s="66"/>
      <c r="U69" s="66" t="s">
        <v>182</v>
      </c>
      <c r="V69" s="69">
        <v>62123956</v>
      </c>
      <c r="W69" s="67">
        <v>45921.626550925925</v>
      </c>
      <c r="X69" s="67">
        <v>45965</v>
      </c>
      <c r="Y69" s="66">
        <v>142936</v>
      </c>
      <c r="Z69" s="67">
        <v>45965.346712962964</v>
      </c>
      <c r="AA69" s="66">
        <v>901541137</v>
      </c>
      <c r="AB69" s="66" t="s">
        <v>184</v>
      </c>
      <c r="AC69" s="69">
        <v>3456904</v>
      </c>
      <c r="AD69" s="69">
        <v>0</v>
      </c>
      <c r="AE69" s="66" t="s">
        <v>194</v>
      </c>
      <c r="AF69" s="66" t="s">
        <v>195</v>
      </c>
      <c r="AG69" s="66" t="s">
        <v>464</v>
      </c>
      <c r="AH69" s="66" t="s">
        <v>465</v>
      </c>
      <c r="AI69" s="66"/>
      <c r="AJ69" s="66" t="s">
        <v>526</v>
      </c>
    </row>
    <row r="70" spans="1:36" x14ac:dyDescent="0.25">
      <c r="A70" s="66" t="s">
        <v>179</v>
      </c>
      <c r="B70" s="66">
        <v>141416</v>
      </c>
      <c r="C70" s="67">
        <v>45975.391898148147</v>
      </c>
      <c r="D70" s="77">
        <v>2025</v>
      </c>
      <c r="E70" s="77">
        <v>11</v>
      </c>
      <c r="F70" s="66">
        <v>901541137</v>
      </c>
      <c r="G70" s="66"/>
      <c r="H70" s="66" t="s">
        <v>184</v>
      </c>
      <c r="I70" s="69">
        <v>62123956</v>
      </c>
      <c r="J70" s="66" t="s">
        <v>461</v>
      </c>
      <c r="K70" s="66"/>
      <c r="L70" s="66"/>
      <c r="M70" s="66"/>
      <c r="N70" s="66"/>
      <c r="O70" s="66"/>
      <c r="P70" s="66" t="s">
        <v>74</v>
      </c>
      <c r="Q70" s="68" t="str">
        <f t="shared" si="1"/>
        <v>HUS0000421741FA03014126746</v>
      </c>
      <c r="R70" s="66" t="s">
        <v>467</v>
      </c>
      <c r="S70" s="66" t="s">
        <v>468</v>
      </c>
      <c r="T70" s="66"/>
      <c r="U70" s="66" t="s">
        <v>182</v>
      </c>
      <c r="V70" s="69">
        <v>62123956</v>
      </c>
      <c r="W70" s="67">
        <v>45921.626550925925</v>
      </c>
      <c r="X70" s="67">
        <v>45965</v>
      </c>
      <c r="Y70" s="66">
        <v>142936</v>
      </c>
      <c r="Z70" s="67">
        <v>45965.346712962964</v>
      </c>
      <c r="AA70" s="66">
        <v>901541137</v>
      </c>
      <c r="AB70" s="66" t="s">
        <v>184</v>
      </c>
      <c r="AC70" s="69">
        <v>4126746</v>
      </c>
      <c r="AD70" s="69">
        <v>0</v>
      </c>
      <c r="AE70" s="66" t="s">
        <v>314</v>
      </c>
      <c r="AF70" s="66" t="s">
        <v>315</v>
      </c>
      <c r="AG70" s="66" t="s">
        <v>464</v>
      </c>
      <c r="AH70" s="66" t="s">
        <v>465</v>
      </c>
      <c r="AI70" s="66"/>
      <c r="AJ70" s="66" t="s">
        <v>527</v>
      </c>
    </row>
    <row r="71" spans="1:36" x14ac:dyDescent="0.25">
      <c r="A71" s="66" t="s">
        <v>179</v>
      </c>
      <c r="B71" s="66">
        <v>141416</v>
      </c>
      <c r="C71" s="67">
        <v>45975.391898148147</v>
      </c>
      <c r="D71" s="77">
        <v>2025</v>
      </c>
      <c r="E71" s="77">
        <v>11</v>
      </c>
      <c r="F71" s="66">
        <v>901541137</v>
      </c>
      <c r="G71" s="66"/>
      <c r="H71" s="66" t="s">
        <v>184</v>
      </c>
      <c r="I71" s="69">
        <v>62123956</v>
      </c>
      <c r="J71" s="66" t="s">
        <v>461</v>
      </c>
      <c r="K71" s="66"/>
      <c r="L71" s="66"/>
      <c r="M71" s="66"/>
      <c r="N71" s="66"/>
      <c r="O71" s="66"/>
      <c r="P71" s="66" t="s">
        <v>74</v>
      </c>
      <c r="Q71" s="68" t="str">
        <f t="shared" si="1"/>
        <v>HUS0000421741FA06019363700</v>
      </c>
      <c r="R71" s="66" t="s">
        <v>467</v>
      </c>
      <c r="S71" s="66" t="s">
        <v>468</v>
      </c>
      <c r="T71" s="66"/>
      <c r="U71" s="66" t="s">
        <v>182</v>
      </c>
      <c r="V71" s="69">
        <v>62123956</v>
      </c>
      <c r="W71" s="67">
        <v>45921.626550925925</v>
      </c>
      <c r="X71" s="67">
        <v>45965</v>
      </c>
      <c r="Y71" s="66">
        <v>142936</v>
      </c>
      <c r="Z71" s="67">
        <v>45965.346712962964</v>
      </c>
      <c r="AA71" s="66">
        <v>901541137</v>
      </c>
      <c r="AB71" s="66" t="s">
        <v>184</v>
      </c>
      <c r="AC71" s="69">
        <v>9363700</v>
      </c>
      <c r="AD71" s="69">
        <v>0</v>
      </c>
      <c r="AE71" s="66" t="s">
        <v>309</v>
      </c>
      <c r="AF71" s="66" t="s">
        <v>310</v>
      </c>
      <c r="AG71" s="66" t="s">
        <v>464</v>
      </c>
      <c r="AH71" s="66" t="s">
        <v>465</v>
      </c>
      <c r="AI71" s="66"/>
      <c r="AJ71" s="66" t="s">
        <v>527</v>
      </c>
    </row>
    <row r="72" spans="1:36" x14ac:dyDescent="0.25">
      <c r="A72" s="66" t="s">
        <v>179</v>
      </c>
      <c r="B72" s="66">
        <v>141418</v>
      </c>
      <c r="C72" s="67">
        <v>45975.437268518515</v>
      </c>
      <c r="D72" s="77">
        <v>2025</v>
      </c>
      <c r="E72" s="77">
        <v>11</v>
      </c>
      <c r="F72" s="66">
        <v>901541137</v>
      </c>
      <c r="G72" s="66"/>
      <c r="H72" s="66" t="s">
        <v>184</v>
      </c>
      <c r="I72" s="69">
        <v>13051351</v>
      </c>
      <c r="J72" s="66" t="s">
        <v>480</v>
      </c>
      <c r="K72" s="66"/>
      <c r="L72" s="66"/>
      <c r="M72" s="66"/>
      <c r="N72" s="66"/>
      <c r="O72" s="66"/>
      <c r="P72" s="66" t="s">
        <v>76</v>
      </c>
      <c r="Q72" s="68" t="str">
        <f t="shared" si="1"/>
        <v>HUS0000423050FA0101398580</v>
      </c>
      <c r="R72" s="66" t="s">
        <v>467</v>
      </c>
      <c r="S72" s="66" t="s">
        <v>468</v>
      </c>
      <c r="T72" s="66"/>
      <c r="U72" s="66" t="s">
        <v>182</v>
      </c>
      <c r="V72" s="69">
        <v>13449931</v>
      </c>
      <c r="W72" s="67">
        <v>45924.487974537034</v>
      </c>
      <c r="X72" s="67">
        <v>45965</v>
      </c>
      <c r="Y72" s="66">
        <v>142973</v>
      </c>
      <c r="Z72" s="67">
        <v>45965.369212962964</v>
      </c>
      <c r="AA72" s="66">
        <v>901541137</v>
      </c>
      <c r="AB72" s="66" t="s">
        <v>184</v>
      </c>
      <c r="AC72" s="69">
        <v>398580</v>
      </c>
      <c r="AD72" s="69">
        <v>398580</v>
      </c>
      <c r="AE72" s="66" t="s">
        <v>190</v>
      </c>
      <c r="AF72" s="66" t="s">
        <v>191</v>
      </c>
      <c r="AG72" s="66" t="s">
        <v>486</v>
      </c>
      <c r="AH72" s="66" t="s">
        <v>487</v>
      </c>
      <c r="AI72" s="66"/>
      <c r="AJ72" s="66" t="s">
        <v>528</v>
      </c>
    </row>
    <row r="73" spans="1:36" x14ac:dyDescent="0.25">
      <c r="A73" s="66" t="s">
        <v>179</v>
      </c>
      <c r="B73" s="66">
        <v>141418</v>
      </c>
      <c r="C73" s="67">
        <v>45975.437268518515</v>
      </c>
      <c r="D73" s="77">
        <v>2025</v>
      </c>
      <c r="E73" s="77">
        <v>11</v>
      </c>
      <c r="F73" s="66">
        <v>901541137</v>
      </c>
      <c r="G73" s="66"/>
      <c r="H73" s="66" t="s">
        <v>184</v>
      </c>
      <c r="I73" s="69">
        <v>13051351</v>
      </c>
      <c r="J73" s="66" t="s">
        <v>480</v>
      </c>
      <c r="K73" s="66"/>
      <c r="L73" s="66"/>
      <c r="M73" s="66"/>
      <c r="N73" s="66"/>
      <c r="O73" s="66"/>
      <c r="P73" s="66" t="s">
        <v>76</v>
      </c>
      <c r="Q73" s="68" t="str">
        <f t="shared" si="1"/>
        <v>HUS0000423050CL0101925900</v>
      </c>
      <c r="R73" s="66" t="s">
        <v>467</v>
      </c>
      <c r="S73" s="66" t="s">
        <v>468</v>
      </c>
      <c r="T73" s="66"/>
      <c r="U73" s="66" t="s">
        <v>182</v>
      </c>
      <c r="V73" s="69">
        <v>13449931</v>
      </c>
      <c r="W73" s="67">
        <v>45924.487974537034</v>
      </c>
      <c r="X73" s="67">
        <v>45965</v>
      </c>
      <c r="Y73" s="66">
        <v>142973</v>
      </c>
      <c r="Z73" s="67">
        <v>45965.369212962964</v>
      </c>
      <c r="AA73" s="66">
        <v>901541137</v>
      </c>
      <c r="AB73" s="66" t="s">
        <v>184</v>
      </c>
      <c r="AC73" s="69">
        <v>925900</v>
      </c>
      <c r="AD73" s="69">
        <v>0</v>
      </c>
      <c r="AE73" s="66" t="s">
        <v>194</v>
      </c>
      <c r="AF73" s="66" t="s">
        <v>195</v>
      </c>
      <c r="AG73" s="66" t="s">
        <v>464</v>
      </c>
      <c r="AH73" s="66" t="s">
        <v>465</v>
      </c>
      <c r="AI73" s="66"/>
      <c r="AJ73" s="66" t="s">
        <v>529</v>
      </c>
    </row>
    <row r="74" spans="1:36" x14ac:dyDescent="0.25">
      <c r="A74" s="66" t="s">
        <v>179</v>
      </c>
      <c r="B74" s="66">
        <v>141538</v>
      </c>
      <c r="C74" s="67">
        <v>45980.499074074076</v>
      </c>
      <c r="D74" s="77">
        <v>2025</v>
      </c>
      <c r="E74" s="77">
        <v>11</v>
      </c>
      <c r="F74" s="66">
        <v>901541137</v>
      </c>
      <c r="G74" s="66"/>
      <c r="H74" s="66" t="s">
        <v>184</v>
      </c>
      <c r="I74" s="69">
        <v>24829939</v>
      </c>
      <c r="J74" s="66" t="s">
        <v>461</v>
      </c>
      <c r="K74" s="66"/>
      <c r="L74" s="66"/>
      <c r="M74" s="66"/>
      <c r="N74" s="66"/>
      <c r="O74" s="66"/>
      <c r="P74" s="66" t="s">
        <v>83</v>
      </c>
      <c r="Q74" s="68" t="str">
        <f t="shared" si="1"/>
        <v>HUS0000421920SO0601961200</v>
      </c>
      <c r="R74" s="66" t="s">
        <v>462</v>
      </c>
      <c r="S74" s="66" t="s">
        <v>463</v>
      </c>
      <c r="T74" s="66"/>
      <c r="U74" s="66" t="s">
        <v>182</v>
      </c>
      <c r="V74" s="69">
        <v>24829939</v>
      </c>
      <c r="W74" s="67">
        <v>45922.421481481484</v>
      </c>
      <c r="X74" s="67">
        <v>45971</v>
      </c>
      <c r="Y74" s="66">
        <v>144225</v>
      </c>
      <c r="Z74" s="67">
        <v>45971.385983796295</v>
      </c>
      <c r="AA74" s="66">
        <v>901541137</v>
      </c>
      <c r="AB74" s="66" t="s">
        <v>184</v>
      </c>
      <c r="AC74" s="69">
        <v>961200</v>
      </c>
      <c r="AD74" s="69">
        <v>0</v>
      </c>
      <c r="AE74" s="66" t="s">
        <v>336</v>
      </c>
      <c r="AF74" s="66" t="s">
        <v>337</v>
      </c>
      <c r="AG74" s="66" t="s">
        <v>464</v>
      </c>
      <c r="AH74" s="66" t="s">
        <v>465</v>
      </c>
      <c r="AI74" s="66"/>
      <c r="AJ74" s="66" t="s">
        <v>530</v>
      </c>
    </row>
    <row r="75" spans="1:36" x14ac:dyDescent="0.25">
      <c r="A75" s="66" t="s">
        <v>179</v>
      </c>
      <c r="B75" s="66">
        <v>141538</v>
      </c>
      <c r="C75" s="67">
        <v>45980.499074074076</v>
      </c>
      <c r="D75" s="77">
        <v>2025</v>
      </c>
      <c r="E75" s="77">
        <v>11</v>
      </c>
      <c r="F75" s="66">
        <v>901541137</v>
      </c>
      <c r="G75" s="66"/>
      <c r="H75" s="66" t="s">
        <v>184</v>
      </c>
      <c r="I75" s="69">
        <v>24829939</v>
      </c>
      <c r="J75" s="66" t="s">
        <v>461</v>
      </c>
      <c r="K75" s="66"/>
      <c r="L75" s="66"/>
      <c r="M75" s="66"/>
      <c r="N75" s="66"/>
      <c r="O75" s="66"/>
      <c r="P75" s="66" t="s">
        <v>83</v>
      </c>
      <c r="Q75" s="68" t="str">
        <f t="shared" si="1"/>
        <v>HUS0000421920CL01012777604</v>
      </c>
      <c r="R75" s="66" t="s">
        <v>462</v>
      </c>
      <c r="S75" s="66" t="s">
        <v>463</v>
      </c>
      <c r="T75" s="66"/>
      <c r="U75" s="66" t="s">
        <v>182</v>
      </c>
      <c r="V75" s="69">
        <v>24829939</v>
      </c>
      <c r="W75" s="67">
        <v>45922.421481481484</v>
      </c>
      <c r="X75" s="67">
        <v>45971</v>
      </c>
      <c r="Y75" s="66">
        <v>144225</v>
      </c>
      <c r="Z75" s="67">
        <v>45971.385983796295</v>
      </c>
      <c r="AA75" s="66">
        <v>901541137</v>
      </c>
      <c r="AB75" s="66" t="s">
        <v>184</v>
      </c>
      <c r="AC75" s="69">
        <v>2777604</v>
      </c>
      <c r="AD75" s="69">
        <v>0</v>
      </c>
      <c r="AE75" s="66" t="s">
        <v>194</v>
      </c>
      <c r="AF75" s="66" t="s">
        <v>195</v>
      </c>
      <c r="AG75" s="66" t="s">
        <v>464</v>
      </c>
      <c r="AH75" s="66" t="s">
        <v>465</v>
      </c>
      <c r="AI75" s="66"/>
      <c r="AJ75" s="66" t="s">
        <v>531</v>
      </c>
    </row>
    <row r="76" spans="1:36" x14ac:dyDescent="0.25">
      <c r="A76" s="66" t="s">
        <v>179</v>
      </c>
      <c r="B76" s="66">
        <v>141539</v>
      </c>
      <c r="C76" s="67">
        <v>45980.519432870373</v>
      </c>
      <c r="D76" s="77">
        <v>2025</v>
      </c>
      <c r="E76" s="77">
        <v>11</v>
      </c>
      <c r="F76" s="66">
        <v>901541137</v>
      </c>
      <c r="G76" s="66"/>
      <c r="H76" s="66" t="s">
        <v>184</v>
      </c>
      <c r="I76" s="69">
        <v>101352213</v>
      </c>
      <c r="J76" s="66" t="s">
        <v>461</v>
      </c>
      <c r="K76" s="66"/>
      <c r="L76" s="66"/>
      <c r="M76" s="66"/>
      <c r="N76" s="66"/>
      <c r="O76" s="66"/>
      <c r="P76" s="66" t="s">
        <v>84</v>
      </c>
      <c r="Q76" s="68" t="str">
        <f t="shared" si="1"/>
        <v>HUS0000423686CL06011209306</v>
      </c>
      <c r="R76" s="66" t="s">
        <v>467</v>
      </c>
      <c r="S76" s="66" t="s">
        <v>468</v>
      </c>
      <c r="T76" s="66"/>
      <c r="U76" s="66" t="s">
        <v>182</v>
      </c>
      <c r="V76" s="69">
        <v>101352213</v>
      </c>
      <c r="W76" s="67">
        <v>45925.591087962966</v>
      </c>
      <c r="X76" s="67">
        <v>45971</v>
      </c>
      <c r="Y76" s="66">
        <v>144226</v>
      </c>
      <c r="Z76" s="67">
        <v>45971.387106481481</v>
      </c>
      <c r="AA76" s="66">
        <v>901541137</v>
      </c>
      <c r="AB76" s="66" t="s">
        <v>184</v>
      </c>
      <c r="AC76" s="69">
        <v>1209306</v>
      </c>
      <c r="AD76" s="69">
        <v>0</v>
      </c>
      <c r="AE76" s="66" t="s">
        <v>224</v>
      </c>
      <c r="AF76" s="66" t="s">
        <v>225</v>
      </c>
      <c r="AG76" s="66" t="s">
        <v>464</v>
      </c>
      <c r="AH76" s="66" t="s">
        <v>465</v>
      </c>
      <c r="AI76" s="66"/>
      <c r="AJ76" s="66" t="s">
        <v>532</v>
      </c>
    </row>
    <row r="77" spans="1:36" x14ac:dyDescent="0.25">
      <c r="A77" s="66" t="s">
        <v>179</v>
      </c>
      <c r="B77" s="66">
        <v>141539</v>
      </c>
      <c r="C77" s="67">
        <v>45980.519432870373</v>
      </c>
      <c r="D77" s="77">
        <v>2025</v>
      </c>
      <c r="E77" s="77">
        <v>11</v>
      </c>
      <c r="F77" s="66">
        <v>901541137</v>
      </c>
      <c r="G77" s="66"/>
      <c r="H77" s="66" t="s">
        <v>184</v>
      </c>
      <c r="I77" s="69">
        <v>101352213</v>
      </c>
      <c r="J77" s="66" t="s">
        <v>461</v>
      </c>
      <c r="K77" s="66"/>
      <c r="L77" s="66"/>
      <c r="M77" s="66"/>
      <c r="N77" s="66"/>
      <c r="O77" s="66"/>
      <c r="P77" s="66" t="s">
        <v>84</v>
      </c>
      <c r="Q77" s="68" t="str">
        <f t="shared" si="1"/>
        <v>HUS0000423686CL0801831144</v>
      </c>
      <c r="R77" s="66" t="s">
        <v>467</v>
      </c>
      <c r="S77" s="66" t="s">
        <v>468</v>
      </c>
      <c r="T77" s="66"/>
      <c r="U77" s="66" t="s">
        <v>182</v>
      </c>
      <c r="V77" s="69">
        <v>101352213</v>
      </c>
      <c r="W77" s="67">
        <v>45925.591087962966</v>
      </c>
      <c r="X77" s="67">
        <v>45971</v>
      </c>
      <c r="Y77" s="66">
        <v>144226</v>
      </c>
      <c r="Z77" s="67">
        <v>45971.387106481481</v>
      </c>
      <c r="AA77" s="66">
        <v>901541137</v>
      </c>
      <c r="AB77" s="66" t="s">
        <v>184</v>
      </c>
      <c r="AC77" s="69">
        <v>831144</v>
      </c>
      <c r="AD77" s="69">
        <v>0</v>
      </c>
      <c r="AE77" s="66" t="s">
        <v>241</v>
      </c>
      <c r="AF77" s="66" t="s">
        <v>242</v>
      </c>
      <c r="AG77" s="66" t="s">
        <v>464</v>
      </c>
      <c r="AH77" s="66" t="s">
        <v>465</v>
      </c>
      <c r="AI77" s="66"/>
      <c r="AJ77" s="66" t="s">
        <v>533</v>
      </c>
    </row>
    <row r="78" spans="1:36" x14ac:dyDescent="0.25">
      <c r="A78" s="66" t="s">
        <v>179</v>
      </c>
      <c r="B78" s="66">
        <v>141539</v>
      </c>
      <c r="C78" s="67">
        <v>45980.519432870373</v>
      </c>
      <c r="D78" s="77">
        <v>2025</v>
      </c>
      <c r="E78" s="77">
        <v>11</v>
      </c>
      <c r="F78" s="66">
        <v>901541137</v>
      </c>
      <c r="G78" s="66"/>
      <c r="H78" s="66" t="s">
        <v>184</v>
      </c>
      <c r="I78" s="69">
        <v>101352213</v>
      </c>
      <c r="J78" s="66" t="s">
        <v>461</v>
      </c>
      <c r="K78" s="66"/>
      <c r="L78" s="66"/>
      <c r="M78" s="66"/>
      <c r="N78" s="66"/>
      <c r="O78" s="66"/>
      <c r="P78" s="66" t="s">
        <v>84</v>
      </c>
      <c r="Q78" s="68" t="str">
        <f t="shared" si="1"/>
        <v>HUS0000423686TA060119729540</v>
      </c>
      <c r="R78" s="66" t="s">
        <v>467</v>
      </c>
      <c r="S78" s="66" t="s">
        <v>468</v>
      </c>
      <c r="T78" s="66"/>
      <c r="U78" s="66" t="s">
        <v>182</v>
      </c>
      <c r="V78" s="69">
        <v>101352213</v>
      </c>
      <c r="W78" s="67">
        <v>45925.591087962966</v>
      </c>
      <c r="X78" s="67">
        <v>45971</v>
      </c>
      <c r="Y78" s="66">
        <v>144226</v>
      </c>
      <c r="Z78" s="67">
        <v>45971.387106481481</v>
      </c>
      <c r="AA78" s="66">
        <v>901541137</v>
      </c>
      <c r="AB78" s="66" t="s">
        <v>184</v>
      </c>
      <c r="AC78" s="69">
        <v>19729540</v>
      </c>
      <c r="AD78" s="69">
        <v>0</v>
      </c>
      <c r="AE78" s="66" t="s">
        <v>227</v>
      </c>
      <c r="AF78" s="66" t="s">
        <v>228</v>
      </c>
      <c r="AG78" s="66" t="s">
        <v>464</v>
      </c>
      <c r="AH78" s="66" t="s">
        <v>465</v>
      </c>
      <c r="AI78" s="66"/>
      <c r="AJ78" s="66" t="s">
        <v>534</v>
      </c>
    </row>
    <row r="79" spans="1:36" x14ac:dyDescent="0.25">
      <c r="A79" s="66" t="s">
        <v>179</v>
      </c>
      <c r="B79" s="66">
        <v>141797</v>
      </c>
      <c r="C79" s="67">
        <v>45987.561307870368</v>
      </c>
      <c r="D79" s="77">
        <v>2025</v>
      </c>
      <c r="E79" s="77">
        <v>11</v>
      </c>
      <c r="F79" s="66">
        <v>901541137</v>
      </c>
      <c r="G79" s="66"/>
      <c r="H79" s="66" t="s">
        <v>184</v>
      </c>
      <c r="I79" s="69">
        <v>33560952</v>
      </c>
      <c r="J79" s="66" t="s">
        <v>461</v>
      </c>
      <c r="K79" s="66"/>
      <c r="L79" s="66"/>
      <c r="M79" s="66"/>
      <c r="N79" s="66"/>
      <c r="O79" s="66"/>
      <c r="P79" s="66" t="s">
        <v>73</v>
      </c>
      <c r="Q79" s="68" t="str">
        <f t="shared" si="1"/>
        <v>HUS0000420107FA06016804283</v>
      </c>
      <c r="R79" s="66" t="s">
        <v>467</v>
      </c>
      <c r="S79" s="66" t="s">
        <v>468</v>
      </c>
      <c r="T79" s="66"/>
      <c r="U79" s="66" t="s">
        <v>182</v>
      </c>
      <c r="V79" s="69">
        <v>33560952</v>
      </c>
      <c r="W79" s="67">
        <v>45916.644467592596</v>
      </c>
      <c r="X79" s="67">
        <v>45965</v>
      </c>
      <c r="Y79" s="66">
        <v>142923</v>
      </c>
      <c r="Z79" s="67">
        <v>45965.345972222225</v>
      </c>
      <c r="AA79" s="66">
        <v>901541137</v>
      </c>
      <c r="AB79" s="66" t="s">
        <v>184</v>
      </c>
      <c r="AC79" s="69">
        <v>6804283</v>
      </c>
      <c r="AD79" s="69">
        <v>0</v>
      </c>
      <c r="AE79" s="66" t="s">
        <v>309</v>
      </c>
      <c r="AF79" s="66" t="s">
        <v>310</v>
      </c>
      <c r="AG79" s="66" t="s">
        <v>464</v>
      </c>
      <c r="AH79" s="66" t="s">
        <v>465</v>
      </c>
      <c r="AI79" s="66"/>
      <c r="AJ79" s="66" t="s">
        <v>535</v>
      </c>
    </row>
    <row r="80" spans="1:36" x14ac:dyDescent="0.25">
      <c r="A80" s="66" t="s">
        <v>179</v>
      </c>
      <c r="B80" s="66">
        <v>141805</v>
      </c>
      <c r="C80" s="67">
        <v>45987.675555555557</v>
      </c>
      <c r="D80" s="77">
        <v>2025</v>
      </c>
      <c r="E80" s="77">
        <v>11</v>
      </c>
      <c r="F80" s="66">
        <v>901541137</v>
      </c>
      <c r="G80" s="66"/>
      <c r="H80" s="66" t="s">
        <v>184</v>
      </c>
      <c r="I80" s="69">
        <v>45083083</v>
      </c>
      <c r="J80" s="66" t="s">
        <v>461</v>
      </c>
      <c r="K80" s="66"/>
      <c r="L80" s="66"/>
      <c r="M80" s="66"/>
      <c r="N80" s="66"/>
      <c r="O80" s="66"/>
      <c r="P80" s="66" t="s">
        <v>78</v>
      </c>
      <c r="Q80" s="68" t="str">
        <f t="shared" si="1"/>
        <v>HUS0000426037FA080344739</v>
      </c>
      <c r="R80" s="66" t="s">
        <v>467</v>
      </c>
      <c r="S80" s="66" t="s">
        <v>468</v>
      </c>
      <c r="T80" s="66"/>
      <c r="U80" s="66" t="s">
        <v>182</v>
      </c>
      <c r="V80" s="69">
        <v>45083083</v>
      </c>
      <c r="W80" s="67">
        <v>45930.735983796294</v>
      </c>
      <c r="X80" s="67">
        <v>45965</v>
      </c>
      <c r="Y80" s="66">
        <v>142985</v>
      </c>
      <c r="Z80" s="67">
        <v>45965.376435185186</v>
      </c>
      <c r="AA80" s="66">
        <v>901541137</v>
      </c>
      <c r="AB80" s="66" t="s">
        <v>184</v>
      </c>
      <c r="AC80" s="69">
        <v>44739</v>
      </c>
      <c r="AD80" s="69">
        <v>0</v>
      </c>
      <c r="AE80" s="66" t="s">
        <v>321</v>
      </c>
      <c r="AF80" s="66" t="s">
        <v>322</v>
      </c>
      <c r="AG80" s="66" t="s">
        <v>464</v>
      </c>
      <c r="AH80" s="66" t="s">
        <v>465</v>
      </c>
      <c r="AI80" s="66"/>
      <c r="AJ80" s="66" t="s">
        <v>536</v>
      </c>
    </row>
    <row r="81" spans="1:36" x14ac:dyDescent="0.25">
      <c r="A81" s="66" t="s">
        <v>179</v>
      </c>
      <c r="B81" s="66">
        <v>141805</v>
      </c>
      <c r="C81" s="67">
        <v>45987.675555555557</v>
      </c>
      <c r="D81" s="77">
        <v>2025</v>
      </c>
      <c r="E81" s="77">
        <v>11</v>
      </c>
      <c r="F81" s="66">
        <v>901541137</v>
      </c>
      <c r="G81" s="66"/>
      <c r="H81" s="66" t="s">
        <v>184</v>
      </c>
      <c r="I81" s="69">
        <v>45083083</v>
      </c>
      <c r="J81" s="66" t="s">
        <v>461</v>
      </c>
      <c r="K81" s="66"/>
      <c r="L81" s="66"/>
      <c r="M81" s="66"/>
      <c r="N81" s="66"/>
      <c r="O81" s="66"/>
      <c r="P81" s="66" t="s">
        <v>78</v>
      </c>
      <c r="Q81" s="68" t="str">
        <f t="shared" si="1"/>
        <v>HUS0000426037TA06016155700</v>
      </c>
      <c r="R81" s="66" t="s">
        <v>467</v>
      </c>
      <c r="S81" s="66" t="s">
        <v>468</v>
      </c>
      <c r="T81" s="66"/>
      <c r="U81" s="66" t="s">
        <v>182</v>
      </c>
      <c r="V81" s="69">
        <v>45083083</v>
      </c>
      <c r="W81" s="67">
        <v>45930.735983796294</v>
      </c>
      <c r="X81" s="67">
        <v>45965</v>
      </c>
      <c r="Y81" s="66">
        <v>142985</v>
      </c>
      <c r="Z81" s="67">
        <v>45965.376435185186</v>
      </c>
      <c r="AA81" s="66">
        <v>901541137</v>
      </c>
      <c r="AB81" s="66" t="s">
        <v>184</v>
      </c>
      <c r="AC81" s="69">
        <v>6155700</v>
      </c>
      <c r="AD81" s="69">
        <v>0</v>
      </c>
      <c r="AE81" s="66" t="s">
        <v>227</v>
      </c>
      <c r="AF81" s="66" t="s">
        <v>228</v>
      </c>
      <c r="AG81" s="66" t="s">
        <v>464</v>
      </c>
      <c r="AH81" s="66" t="s">
        <v>465</v>
      </c>
      <c r="AI81" s="66"/>
      <c r="AJ81" s="66" t="s">
        <v>525</v>
      </c>
    </row>
    <row r="82" spans="1:36" x14ac:dyDescent="0.25">
      <c r="A82" s="66" t="s">
        <v>179</v>
      </c>
      <c r="B82" s="66">
        <v>141806</v>
      </c>
      <c r="C82" s="67">
        <v>45987.677488425928</v>
      </c>
      <c r="D82" s="77">
        <v>2025</v>
      </c>
      <c r="E82" s="77">
        <v>11</v>
      </c>
      <c r="F82" s="66">
        <v>901541137</v>
      </c>
      <c r="G82" s="66"/>
      <c r="H82" s="66" t="s">
        <v>184</v>
      </c>
      <c r="I82" s="69">
        <v>62634156</v>
      </c>
      <c r="J82" s="66" t="s">
        <v>461</v>
      </c>
      <c r="K82" s="66"/>
      <c r="L82" s="66"/>
      <c r="M82" s="66"/>
      <c r="N82" s="66"/>
      <c r="O82" s="66"/>
      <c r="P82" s="66" t="s">
        <v>77</v>
      </c>
      <c r="Q82" s="68" t="str">
        <f t="shared" si="1"/>
        <v>HUS0000426076FA0603232200</v>
      </c>
      <c r="R82" s="66" t="s">
        <v>467</v>
      </c>
      <c r="S82" s="66" t="s">
        <v>468</v>
      </c>
      <c r="T82" s="66"/>
      <c r="U82" s="66" t="s">
        <v>182</v>
      </c>
      <c r="V82" s="69">
        <v>62634156</v>
      </c>
      <c r="W82" s="67">
        <v>45930.76</v>
      </c>
      <c r="X82" s="67">
        <v>45965</v>
      </c>
      <c r="Y82" s="66">
        <v>142996</v>
      </c>
      <c r="Z82" s="67">
        <v>45965.379189814812</v>
      </c>
      <c r="AA82" s="66">
        <v>901541137</v>
      </c>
      <c r="AB82" s="66" t="s">
        <v>184</v>
      </c>
      <c r="AC82" s="69">
        <v>232200</v>
      </c>
      <c r="AD82" s="69">
        <v>0</v>
      </c>
      <c r="AE82" s="66" t="s">
        <v>325</v>
      </c>
      <c r="AF82" s="66" t="s">
        <v>326</v>
      </c>
      <c r="AG82" s="66" t="s">
        <v>464</v>
      </c>
      <c r="AH82" s="66" t="s">
        <v>465</v>
      </c>
      <c r="AI82" s="66"/>
      <c r="AJ82" s="66" t="s">
        <v>537</v>
      </c>
    </row>
    <row r="83" spans="1:36" x14ac:dyDescent="0.25">
      <c r="A83" s="66" t="s">
        <v>179</v>
      </c>
      <c r="B83" s="66">
        <v>141806</v>
      </c>
      <c r="C83" s="67">
        <v>45987.677488425928</v>
      </c>
      <c r="D83" s="77">
        <v>2025</v>
      </c>
      <c r="E83" s="77">
        <v>11</v>
      </c>
      <c r="F83" s="66">
        <v>901541137</v>
      </c>
      <c r="G83" s="66"/>
      <c r="H83" s="66" t="s">
        <v>184</v>
      </c>
      <c r="I83" s="69">
        <v>62634156</v>
      </c>
      <c r="J83" s="66" t="s">
        <v>461</v>
      </c>
      <c r="K83" s="66"/>
      <c r="L83" s="66"/>
      <c r="M83" s="66"/>
      <c r="N83" s="66"/>
      <c r="O83" s="66"/>
      <c r="P83" s="66" t="s">
        <v>77</v>
      </c>
      <c r="Q83" s="68" t="str">
        <f t="shared" si="1"/>
        <v>HUS0000426076TA020162235</v>
      </c>
      <c r="R83" s="66" t="s">
        <v>467</v>
      </c>
      <c r="S83" s="66" t="s">
        <v>468</v>
      </c>
      <c r="T83" s="66"/>
      <c r="U83" s="66" t="s">
        <v>182</v>
      </c>
      <c r="V83" s="69">
        <v>62634156</v>
      </c>
      <c r="W83" s="67">
        <v>45930.76</v>
      </c>
      <c r="X83" s="67">
        <v>45965</v>
      </c>
      <c r="Y83" s="66">
        <v>142996</v>
      </c>
      <c r="Z83" s="67">
        <v>45965.379189814812</v>
      </c>
      <c r="AA83" s="66">
        <v>901541137</v>
      </c>
      <c r="AB83" s="66" t="s">
        <v>184</v>
      </c>
      <c r="AC83" s="69">
        <v>62235</v>
      </c>
      <c r="AD83" s="69">
        <v>0</v>
      </c>
      <c r="AE83" s="66" t="s">
        <v>185</v>
      </c>
      <c r="AF83" s="66" t="s">
        <v>186</v>
      </c>
      <c r="AG83" s="66" t="s">
        <v>464</v>
      </c>
      <c r="AH83" s="66" t="s">
        <v>465</v>
      </c>
      <c r="AI83" s="66"/>
      <c r="AJ83" s="66" t="s">
        <v>538</v>
      </c>
    </row>
    <row r="84" spans="1:36" x14ac:dyDescent="0.25">
      <c r="A84" s="66" t="s">
        <v>179</v>
      </c>
      <c r="B84" s="66">
        <v>141806</v>
      </c>
      <c r="C84" s="67">
        <v>45987.677488425928</v>
      </c>
      <c r="D84" s="77">
        <v>2025</v>
      </c>
      <c r="E84" s="77">
        <v>11</v>
      </c>
      <c r="F84" s="66">
        <v>901541137</v>
      </c>
      <c r="G84" s="66"/>
      <c r="H84" s="66" t="s">
        <v>184</v>
      </c>
      <c r="I84" s="69">
        <v>62634156</v>
      </c>
      <c r="J84" s="66" t="s">
        <v>461</v>
      </c>
      <c r="K84" s="66"/>
      <c r="L84" s="66"/>
      <c r="M84" s="66"/>
      <c r="N84" s="66"/>
      <c r="O84" s="66"/>
      <c r="P84" s="66" t="s">
        <v>77</v>
      </c>
      <c r="Q84" s="68" t="str">
        <f t="shared" si="1"/>
        <v>HUS0000426076TA030162277</v>
      </c>
      <c r="R84" s="66" t="s">
        <v>467</v>
      </c>
      <c r="S84" s="66" t="s">
        <v>468</v>
      </c>
      <c r="T84" s="66"/>
      <c r="U84" s="66" t="s">
        <v>182</v>
      </c>
      <c r="V84" s="69">
        <v>62634156</v>
      </c>
      <c r="W84" s="67">
        <v>45930.76</v>
      </c>
      <c r="X84" s="67">
        <v>45965</v>
      </c>
      <c r="Y84" s="66">
        <v>142996</v>
      </c>
      <c r="Z84" s="67">
        <v>45965.379189814812</v>
      </c>
      <c r="AA84" s="66">
        <v>901541137</v>
      </c>
      <c r="AB84" s="66" t="s">
        <v>184</v>
      </c>
      <c r="AC84" s="69">
        <v>62277</v>
      </c>
      <c r="AD84" s="69">
        <v>0</v>
      </c>
      <c r="AE84" s="66" t="s">
        <v>328</v>
      </c>
      <c r="AF84" s="66" t="s">
        <v>329</v>
      </c>
      <c r="AG84" s="66" t="s">
        <v>464</v>
      </c>
      <c r="AH84" s="66" t="s">
        <v>465</v>
      </c>
      <c r="AI84" s="66"/>
      <c r="AJ84" s="66" t="s">
        <v>538</v>
      </c>
    </row>
    <row r="85" spans="1:36" x14ac:dyDescent="0.25">
      <c r="A85" s="66" t="s">
        <v>179</v>
      </c>
      <c r="B85" s="66">
        <v>141808</v>
      </c>
      <c r="C85" s="67">
        <v>45987.683125000003</v>
      </c>
      <c r="D85" s="77">
        <v>2025</v>
      </c>
      <c r="E85" s="77">
        <v>11</v>
      </c>
      <c r="F85" s="66">
        <v>901541137</v>
      </c>
      <c r="G85" s="66"/>
      <c r="H85" s="66" t="s">
        <v>184</v>
      </c>
      <c r="I85" s="69">
        <v>13888066</v>
      </c>
      <c r="J85" s="66" t="s">
        <v>461</v>
      </c>
      <c r="K85" s="66"/>
      <c r="L85" s="66"/>
      <c r="M85" s="66"/>
      <c r="N85" s="66"/>
      <c r="O85" s="66"/>
      <c r="P85" s="66" t="s">
        <v>79</v>
      </c>
      <c r="Q85" s="68" t="str">
        <f t="shared" si="1"/>
        <v>HUS0000425903TA58013644048</v>
      </c>
      <c r="R85" s="66" t="s">
        <v>467</v>
      </c>
      <c r="S85" s="66" t="s">
        <v>468</v>
      </c>
      <c r="T85" s="66"/>
      <c r="U85" s="66" t="s">
        <v>182</v>
      </c>
      <c r="V85" s="69">
        <v>13888066</v>
      </c>
      <c r="W85" s="67">
        <v>45930.645358796297</v>
      </c>
      <c r="X85" s="67">
        <v>45965</v>
      </c>
      <c r="Y85" s="66">
        <v>143017</v>
      </c>
      <c r="Z85" s="67">
        <v>45965.390405092592</v>
      </c>
      <c r="AA85" s="66">
        <v>901541137</v>
      </c>
      <c r="AB85" s="66" t="s">
        <v>184</v>
      </c>
      <c r="AC85" s="69">
        <v>3644048</v>
      </c>
      <c r="AD85" s="69">
        <v>0</v>
      </c>
      <c r="AE85" s="66" t="s">
        <v>201</v>
      </c>
      <c r="AF85" s="66" t="s">
        <v>202</v>
      </c>
      <c r="AG85" s="66" t="s">
        <v>464</v>
      </c>
      <c r="AH85" s="66" t="s">
        <v>465</v>
      </c>
      <c r="AI85" s="66"/>
      <c r="AJ85" s="66" t="s">
        <v>539</v>
      </c>
    </row>
    <row r="86" spans="1:36" x14ac:dyDescent="0.25">
      <c r="A86" s="66" t="s">
        <v>179</v>
      </c>
      <c r="B86" s="66">
        <v>141808</v>
      </c>
      <c r="C86" s="67">
        <v>45987.683125000003</v>
      </c>
      <c r="D86" s="77">
        <v>2025</v>
      </c>
      <c r="E86" s="77">
        <v>11</v>
      </c>
      <c r="F86" s="66">
        <v>901541137</v>
      </c>
      <c r="G86" s="66"/>
      <c r="H86" s="66" t="s">
        <v>184</v>
      </c>
      <c r="I86" s="69">
        <v>13888066</v>
      </c>
      <c r="J86" s="66" t="s">
        <v>461</v>
      </c>
      <c r="K86" s="66"/>
      <c r="L86" s="66"/>
      <c r="M86" s="66"/>
      <c r="N86" s="66"/>
      <c r="O86" s="66"/>
      <c r="P86" s="66" t="s">
        <v>79</v>
      </c>
      <c r="Q86" s="68" t="str">
        <f t="shared" si="1"/>
        <v>HUS0000425903FA5802666435</v>
      </c>
      <c r="R86" s="66" t="s">
        <v>467</v>
      </c>
      <c r="S86" s="66" t="s">
        <v>468</v>
      </c>
      <c r="T86" s="66"/>
      <c r="U86" s="66" t="s">
        <v>182</v>
      </c>
      <c r="V86" s="69">
        <v>13888066</v>
      </c>
      <c r="W86" s="67">
        <v>45930.645358796297</v>
      </c>
      <c r="X86" s="67">
        <v>45965</v>
      </c>
      <c r="Y86" s="66">
        <v>143017</v>
      </c>
      <c r="Z86" s="67">
        <v>45965.390405092592</v>
      </c>
      <c r="AA86" s="66">
        <v>901541137</v>
      </c>
      <c r="AB86" s="66" t="s">
        <v>184</v>
      </c>
      <c r="AC86" s="69">
        <v>666435</v>
      </c>
      <c r="AD86" s="69">
        <v>0</v>
      </c>
      <c r="AE86" s="66" t="s">
        <v>333</v>
      </c>
      <c r="AF86" s="66" t="s">
        <v>334</v>
      </c>
      <c r="AG86" s="66" t="s">
        <v>464</v>
      </c>
      <c r="AH86" s="66" t="s">
        <v>465</v>
      </c>
      <c r="AI86" s="66"/>
      <c r="AJ86" s="66" t="s">
        <v>540</v>
      </c>
    </row>
    <row r="87" spans="1:36" x14ac:dyDescent="0.25">
      <c r="A87" s="66" t="s">
        <v>179</v>
      </c>
      <c r="B87" s="66">
        <v>141808</v>
      </c>
      <c r="C87" s="67">
        <v>45987.683125000003</v>
      </c>
      <c r="D87" s="77">
        <v>2025</v>
      </c>
      <c r="E87" s="77">
        <v>11</v>
      </c>
      <c r="F87" s="66">
        <v>901541137</v>
      </c>
      <c r="G87" s="66"/>
      <c r="H87" s="66" t="s">
        <v>184</v>
      </c>
      <c r="I87" s="69">
        <v>13888066</v>
      </c>
      <c r="J87" s="66" t="s">
        <v>461</v>
      </c>
      <c r="K87" s="66"/>
      <c r="L87" s="66"/>
      <c r="M87" s="66"/>
      <c r="N87" s="66"/>
      <c r="O87" s="66"/>
      <c r="P87" s="66" t="s">
        <v>79</v>
      </c>
      <c r="Q87" s="68" t="str">
        <f t="shared" si="1"/>
        <v>HUS0000425903TA08012065650</v>
      </c>
      <c r="R87" s="66" t="s">
        <v>467</v>
      </c>
      <c r="S87" s="66" t="s">
        <v>468</v>
      </c>
      <c r="T87" s="66"/>
      <c r="U87" s="66" t="s">
        <v>182</v>
      </c>
      <c r="V87" s="69">
        <v>13888066</v>
      </c>
      <c r="W87" s="67">
        <v>45930.645358796297</v>
      </c>
      <c r="X87" s="67">
        <v>45965</v>
      </c>
      <c r="Y87" s="66">
        <v>143017</v>
      </c>
      <c r="Z87" s="67">
        <v>45965.390405092592</v>
      </c>
      <c r="AA87" s="66">
        <v>901541137</v>
      </c>
      <c r="AB87" s="66" t="s">
        <v>184</v>
      </c>
      <c r="AC87" s="69">
        <v>2065650</v>
      </c>
      <c r="AD87" s="69">
        <v>0</v>
      </c>
      <c r="AE87" s="66" t="s">
        <v>212</v>
      </c>
      <c r="AF87" s="66" t="s">
        <v>213</v>
      </c>
      <c r="AG87" s="66" t="s">
        <v>464</v>
      </c>
      <c r="AH87" s="66" t="s">
        <v>465</v>
      </c>
      <c r="AI87" s="66"/>
      <c r="AJ87" s="66" t="s">
        <v>539</v>
      </c>
    </row>
    <row r="88" spans="1:36" x14ac:dyDescent="0.25">
      <c r="A88" s="66" t="s">
        <v>179</v>
      </c>
      <c r="B88" s="66">
        <v>141809</v>
      </c>
      <c r="C88" s="67">
        <v>45987.684872685182</v>
      </c>
      <c r="D88" s="77">
        <v>2025</v>
      </c>
      <c r="E88" s="77">
        <v>11</v>
      </c>
      <c r="F88" s="66">
        <v>901541137</v>
      </c>
      <c r="G88" s="66"/>
      <c r="H88" s="66" t="s">
        <v>184</v>
      </c>
      <c r="I88" s="69">
        <v>34668018</v>
      </c>
      <c r="J88" s="66" t="s">
        <v>461</v>
      </c>
      <c r="K88" s="66"/>
      <c r="L88" s="66"/>
      <c r="M88" s="66"/>
      <c r="N88" s="66"/>
      <c r="O88" s="66"/>
      <c r="P88" s="66" t="s">
        <v>80</v>
      </c>
      <c r="Q88" s="68" t="str">
        <f t="shared" si="1"/>
        <v>HUS0000426045FA080314913</v>
      </c>
      <c r="R88" s="66" t="s">
        <v>467</v>
      </c>
      <c r="S88" s="66" t="s">
        <v>468</v>
      </c>
      <c r="T88" s="66"/>
      <c r="U88" s="66" t="s">
        <v>182</v>
      </c>
      <c r="V88" s="69">
        <v>34668018</v>
      </c>
      <c r="W88" s="67">
        <v>45930.739155092589</v>
      </c>
      <c r="X88" s="67">
        <v>45965</v>
      </c>
      <c r="Y88" s="66">
        <v>143020</v>
      </c>
      <c r="Z88" s="67">
        <v>45965.391921296294</v>
      </c>
      <c r="AA88" s="66">
        <v>901541137</v>
      </c>
      <c r="AB88" s="66" t="s">
        <v>184</v>
      </c>
      <c r="AC88" s="69">
        <v>14913</v>
      </c>
      <c r="AD88" s="69">
        <v>0</v>
      </c>
      <c r="AE88" s="66" t="s">
        <v>321</v>
      </c>
      <c r="AF88" s="66" t="s">
        <v>322</v>
      </c>
      <c r="AG88" s="66" t="s">
        <v>464</v>
      </c>
      <c r="AH88" s="66" t="s">
        <v>465</v>
      </c>
      <c r="AI88" s="66"/>
      <c r="AJ88" s="66" t="s">
        <v>541</v>
      </c>
    </row>
    <row r="89" spans="1:36" x14ac:dyDescent="0.25">
      <c r="A89" s="66" t="s">
        <v>179</v>
      </c>
      <c r="B89" s="66">
        <v>141809</v>
      </c>
      <c r="C89" s="67">
        <v>45987.684872685182</v>
      </c>
      <c r="D89" s="77">
        <v>2025</v>
      </c>
      <c r="E89" s="77">
        <v>11</v>
      </c>
      <c r="F89" s="66">
        <v>901541137</v>
      </c>
      <c r="G89" s="66"/>
      <c r="H89" s="66" t="s">
        <v>184</v>
      </c>
      <c r="I89" s="69">
        <v>34668018</v>
      </c>
      <c r="J89" s="66" t="s">
        <v>461</v>
      </c>
      <c r="K89" s="66"/>
      <c r="L89" s="66"/>
      <c r="M89" s="66"/>
      <c r="N89" s="66"/>
      <c r="O89" s="66"/>
      <c r="P89" s="66" t="s">
        <v>80</v>
      </c>
      <c r="Q89" s="68" t="str">
        <f t="shared" si="1"/>
        <v>HUS0000426045FA58031753254</v>
      </c>
      <c r="R89" s="66" t="s">
        <v>467</v>
      </c>
      <c r="S89" s="66" t="s">
        <v>468</v>
      </c>
      <c r="T89" s="66"/>
      <c r="U89" s="66" t="s">
        <v>182</v>
      </c>
      <c r="V89" s="69">
        <v>34668018</v>
      </c>
      <c r="W89" s="67">
        <v>45930.739155092589</v>
      </c>
      <c r="X89" s="67">
        <v>45965</v>
      </c>
      <c r="Y89" s="66">
        <v>143020</v>
      </c>
      <c r="Z89" s="67">
        <v>45965.391921296294</v>
      </c>
      <c r="AA89" s="66">
        <v>901541137</v>
      </c>
      <c r="AB89" s="66" t="s">
        <v>184</v>
      </c>
      <c r="AC89" s="69">
        <v>1753254</v>
      </c>
      <c r="AD89" s="69">
        <v>0</v>
      </c>
      <c r="AE89" s="66" t="s">
        <v>266</v>
      </c>
      <c r="AF89" s="66" t="s">
        <v>267</v>
      </c>
      <c r="AG89" s="66" t="s">
        <v>464</v>
      </c>
      <c r="AH89" s="66" t="s">
        <v>465</v>
      </c>
      <c r="AI89" s="66"/>
      <c r="AJ89" s="66" t="s">
        <v>540</v>
      </c>
    </row>
    <row r="90" spans="1:36" x14ac:dyDescent="0.25">
      <c r="A90" s="66" t="s">
        <v>179</v>
      </c>
      <c r="B90" s="66">
        <v>141809</v>
      </c>
      <c r="C90" s="67">
        <v>45987.684872685182</v>
      </c>
      <c r="D90" s="77">
        <v>2025</v>
      </c>
      <c r="E90" s="77">
        <v>11</v>
      </c>
      <c r="F90" s="66">
        <v>901541137</v>
      </c>
      <c r="G90" s="66"/>
      <c r="H90" s="66" t="s">
        <v>184</v>
      </c>
      <c r="I90" s="69">
        <v>34668018</v>
      </c>
      <c r="J90" s="66" t="s">
        <v>461</v>
      </c>
      <c r="K90" s="66"/>
      <c r="L90" s="66"/>
      <c r="M90" s="66"/>
      <c r="N90" s="66"/>
      <c r="O90" s="66"/>
      <c r="P90" s="66" t="s">
        <v>80</v>
      </c>
      <c r="Q90" s="68" t="str">
        <f t="shared" si="1"/>
        <v>HUS0000426045SO06012010000</v>
      </c>
      <c r="R90" s="66" t="s">
        <v>467</v>
      </c>
      <c r="S90" s="66" t="s">
        <v>468</v>
      </c>
      <c r="T90" s="66"/>
      <c r="U90" s="66" t="s">
        <v>182</v>
      </c>
      <c r="V90" s="69">
        <v>34668018</v>
      </c>
      <c r="W90" s="67">
        <v>45930.739155092589</v>
      </c>
      <c r="X90" s="67">
        <v>45965</v>
      </c>
      <c r="Y90" s="66">
        <v>143020</v>
      </c>
      <c r="Z90" s="67">
        <v>45965.391921296294</v>
      </c>
      <c r="AA90" s="66">
        <v>901541137</v>
      </c>
      <c r="AB90" s="66" t="s">
        <v>184</v>
      </c>
      <c r="AC90" s="69">
        <v>2010000</v>
      </c>
      <c r="AD90" s="69">
        <v>0</v>
      </c>
      <c r="AE90" s="66" t="s">
        <v>336</v>
      </c>
      <c r="AF90" s="66" t="s">
        <v>337</v>
      </c>
      <c r="AG90" s="66" t="s">
        <v>464</v>
      </c>
      <c r="AH90" s="66" t="s">
        <v>465</v>
      </c>
      <c r="AI90" s="66"/>
      <c r="AJ90" s="66" t="s">
        <v>542</v>
      </c>
    </row>
    <row r="91" spans="1:36" x14ac:dyDescent="0.25">
      <c r="A91" s="66" t="s">
        <v>179</v>
      </c>
      <c r="B91" s="66">
        <v>141809</v>
      </c>
      <c r="C91" s="67">
        <v>45987.684872685182</v>
      </c>
      <c r="D91" s="77">
        <v>2025</v>
      </c>
      <c r="E91" s="77">
        <v>11</v>
      </c>
      <c r="F91" s="66">
        <v>901541137</v>
      </c>
      <c r="G91" s="66"/>
      <c r="H91" s="66" t="s">
        <v>184</v>
      </c>
      <c r="I91" s="69">
        <v>34668018</v>
      </c>
      <c r="J91" s="66" t="s">
        <v>461</v>
      </c>
      <c r="K91" s="66"/>
      <c r="L91" s="66"/>
      <c r="M91" s="66"/>
      <c r="N91" s="66"/>
      <c r="O91" s="66"/>
      <c r="P91" s="66" t="s">
        <v>80</v>
      </c>
      <c r="Q91" s="68" t="str">
        <f t="shared" si="1"/>
        <v>HUS0000426045TA58013757721</v>
      </c>
      <c r="R91" s="66" t="s">
        <v>467</v>
      </c>
      <c r="S91" s="66" t="s">
        <v>468</v>
      </c>
      <c r="T91" s="66"/>
      <c r="U91" s="66" t="s">
        <v>182</v>
      </c>
      <c r="V91" s="69">
        <v>34668018</v>
      </c>
      <c r="W91" s="67">
        <v>45930.739155092589</v>
      </c>
      <c r="X91" s="67">
        <v>45965</v>
      </c>
      <c r="Y91" s="66">
        <v>143020</v>
      </c>
      <c r="Z91" s="67">
        <v>45965.391921296294</v>
      </c>
      <c r="AA91" s="66">
        <v>901541137</v>
      </c>
      <c r="AB91" s="66" t="s">
        <v>184</v>
      </c>
      <c r="AC91" s="69">
        <v>3757721</v>
      </c>
      <c r="AD91" s="69">
        <v>0</v>
      </c>
      <c r="AE91" s="66" t="s">
        <v>201</v>
      </c>
      <c r="AF91" s="66" t="s">
        <v>202</v>
      </c>
      <c r="AG91" s="66" t="s">
        <v>464</v>
      </c>
      <c r="AH91" s="66" t="s">
        <v>465</v>
      </c>
      <c r="AI91" s="66"/>
      <c r="AJ91" s="66" t="s">
        <v>543</v>
      </c>
    </row>
    <row r="92" spans="1:36" x14ac:dyDescent="0.25">
      <c r="A92" s="66" t="s">
        <v>179</v>
      </c>
      <c r="B92" s="66">
        <v>141810</v>
      </c>
      <c r="C92" s="67">
        <v>45987.697384259256</v>
      </c>
      <c r="D92" s="77">
        <v>2025</v>
      </c>
      <c r="E92" s="77">
        <v>11</v>
      </c>
      <c r="F92" s="66">
        <v>901541137</v>
      </c>
      <c r="G92" s="66"/>
      <c r="H92" s="66" t="s">
        <v>184</v>
      </c>
      <c r="I92" s="69">
        <v>22099428</v>
      </c>
      <c r="J92" s="66" t="s">
        <v>461</v>
      </c>
      <c r="K92" s="66"/>
      <c r="L92" s="66"/>
      <c r="M92" s="66"/>
      <c r="N92" s="66"/>
      <c r="O92" s="66"/>
      <c r="P92" s="66" t="s">
        <v>75</v>
      </c>
      <c r="Q92" s="68" t="str">
        <f t="shared" si="1"/>
        <v>HUS0000422238FA060115137800</v>
      </c>
      <c r="R92" s="66" t="s">
        <v>467</v>
      </c>
      <c r="S92" s="66" t="s">
        <v>468</v>
      </c>
      <c r="T92" s="66"/>
      <c r="U92" s="66" t="s">
        <v>182</v>
      </c>
      <c r="V92" s="69">
        <v>22099428</v>
      </c>
      <c r="W92" s="67">
        <v>45922.701249999998</v>
      </c>
      <c r="X92" s="67">
        <v>45965</v>
      </c>
      <c r="Y92" s="66">
        <v>142966</v>
      </c>
      <c r="Z92" s="67">
        <v>45965.356921296298</v>
      </c>
      <c r="AA92" s="66">
        <v>901541137</v>
      </c>
      <c r="AB92" s="66" t="s">
        <v>184</v>
      </c>
      <c r="AC92" s="69">
        <v>15137800</v>
      </c>
      <c r="AD92" s="69">
        <v>0</v>
      </c>
      <c r="AE92" s="66" t="s">
        <v>309</v>
      </c>
      <c r="AF92" s="66" t="s">
        <v>310</v>
      </c>
      <c r="AG92" s="66" t="s">
        <v>464</v>
      </c>
      <c r="AH92" s="66" t="s">
        <v>465</v>
      </c>
      <c r="AI92" s="66"/>
      <c r="AJ92" s="66" t="s">
        <v>544</v>
      </c>
    </row>
    <row r="93" spans="1:36" x14ac:dyDescent="0.25">
      <c r="A93" s="66" t="s">
        <v>179</v>
      </c>
      <c r="B93" s="66">
        <v>141819</v>
      </c>
      <c r="C93" s="67">
        <v>45988.379050925927</v>
      </c>
      <c r="D93" s="77">
        <v>2025</v>
      </c>
      <c r="E93" s="77">
        <v>11</v>
      </c>
      <c r="F93" s="66">
        <v>901541137</v>
      </c>
      <c r="G93" s="66"/>
      <c r="H93" s="66" t="s">
        <v>184</v>
      </c>
      <c r="I93" s="69">
        <v>1259505</v>
      </c>
      <c r="J93" s="66" t="s">
        <v>480</v>
      </c>
      <c r="K93" s="66"/>
      <c r="L93" s="66"/>
      <c r="M93" s="66"/>
      <c r="N93" s="66"/>
      <c r="O93" s="66"/>
      <c r="P93" s="66" t="s">
        <v>102</v>
      </c>
      <c r="Q93" s="68" t="str">
        <f t="shared" si="1"/>
        <v>HUS0000431722CL07013700</v>
      </c>
      <c r="R93" s="66" t="s">
        <v>467</v>
      </c>
      <c r="S93" s="66" t="s">
        <v>468</v>
      </c>
      <c r="T93" s="66"/>
      <c r="U93" s="66" t="s">
        <v>182</v>
      </c>
      <c r="V93" s="69">
        <v>1263205</v>
      </c>
      <c r="W93" s="67">
        <v>45946.50644675926</v>
      </c>
      <c r="X93" s="67">
        <v>45979</v>
      </c>
      <c r="Y93" s="66">
        <v>145650</v>
      </c>
      <c r="Z93" s="67">
        <v>45979.424768518518</v>
      </c>
      <c r="AA93" s="66">
        <v>901541137</v>
      </c>
      <c r="AB93" s="66" t="s">
        <v>184</v>
      </c>
      <c r="AC93" s="69">
        <v>3700</v>
      </c>
      <c r="AD93" s="69">
        <v>3700</v>
      </c>
      <c r="AE93" s="66" t="s">
        <v>271</v>
      </c>
      <c r="AF93" s="66" t="s">
        <v>272</v>
      </c>
      <c r="AG93" s="66" t="s">
        <v>486</v>
      </c>
      <c r="AH93" s="66" t="s">
        <v>487</v>
      </c>
      <c r="AI93" s="66"/>
      <c r="AJ93" s="66" t="s">
        <v>545</v>
      </c>
    </row>
    <row r="94" spans="1:36" x14ac:dyDescent="0.25">
      <c r="A94" s="66" t="s">
        <v>179</v>
      </c>
      <c r="B94" s="66">
        <v>141820</v>
      </c>
      <c r="C94" s="67">
        <v>45988.428055555552</v>
      </c>
      <c r="D94" s="77">
        <v>2025</v>
      </c>
      <c r="E94" s="77">
        <v>11</v>
      </c>
      <c r="F94" s="66">
        <v>901541137</v>
      </c>
      <c r="G94" s="66"/>
      <c r="H94" s="66" t="s">
        <v>184</v>
      </c>
      <c r="I94" s="69">
        <v>11941644</v>
      </c>
      <c r="J94" s="66" t="s">
        <v>461</v>
      </c>
      <c r="K94" s="66"/>
      <c r="L94" s="66"/>
      <c r="M94" s="66"/>
      <c r="N94" s="66"/>
      <c r="O94" s="66"/>
      <c r="P94" s="66" t="s">
        <v>109</v>
      </c>
      <c r="Q94" s="68" t="str">
        <f t="shared" si="1"/>
        <v>HUS0000432292CL2301547500</v>
      </c>
      <c r="R94" s="66" t="s">
        <v>462</v>
      </c>
      <c r="S94" s="66" t="s">
        <v>463</v>
      </c>
      <c r="T94" s="66"/>
      <c r="U94" s="66" t="s">
        <v>182</v>
      </c>
      <c r="V94" s="69">
        <v>11941644</v>
      </c>
      <c r="W94" s="67">
        <v>45947.60738425926</v>
      </c>
      <c r="X94" s="67">
        <v>45979</v>
      </c>
      <c r="Y94" s="66">
        <v>145654</v>
      </c>
      <c r="Z94" s="67">
        <v>45979.428067129629</v>
      </c>
      <c r="AA94" s="66">
        <v>901541137</v>
      </c>
      <c r="AB94" s="66" t="s">
        <v>184</v>
      </c>
      <c r="AC94" s="69">
        <v>547500</v>
      </c>
      <c r="AD94" s="69">
        <v>238614</v>
      </c>
      <c r="AE94" s="66" t="s">
        <v>275</v>
      </c>
      <c r="AF94" s="66" t="s">
        <v>276</v>
      </c>
      <c r="AG94" s="66" t="s">
        <v>474</v>
      </c>
      <c r="AH94" s="66" t="s">
        <v>475</v>
      </c>
      <c r="AI94" s="66"/>
      <c r="AJ94" s="66" t="s">
        <v>546</v>
      </c>
    </row>
    <row r="95" spans="1:36" x14ac:dyDescent="0.25">
      <c r="A95" s="66" t="s">
        <v>179</v>
      </c>
      <c r="B95" s="66">
        <v>141820</v>
      </c>
      <c r="C95" s="67">
        <v>45988.428055555552</v>
      </c>
      <c r="D95" s="77">
        <v>2025</v>
      </c>
      <c r="E95" s="77">
        <v>11</v>
      </c>
      <c r="F95" s="66">
        <v>901541137</v>
      </c>
      <c r="G95" s="66"/>
      <c r="H95" s="66" t="s">
        <v>184</v>
      </c>
      <c r="I95" s="69">
        <v>11941644</v>
      </c>
      <c r="J95" s="66" t="s">
        <v>461</v>
      </c>
      <c r="K95" s="66"/>
      <c r="L95" s="66"/>
      <c r="M95" s="66"/>
      <c r="N95" s="66"/>
      <c r="O95" s="66"/>
      <c r="P95" s="66" t="s">
        <v>109</v>
      </c>
      <c r="Q95" s="68" t="str">
        <f t="shared" si="1"/>
        <v>HUS0000432292TA06013228675</v>
      </c>
      <c r="R95" s="66" t="s">
        <v>462</v>
      </c>
      <c r="S95" s="66" t="s">
        <v>463</v>
      </c>
      <c r="T95" s="66"/>
      <c r="U95" s="66" t="s">
        <v>182</v>
      </c>
      <c r="V95" s="69">
        <v>11941644</v>
      </c>
      <c r="W95" s="67">
        <v>45947.60738425926</v>
      </c>
      <c r="X95" s="67">
        <v>45979</v>
      </c>
      <c r="Y95" s="66">
        <v>145654</v>
      </c>
      <c r="Z95" s="67">
        <v>45979.428067129629</v>
      </c>
      <c r="AA95" s="66">
        <v>901541137</v>
      </c>
      <c r="AB95" s="66" t="s">
        <v>184</v>
      </c>
      <c r="AC95" s="69">
        <v>3228675</v>
      </c>
      <c r="AD95" s="69">
        <v>0</v>
      </c>
      <c r="AE95" s="66" t="s">
        <v>227</v>
      </c>
      <c r="AF95" s="66" t="s">
        <v>228</v>
      </c>
      <c r="AG95" s="66" t="s">
        <v>464</v>
      </c>
      <c r="AH95" s="66" t="s">
        <v>465</v>
      </c>
      <c r="AI95" s="66"/>
      <c r="AJ95" s="66" t="s">
        <v>547</v>
      </c>
    </row>
    <row r="96" spans="1:36" x14ac:dyDescent="0.25">
      <c r="A96" s="66" t="s">
        <v>179</v>
      </c>
      <c r="B96" s="66">
        <v>141821</v>
      </c>
      <c r="C96" s="67">
        <v>45988.431446759256</v>
      </c>
      <c r="D96" s="77">
        <v>2025</v>
      </c>
      <c r="E96" s="77">
        <v>11</v>
      </c>
      <c r="F96" s="66">
        <v>901541137</v>
      </c>
      <c r="G96" s="66"/>
      <c r="H96" s="66" t="s">
        <v>184</v>
      </c>
      <c r="I96" s="69">
        <v>38909145</v>
      </c>
      <c r="J96" s="66" t="s">
        <v>480</v>
      </c>
      <c r="K96" s="66"/>
      <c r="L96" s="66"/>
      <c r="M96" s="66"/>
      <c r="N96" s="66"/>
      <c r="O96" s="66"/>
      <c r="P96" s="66" t="s">
        <v>95</v>
      </c>
      <c r="Q96" s="68" t="str">
        <f t="shared" si="1"/>
        <v>HUS0000432444CL01013188640</v>
      </c>
      <c r="R96" s="66" t="s">
        <v>467</v>
      </c>
      <c r="S96" s="66" t="s">
        <v>468</v>
      </c>
      <c r="T96" s="66"/>
      <c r="U96" s="66" t="s">
        <v>182</v>
      </c>
      <c r="V96" s="69">
        <v>38909145</v>
      </c>
      <c r="W96" s="67">
        <v>45947.771886574075</v>
      </c>
      <c r="X96" s="67">
        <v>45979</v>
      </c>
      <c r="Y96" s="66">
        <v>145656</v>
      </c>
      <c r="Z96" s="67">
        <v>45979.446493055555</v>
      </c>
      <c r="AA96" s="66">
        <v>901541137</v>
      </c>
      <c r="AB96" s="66" t="s">
        <v>184</v>
      </c>
      <c r="AC96" s="69">
        <v>3188640</v>
      </c>
      <c r="AD96" s="69">
        <v>0</v>
      </c>
      <c r="AE96" s="66" t="s">
        <v>194</v>
      </c>
      <c r="AF96" s="66" t="s">
        <v>195</v>
      </c>
      <c r="AG96" s="66" t="s">
        <v>464</v>
      </c>
      <c r="AH96" s="66" t="s">
        <v>465</v>
      </c>
      <c r="AI96" s="66"/>
      <c r="AJ96" s="66" t="s">
        <v>548</v>
      </c>
    </row>
    <row r="97" spans="1:37" x14ac:dyDescent="0.25">
      <c r="A97" s="66" t="s">
        <v>179</v>
      </c>
      <c r="B97" s="66">
        <v>141822</v>
      </c>
      <c r="C97" s="67">
        <v>45988.468923611108</v>
      </c>
      <c r="D97" s="77">
        <v>2025</v>
      </c>
      <c r="E97" s="77">
        <v>11</v>
      </c>
      <c r="F97" s="66">
        <v>901541137</v>
      </c>
      <c r="G97" s="66"/>
      <c r="H97" s="66" t="s">
        <v>184</v>
      </c>
      <c r="I97" s="69">
        <v>4665401</v>
      </c>
      <c r="J97" s="66" t="s">
        <v>480</v>
      </c>
      <c r="K97" s="66"/>
      <c r="L97" s="66"/>
      <c r="M97" s="66"/>
      <c r="N97" s="66"/>
      <c r="O97" s="66"/>
      <c r="P97" s="66" t="s">
        <v>123</v>
      </c>
      <c r="Q97" s="68" t="str">
        <f t="shared" si="1"/>
        <v>HUS0000435633CL58012249605</v>
      </c>
      <c r="R97" s="66" t="s">
        <v>467</v>
      </c>
      <c r="S97" s="66" t="s">
        <v>468</v>
      </c>
      <c r="T97" s="66"/>
      <c r="U97" s="66" t="s">
        <v>182</v>
      </c>
      <c r="V97" s="69">
        <v>5935091</v>
      </c>
      <c r="W97" s="67">
        <v>45957.37672453704</v>
      </c>
      <c r="X97" s="67">
        <v>45979</v>
      </c>
      <c r="Y97" s="66">
        <v>145676</v>
      </c>
      <c r="Z97" s="67">
        <v>45979.477835648147</v>
      </c>
      <c r="AA97" s="66">
        <v>901541137</v>
      </c>
      <c r="AB97" s="66" t="s">
        <v>184</v>
      </c>
      <c r="AC97" s="69">
        <v>2249605</v>
      </c>
      <c r="AD97" s="69">
        <v>1269690</v>
      </c>
      <c r="AE97" s="66" t="s">
        <v>279</v>
      </c>
      <c r="AF97" s="66" t="s">
        <v>280</v>
      </c>
      <c r="AG97" s="66" t="s">
        <v>474</v>
      </c>
      <c r="AH97" s="66" t="s">
        <v>475</v>
      </c>
      <c r="AI97" s="66"/>
      <c r="AJ97" s="66" t="s">
        <v>549</v>
      </c>
    </row>
    <row r="98" spans="1:37" x14ac:dyDescent="0.25">
      <c r="A98" s="66" t="s">
        <v>179</v>
      </c>
      <c r="B98" s="66">
        <v>141823</v>
      </c>
      <c r="C98" s="67">
        <v>45988.48332175926</v>
      </c>
      <c r="D98" s="77">
        <v>2025</v>
      </c>
      <c r="E98" s="77">
        <v>11</v>
      </c>
      <c r="F98" s="66">
        <v>901541137</v>
      </c>
      <c r="G98" s="66"/>
      <c r="H98" s="66" t="s">
        <v>184</v>
      </c>
      <c r="I98" s="69">
        <v>17268985</v>
      </c>
      <c r="J98" s="66" t="s">
        <v>461</v>
      </c>
      <c r="K98" s="66"/>
      <c r="L98" s="66"/>
      <c r="M98" s="66"/>
      <c r="N98" s="66"/>
      <c r="O98" s="66"/>
      <c r="P98" s="66" t="s">
        <v>91</v>
      </c>
      <c r="Q98" s="68" t="str">
        <f t="shared" si="1"/>
        <v>HUS0000428425CL030276988</v>
      </c>
      <c r="R98" s="66" t="s">
        <v>467</v>
      </c>
      <c r="S98" s="66" t="s">
        <v>468</v>
      </c>
      <c r="T98" s="66"/>
      <c r="U98" s="66" t="s">
        <v>182</v>
      </c>
      <c r="V98" s="69">
        <v>17268985</v>
      </c>
      <c r="W98" s="67">
        <v>45937.639432870368</v>
      </c>
      <c r="X98" s="67">
        <v>45979</v>
      </c>
      <c r="Y98" s="66">
        <v>145683</v>
      </c>
      <c r="Z98" s="67">
        <v>45979.547291666669</v>
      </c>
      <c r="AA98" s="66">
        <v>901541137</v>
      </c>
      <c r="AB98" s="66" t="s">
        <v>184</v>
      </c>
      <c r="AC98" s="69">
        <v>76988</v>
      </c>
      <c r="AD98" s="69">
        <v>0</v>
      </c>
      <c r="AE98" s="66" t="s">
        <v>365</v>
      </c>
      <c r="AF98" s="66" t="s">
        <v>366</v>
      </c>
      <c r="AG98" s="66" t="s">
        <v>464</v>
      </c>
      <c r="AH98" s="66" t="s">
        <v>465</v>
      </c>
      <c r="AI98" s="66"/>
      <c r="AJ98" s="66" t="s">
        <v>550</v>
      </c>
    </row>
    <row r="99" spans="1:37" x14ac:dyDescent="0.25">
      <c r="A99" s="66" t="s">
        <v>179</v>
      </c>
      <c r="B99" s="66">
        <v>141823</v>
      </c>
      <c r="C99" s="67">
        <v>45988.48332175926</v>
      </c>
      <c r="D99" s="77">
        <v>2025</v>
      </c>
      <c r="E99" s="77">
        <v>11</v>
      </c>
      <c r="F99" s="66">
        <v>901541137</v>
      </c>
      <c r="G99" s="66"/>
      <c r="H99" s="66" t="s">
        <v>184</v>
      </c>
      <c r="I99" s="69">
        <v>17268985</v>
      </c>
      <c r="J99" s="66" t="s">
        <v>461</v>
      </c>
      <c r="K99" s="66"/>
      <c r="L99" s="66"/>
      <c r="M99" s="66"/>
      <c r="N99" s="66"/>
      <c r="O99" s="66"/>
      <c r="P99" s="66" t="s">
        <v>91</v>
      </c>
      <c r="Q99" s="68" t="str">
        <f t="shared" si="1"/>
        <v>HUS0000428425FA06012815000</v>
      </c>
      <c r="R99" s="66" t="s">
        <v>467</v>
      </c>
      <c r="S99" s="66" t="s">
        <v>468</v>
      </c>
      <c r="T99" s="66"/>
      <c r="U99" s="66" t="s">
        <v>182</v>
      </c>
      <c r="V99" s="69">
        <v>17268985</v>
      </c>
      <c r="W99" s="67">
        <v>45937.639432870368</v>
      </c>
      <c r="X99" s="67">
        <v>45979</v>
      </c>
      <c r="Y99" s="66">
        <v>145683</v>
      </c>
      <c r="Z99" s="67">
        <v>45979.547291666669</v>
      </c>
      <c r="AA99" s="66">
        <v>901541137</v>
      </c>
      <c r="AB99" s="66" t="s">
        <v>184</v>
      </c>
      <c r="AC99" s="69">
        <v>2815000</v>
      </c>
      <c r="AD99" s="69">
        <v>0</v>
      </c>
      <c r="AE99" s="66" t="s">
        <v>309</v>
      </c>
      <c r="AF99" s="66" t="s">
        <v>310</v>
      </c>
      <c r="AG99" s="66" t="s">
        <v>464</v>
      </c>
      <c r="AH99" s="66" t="s">
        <v>465</v>
      </c>
      <c r="AI99" s="66"/>
      <c r="AJ99" s="66" t="s">
        <v>551</v>
      </c>
    </row>
    <row r="100" spans="1:37" x14ac:dyDescent="0.25">
      <c r="A100" s="66" t="s">
        <v>179</v>
      </c>
      <c r="B100" s="66">
        <v>141823</v>
      </c>
      <c r="C100" s="67">
        <v>45988.48332175926</v>
      </c>
      <c r="D100" s="77">
        <v>2025</v>
      </c>
      <c r="E100" s="77">
        <v>11</v>
      </c>
      <c r="F100" s="66">
        <v>901541137</v>
      </c>
      <c r="G100" s="66"/>
      <c r="H100" s="66" t="s">
        <v>184</v>
      </c>
      <c r="I100" s="69">
        <v>17268985</v>
      </c>
      <c r="J100" s="66" t="s">
        <v>461</v>
      </c>
      <c r="K100" s="66"/>
      <c r="L100" s="66"/>
      <c r="M100" s="66"/>
      <c r="N100" s="66"/>
      <c r="O100" s="66"/>
      <c r="P100" s="66" t="s">
        <v>91</v>
      </c>
      <c r="Q100" s="68" t="str">
        <f t="shared" si="1"/>
        <v>HUS0000428425FA060219600</v>
      </c>
      <c r="R100" s="66" t="s">
        <v>467</v>
      </c>
      <c r="S100" s="66" t="s">
        <v>468</v>
      </c>
      <c r="T100" s="66"/>
      <c r="U100" s="66" t="s">
        <v>182</v>
      </c>
      <c r="V100" s="69">
        <v>17268985</v>
      </c>
      <c r="W100" s="67">
        <v>45937.639432870368</v>
      </c>
      <c r="X100" s="67">
        <v>45979</v>
      </c>
      <c r="Y100" s="66">
        <v>145683</v>
      </c>
      <c r="Z100" s="67">
        <v>45979.547291666669</v>
      </c>
      <c r="AA100" s="66">
        <v>901541137</v>
      </c>
      <c r="AB100" s="66" t="s">
        <v>184</v>
      </c>
      <c r="AC100" s="69">
        <v>19600</v>
      </c>
      <c r="AD100" s="69">
        <v>0</v>
      </c>
      <c r="AE100" s="66" t="s">
        <v>230</v>
      </c>
      <c r="AF100" s="66" t="s">
        <v>231</v>
      </c>
      <c r="AG100" s="66" t="s">
        <v>464</v>
      </c>
      <c r="AH100" s="66" t="s">
        <v>465</v>
      </c>
      <c r="AI100" s="66"/>
      <c r="AJ100" s="66" t="s">
        <v>552</v>
      </c>
    </row>
    <row r="101" spans="1:37" x14ac:dyDescent="0.25">
      <c r="A101" s="66" t="s">
        <v>179</v>
      </c>
      <c r="B101" s="66">
        <v>141823</v>
      </c>
      <c r="C101" s="67">
        <v>45988.48332175926</v>
      </c>
      <c r="D101" s="77">
        <v>2025</v>
      </c>
      <c r="E101" s="77">
        <v>11</v>
      </c>
      <c r="F101" s="66">
        <v>901541137</v>
      </c>
      <c r="G101" s="66"/>
      <c r="H101" s="66" t="s">
        <v>184</v>
      </c>
      <c r="I101" s="69">
        <v>17268985</v>
      </c>
      <c r="J101" s="66" t="s">
        <v>461</v>
      </c>
      <c r="K101" s="66"/>
      <c r="L101" s="66"/>
      <c r="M101" s="66"/>
      <c r="N101" s="66"/>
      <c r="O101" s="66"/>
      <c r="P101" s="66" t="s">
        <v>91</v>
      </c>
      <c r="Q101" s="68" t="str">
        <f t="shared" si="1"/>
        <v>HUS0000428425TA5801563</v>
      </c>
      <c r="R101" s="66" t="s">
        <v>467</v>
      </c>
      <c r="S101" s="66" t="s">
        <v>468</v>
      </c>
      <c r="T101" s="66"/>
      <c r="U101" s="66" t="s">
        <v>182</v>
      </c>
      <c r="V101" s="69">
        <v>17268985</v>
      </c>
      <c r="W101" s="67">
        <v>45937.639432870368</v>
      </c>
      <c r="X101" s="67">
        <v>45979</v>
      </c>
      <c r="Y101" s="66">
        <v>145683</v>
      </c>
      <c r="Z101" s="67">
        <v>45979.547291666669</v>
      </c>
      <c r="AA101" s="66">
        <v>901541137</v>
      </c>
      <c r="AB101" s="66" t="s">
        <v>184</v>
      </c>
      <c r="AC101" s="69">
        <v>563</v>
      </c>
      <c r="AD101" s="69">
        <v>0</v>
      </c>
      <c r="AE101" s="66" t="s">
        <v>201</v>
      </c>
      <c r="AF101" s="66" t="s">
        <v>202</v>
      </c>
      <c r="AG101" s="66" t="s">
        <v>464</v>
      </c>
      <c r="AH101" s="66" t="s">
        <v>465</v>
      </c>
      <c r="AI101" s="66"/>
      <c r="AJ101" s="66" t="s">
        <v>553</v>
      </c>
    </row>
    <row r="102" spans="1:37" x14ac:dyDescent="0.25">
      <c r="A102" s="66" t="s">
        <v>179</v>
      </c>
      <c r="B102" s="66">
        <v>146743</v>
      </c>
      <c r="C102" s="67">
        <v>45989.555868055555</v>
      </c>
      <c r="D102" s="77">
        <v>2025</v>
      </c>
      <c r="E102" s="77">
        <v>11</v>
      </c>
      <c r="F102" s="66">
        <v>901541137</v>
      </c>
      <c r="G102" s="66"/>
      <c r="H102" s="66" t="s">
        <v>184</v>
      </c>
      <c r="I102" s="69">
        <v>32563634</v>
      </c>
      <c r="J102" s="66" t="s">
        <v>461</v>
      </c>
      <c r="K102" s="66"/>
      <c r="L102" s="66"/>
      <c r="M102" s="66"/>
      <c r="N102" s="66"/>
      <c r="O102" s="66"/>
      <c r="P102" s="66" t="s">
        <v>81</v>
      </c>
      <c r="Q102" s="68" t="str">
        <f t="shared" si="1"/>
        <v>HUS0000426013CO460132563634</v>
      </c>
      <c r="R102" s="66" t="s">
        <v>462</v>
      </c>
      <c r="S102" s="66" t="s">
        <v>463</v>
      </c>
      <c r="T102" s="66"/>
      <c r="U102" s="66" t="s">
        <v>182</v>
      </c>
      <c r="V102" s="69">
        <v>32563634</v>
      </c>
      <c r="W102" s="67">
        <v>45930.721377314818</v>
      </c>
      <c r="X102" s="67">
        <v>45967</v>
      </c>
      <c r="Y102" s="66">
        <v>143894</v>
      </c>
      <c r="Z102" s="67">
        <v>45967.336053240739</v>
      </c>
      <c r="AA102" s="66">
        <v>901541137</v>
      </c>
      <c r="AB102" s="66" t="s">
        <v>184</v>
      </c>
      <c r="AC102" s="69">
        <v>32563634</v>
      </c>
      <c r="AD102" s="69">
        <v>0</v>
      </c>
      <c r="AE102" s="66" t="s">
        <v>341</v>
      </c>
      <c r="AF102" s="66" t="s">
        <v>342</v>
      </c>
      <c r="AG102" s="66" t="s">
        <v>464</v>
      </c>
      <c r="AH102" s="66" t="s">
        <v>465</v>
      </c>
      <c r="AI102" s="66"/>
      <c r="AJ102" s="66" t="s">
        <v>554</v>
      </c>
    </row>
    <row r="103" spans="1:37" x14ac:dyDescent="0.25">
      <c r="A103" s="66" t="s">
        <v>179</v>
      </c>
      <c r="B103" s="66">
        <v>146759</v>
      </c>
      <c r="C103" s="67">
        <v>45993.377974537034</v>
      </c>
      <c r="D103" s="77">
        <v>2025</v>
      </c>
      <c r="E103" s="77">
        <v>12</v>
      </c>
      <c r="F103" s="66">
        <v>901541137</v>
      </c>
      <c r="G103" s="66"/>
      <c r="H103" s="66" t="s">
        <v>184</v>
      </c>
      <c r="I103" s="69">
        <v>2083997</v>
      </c>
      <c r="J103" s="66" t="s">
        <v>461</v>
      </c>
      <c r="K103" s="66"/>
      <c r="L103" s="66"/>
      <c r="M103" s="66"/>
      <c r="N103" s="66"/>
      <c r="O103" s="66"/>
      <c r="P103" s="66" t="s">
        <v>85</v>
      </c>
      <c r="Q103" s="68" t="str">
        <f t="shared" si="1"/>
        <v>HUS0000426969TA23011927200</v>
      </c>
      <c r="R103" s="66" t="s">
        <v>467</v>
      </c>
      <c r="S103" s="66" t="s">
        <v>468</v>
      </c>
      <c r="T103" s="66"/>
      <c r="U103" s="66" t="s">
        <v>182</v>
      </c>
      <c r="V103" s="69">
        <v>2083997</v>
      </c>
      <c r="W103" s="67">
        <v>45933.451701388891</v>
      </c>
      <c r="X103" s="67">
        <v>45971</v>
      </c>
      <c r="Y103" s="66">
        <v>144227</v>
      </c>
      <c r="Z103" s="67">
        <v>45971.389918981484</v>
      </c>
      <c r="AA103" s="66">
        <v>901541137</v>
      </c>
      <c r="AB103" s="66" t="s">
        <v>184</v>
      </c>
      <c r="AC103" s="69">
        <v>1927200</v>
      </c>
      <c r="AD103" s="69">
        <v>0</v>
      </c>
      <c r="AE103" s="66" t="s">
        <v>215</v>
      </c>
      <c r="AF103" s="66" t="s">
        <v>216</v>
      </c>
      <c r="AG103" s="66" t="s">
        <v>464</v>
      </c>
      <c r="AH103" s="66" t="s">
        <v>465</v>
      </c>
      <c r="AI103" s="66"/>
      <c r="AJ103" s="66" t="s">
        <v>555</v>
      </c>
      <c r="AK103" s="78" t="s">
        <v>42</v>
      </c>
    </row>
    <row r="104" spans="1:37" x14ac:dyDescent="0.25">
      <c r="A104" s="66" t="s">
        <v>179</v>
      </c>
      <c r="B104" s="66">
        <v>146829</v>
      </c>
      <c r="C104" s="67">
        <v>45994.376307870371</v>
      </c>
      <c r="D104" s="77">
        <v>2025</v>
      </c>
      <c r="E104" s="77">
        <v>12</v>
      </c>
      <c r="F104" s="66">
        <v>901541137</v>
      </c>
      <c r="G104" s="66"/>
      <c r="H104" s="66" t="s">
        <v>184</v>
      </c>
      <c r="I104" s="69">
        <v>104681063</v>
      </c>
      <c r="J104" s="66" t="s">
        <v>461</v>
      </c>
      <c r="K104" s="66"/>
      <c r="L104" s="66"/>
      <c r="M104" s="66"/>
      <c r="N104" s="66"/>
      <c r="O104" s="66"/>
      <c r="P104" s="66" t="s">
        <v>92</v>
      </c>
      <c r="Q104" s="68" t="str">
        <f t="shared" si="1"/>
        <v>HUS0000428523CL0201728385</v>
      </c>
      <c r="R104" s="66" t="s">
        <v>467</v>
      </c>
      <c r="S104" s="66" t="s">
        <v>468</v>
      </c>
      <c r="T104" s="66"/>
      <c r="U104" s="66" t="s">
        <v>182</v>
      </c>
      <c r="V104" s="69">
        <v>105004293</v>
      </c>
      <c r="W104" s="67">
        <v>45937.749155092592</v>
      </c>
      <c r="X104" s="67">
        <v>45979</v>
      </c>
      <c r="Y104" s="66">
        <v>145684</v>
      </c>
      <c r="Z104" s="67">
        <v>45979.550486111111</v>
      </c>
      <c r="AA104" s="66">
        <v>901541137</v>
      </c>
      <c r="AB104" s="66" t="s">
        <v>184</v>
      </c>
      <c r="AC104" s="69">
        <v>728385</v>
      </c>
      <c r="AD104" s="69">
        <v>323230</v>
      </c>
      <c r="AE104" s="66" t="s">
        <v>198</v>
      </c>
      <c r="AF104" s="66" t="s">
        <v>199</v>
      </c>
      <c r="AG104" s="66" t="s">
        <v>474</v>
      </c>
      <c r="AH104" s="66" t="s">
        <v>475</v>
      </c>
      <c r="AI104" s="66"/>
      <c r="AJ104" s="66" t="s">
        <v>556</v>
      </c>
      <c r="AK104" s="78" t="s">
        <v>42</v>
      </c>
    </row>
    <row r="105" spans="1:37" x14ac:dyDescent="0.25">
      <c r="A105" s="66" t="s">
        <v>179</v>
      </c>
      <c r="B105" s="66">
        <v>146829</v>
      </c>
      <c r="C105" s="67">
        <v>45994.376307870371</v>
      </c>
      <c r="D105" s="77">
        <v>2025</v>
      </c>
      <c r="E105" s="77">
        <v>12</v>
      </c>
      <c r="F105" s="66">
        <v>901541137</v>
      </c>
      <c r="G105" s="66"/>
      <c r="H105" s="66" t="s">
        <v>184</v>
      </c>
      <c r="I105" s="69">
        <v>104681063</v>
      </c>
      <c r="J105" s="66" t="s">
        <v>461</v>
      </c>
      <c r="K105" s="66"/>
      <c r="L105" s="66"/>
      <c r="M105" s="66"/>
      <c r="N105" s="66"/>
      <c r="O105" s="66"/>
      <c r="P105" s="66" t="s">
        <v>92</v>
      </c>
      <c r="Q105" s="68" t="str">
        <f t="shared" si="1"/>
        <v>HUS0000428523TA58014649823</v>
      </c>
      <c r="R105" s="66" t="s">
        <v>467</v>
      </c>
      <c r="S105" s="66" t="s">
        <v>468</v>
      </c>
      <c r="T105" s="66"/>
      <c r="U105" s="66" t="s">
        <v>182</v>
      </c>
      <c r="V105" s="69">
        <v>105004293</v>
      </c>
      <c r="W105" s="67">
        <v>45937.749155092592</v>
      </c>
      <c r="X105" s="67">
        <v>45979</v>
      </c>
      <c r="Y105" s="66">
        <v>145684</v>
      </c>
      <c r="Z105" s="67">
        <v>45979.550486111111</v>
      </c>
      <c r="AA105" s="66">
        <v>901541137</v>
      </c>
      <c r="AB105" s="66" t="s">
        <v>184</v>
      </c>
      <c r="AC105" s="69">
        <v>4649823</v>
      </c>
      <c r="AD105" s="69">
        <v>0</v>
      </c>
      <c r="AE105" s="66" t="s">
        <v>201</v>
      </c>
      <c r="AF105" s="66" t="s">
        <v>202</v>
      </c>
      <c r="AG105" s="66" t="s">
        <v>464</v>
      </c>
      <c r="AH105" s="66" t="s">
        <v>465</v>
      </c>
      <c r="AI105" s="66"/>
      <c r="AJ105" s="66" t="s">
        <v>557</v>
      </c>
      <c r="AK105" s="78" t="s">
        <v>42</v>
      </c>
    </row>
    <row r="106" spans="1:37" x14ac:dyDescent="0.25">
      <c r="A106" s="66" t="s">
        <v>179</v>
      </c>
      <c r="B106" s="66">
        <v>146829</v>
      </c>
      <c r="C106" s="67">
        <v>45994.376307870371</v>
      </c>
      <c r="D106" s="77">
        <v>2025</v>
      </c>
      <c r="E106" s="77">
        <v>12</v>
      </c>
      <c r="F106" s="66">
        <v>901541137</v>
      </c>
      <c r="G106" s="66"/>
      <c r="H106" s="66" t="s">
        <v>184</v>
      </c>
      <c r="I106" s="69">
        <v>104681063</v>
      </c>
      <c r="J106" s="66" t="s">
        <v>461</v>
      </c>
      <c r="K106" s="66"/>
      <c r="L106" s="66"/>
      <c r="M106" s="66"/>
      <c r="N106" s="66"/>
      <c r="O106" s="66"/>
      <c r="P106" s="66" t="s">
        <v>92</v>
      </c>
      <c r="Q106" s="68" t="str">
        <f t="shared" si="1"/>
        <v>HUS0000428523SO0401562692</v>
      </c>
      <c r="R106" s="66" t="s">
        <v>467</v>
      </c>
      <c r="S106" s="66" t="s">
        <v>468</v>
      </c>
      <c r="T106" s="66"/>
      <c r="U106" s="66" t="s">
        <v>182</v>
      </c>
      <c r="V106" s="69">
        <v>105004293</v>
      </c>
      <c r="W106" s="67">
        <v>45937.749155092592</v>
      </c>
      <c r="X106" s="67">
        <v>45979</v>
      </c>
      <c r="Y106" s="66">
        <v>145684</v>
      </c>
      <c r="Z106" s="67">
        <v>45979.550486111111</v>
      </c>
      <c r="AA106" s="66">
        <v>901541137</v>
      </c>
      <c r="AB106" s="66" t="s">
        <v>184</v>
      </c>
      <c r="AC106" s="69">
        <v>562692</v>
      </c>
      <c r="AD106" s="69">
        <v>0</v>
      </c>
      <c r="AE106" s="66" t="s">
        <v>372</v>
      </c>
      <c r="AF106" s="66" t="s">
        <v>373</v>
      </c>
      <c r="AG106" s="66" t="s">
        <v>464</v>
      </c>
      <c r="AH106" s="66" t="s">
        <v>465</v>
      </c>
      <c r="AI106" s="66"/>
      <c r="AJ106" s="66" t="s">
        <v>558</v>
      </c>
      <c r="AK106" s="78" t="s">
        <v>42</v>
      </c>
    </row>
    <row r="107" spans="1:37" x14ac:dyDescent="0.25">
      <c r="A107" s="66" t="s">
        <v>179</v>
      </c>
      <c r="B107" s="66">
        <v>146829</v>
      </c>
      <c r="C107" s="67">
        <v>45994.376307870371</v>
      </c>
      <c r="D107" s="77">
        <v>2025</v>
      </c>
      <c r="E107" s="77">
        <v>12</v>
      </c>
      <c r="F107" s="66">
        <v>901541137</v>
      </c>
      <c r="G107" s="66"/>
      <c r="H107" s="66" t="s">
        <v>184</v>
      </c>
      <c r="I107" s="69">
        <v>104681063</v>
      </c>
      <c r="J107" s="66" t="s">
        <v>461</v>
      </c>
      <c r="K107" s="66"/>
      <c r="L107" s="66"/>
      <c r="M107" s="66"/>
      <c r="N107" s="66"/>
      <c r="O107" s="66"/>
      <c r="P107" s="66" t="s">
        <v>92</v>
      </c>
      <c r="Q107" s="68" t="str">
        <f t="shared" si="1"/>
        <v>HUS0000428523TA0801100000</v>
      </c>
      <c r="R107" s="66" t="s">
        <v>467</v>
      </c>
      <c r="S107" s="66" t="s">
        <v>468</v>
      </c>
      <c r="T107" s="66"/>
      <c r="U107" s="66" t="s">
        <v>182</v>
      </c>
      <c r="V107" s="69">
        <v>105004293</v>
      </c>
      <c r="W107" s="67">
        <v>45937.749155092592</v>
      </c>
      <c r="X107" s="67">
        <v>45979</v>
      </c>
      <c r="Y107" s="66">
        <v>145684</v>
      </c>
      <c r="Z107" s="67">
        <v>45979.550486111111</v>
      </c>
      <c r="AA107" s="66">
        <v>901541137</v>
      </c>
      <c r="AB107" s="66" t="s">
        <v>184</v>
      </c>
      <c r="AC107" s="69">
        <v>100000</v>
      </c>
      <c r="AD107" s="69">
        <v>0</v>
      </c>
      <c r="AE107" s="66" t="s">
        <v>212</v>
      </c>
      <c r="AF107" s="66" t="s">
        <v>213</v>
      </c>
      <c r="AG107" s="66" t="s">
        <v>464</v>
      </c>
      <c r="AH107" s="66" t="s">
        <v>465</v>
      </c>
      <c r="AI107" s="66"/>
      <c r="AJ107" s="66" t="s">
        <v>557</v>
      </c>
      <c r="AK107" s="78" t="s">
        <v>42</v>
      </c>
    </row>
    <row r="108" spans="1:37" x14ac:dyDescent="0.25">
      <c r="A108" s="66" t="s">
        <v>179</v>
      </c>
      <c r="B108" s="66">
        <v>146829</v>
      </c>
      <c r="C108" s="67">
        <v>45994.376307870371</v>
      </c>
      <c r="D108" s="77">
        <v>2025</v>
      </c>
      <c r="E108" s="77">
        <v>12</v>
      </c>
      <c r="F108" s="66">
        <v>901541137</v>
      </c>
      <c r="G108" s="66"/>
      <c r="H108" s="66" t="s">
        <v>184</v>
      </c>
      <c r="I108" s="69">
        <v>104681063</v>
      </c>
      <c r="J108" s="66" t="s">
        <v>461</v>
      </c>
      <c r="K108" s="66"/>
      <c r="L108" s="66"/>
      <c r="M108" s="66"/>
      <c r="N108" s="66"/>
      <c r="O108" s="66"/>
      <c r="P108" s="66" t="s">
        <v>92</v>
      </c>
      <c r="Q108" s="68" t="str">
        <f t="shared" si="1"/>
        <v>HUS0000428523TA0101611651</v>
      </c>
      <c r="R108" s="66" t="s">
        <v>467</v>
      </c>
      <c r="S108" s="66" t="s">
        <v>468</v>
      </c>
      <c r="T108" s="66"/>
      <c r="U108" s="66" t="s">
        <v>182</v>
      </c>
      <c r="V108" s="69">
        <v>105004293</v>
      </c>
      <c r="W108" s="67">
        <v>45937.749155092592</v>
      </c>
      <c r="X108" s="67">
        <v>45979</v>
      </c>
      <c r="Y108" s="66">
        <v>145684</v>
      </c>
      <c r="Z108" s="67">
        <v>45979.550486111111</v>
      </c>
      <c r="AA108" s="66">
        <v>901541137</v>
      </c>
      <c r="AB108" s="66" t="s">
        <v>184</v>
      </c>
      <c r="AC108" s="69">
        <v>611651</v>
      </c>
      <c r="AD108" s="69">
        <v>0</v>
      </c>
      <c r="AE108" s="66" t="s">
        <v>208</v>
      </c>
      <c r="AF108" s="66" t="s">
        <v>209</v>
      </c>
      <c r="AG108" s="66" t="s">
        <v>464</v>
      </c>
      <c r="AH108" s="66" t="s">
        <v>465</v>
      </c>
      <c r="AI108" s="66"/>
      <c r="AJ108" s="66" t="s">
        <v>557</v>
      </c>
      <c r="AK108" s="78" t="s">
        <v>42</v>
      </c>
    </row>
    <row r="109" spans="1:37" x14ac:dyDescent="0.25">
      <c r="A109" s="66" t="s">
        <v>179</v>
      </c>
      <c r="B109" s="66">
        <v>146832</v>
      </c>
      <c r="C109" s="67">
        <v>45994.424571759257</v>
      </c>
      <c r="D109" s="77">
        <v>2025</v>
      </c>
      <c r="E109" s="77">
        <v>12</v>
      </c>
      <c r="F109" s="66">
        <v>901541137</v>
      </c>
      <c r="G109" s="66"/>
      <c r="H109" s="66" t="s">
        <v>184</v>
      </c>
      <c r="I109" s="69">
        <v>21659339</v>
      </c>
      <c r="J109" s="66" t="s">
        <v>461</v>
      </c>
      <c r="K109" s="66"/>
      <c r="L109" s="66"/>
      <c r="M109" s="66"/>
      <c r="N109" s="66"/>
      <c r="O109" s="66"/>
      <c r="P109" s="66" t="s">
        <v>93</v>
      </c>
      <c r="Q109" s="68" t="str">
        <f t="shared" si="1"/>
        <v>HUS0000429158CL020176988</v>
      </c>
      <c r="R109" s="66" t="s">
        <v>467</v>
      </c>
      <c r="S109" s="66" t="s">
        <v>468</v>
      </c>
      <c r="T109" s="66"/>
      <c r="U109" s="66" t="s">
        <v>182</v>
      </c>
      <c r="V109" s="69">
        <v>21659339</v>
      </c>
      <c r="W109" s="67">
        <v>45939.373217592591</v>
      </c>
      <c r="X109" s="67">
        <v>45979</v>
      </c>
      <c r="Y109" s="66">
        <v>145686</v>
      </c>
      <c r="Z109" s="67">
        <v>45979.556307870371</v>
      </c>
      <c r="AA109" s="66">
        <v>901541137</v>
      </c>
      <c r="AB109" s="66" t="s">
        <v>184</v>
      </c>
      <c r="AC109" s="69">
        <v>76988</v>
      </c>
      <c r="AD109" s="69">
        <v>0</v>
      </c>
      <c r="AE109" s="66" t="s">
        <v>198</v>
      </c>
      <c r="AF109" s="66" t="s">
        <v>199</v>
      </c>
      <c r="AG109" s="66" t="s">
        <v>464</v>
      </c>
      <c r="AH109" s="66" t="s">
        <v>465</v>
      </c>
      <c r="AI109" s="66"/>
      <c r="AJ109" s="66" t="s">
        <v>559</v>
      </c>
      <c r="AK109" s="78" t="s">
        <v>42</v>
      </c>
    </row>
    <row r="110" spans="1:37" x14ac:dyDescent="0.25">
      <c r="A110" s="66" t="s">
        <v>179</v>
      </c>
      <c r="B110" s="66">
        <v>146832</v>
      </c>
      <c r="C110" s="67">
        <v>45994.424571759257</v>
      </c>
      <c r="D110" s="77">
        <v>2025</v>
      </c>
      <c r="E110" s="77">
        <v>12</v>
      </c>
      <c r="F110" s="66">
        <v>901541137</v>
      </c>
      <c r="G110" s="66"/>
      <c r="H110" s="66" t="s">
        <v>184</v>
      </c>
      <c r="I110" s="69">
        <v>21659339</v>
      </c>
      <c r="J110" s="66" t="s">
        <v>461</v>
      </c>
      <c r="K110" s="66"/>
      <c r="L110" s="66"/>
      <c r="M110" s="66"/>
      <c r="N110" s="66"/>
      <c r="O110" s="66"/>
      <c r="P110" s="66" t="s">
        <v>93</v>
      </c>
      <c r="Q110" s="68" t="str">
        <f t="shared" si="1"/>
        <v>HUS0000429158FA060212000</v>
      </c>
      <c r="R110" s="66" t="s">
        <v>467</v>
      </c>
      <c r="S110" s="66" t="s">
        <v>468</v>
      </c>
      <c r="T110" s="66"/>
      <c r="U110" s="66" t="s">
        <v>182</v>
      </c>
      <c r="V110" s="69">
        <v>21659339</v>
      </c>
      <c r="W110" s="67">
        <v>45939.373217592591</v>
      </c>
      <c r="X110" s="67">
        <v>45979</v>
      </c>
      <c r="Y110" s="66">
        <v>145686</v>
      </c>
      <c r="Z110" s="67">
        <v>45979.556307870371</v>
      </c>
      <c r="AA110" s="66">
        <v>901541137</v>
      </c>
      <c r="AB110" s="66" t="s">
        <v>184</v>
      </c>
      <c r="AC110" s="69">
        <v>12000</v>
      </c>
      <c r="AD110" s="69">
        <v>0</v>
      </c>
      <c r="AE110" s="66" t="s">
        <v>230</v>
      </c>
      <c r="AF110" s="66" t="s">
        <v>231</v>
      </c>
      <c r="AG110" s="66" t="s">
        <v>464</v>
      </c>
      <c r="AH110" s="66" t="s">
        <v>465</v>
      </c>
      <c r="AI110" s="66"/>
      <c r="AJ110" s="66" t="s">
        <v>560</v>
      </c>
      <c r="AK110" s="78" t="s">
        <v>42</v>
      </c>
    </row>
    <row r="111" spans="1:37" x14ac:dyDescent="0.25">
      <c r="A111" s="66" t="s">
        <v>179</v>
      </c>
      <c r="B111" s="66">
        <v>146832</v>
      </c>
      <c r="C111" s="67">
        <v>45994.424571759257</v>
      </c>
      <c r="D111" s="77">
        <v>2025</v>
      </c>
      <c r="E111" s="77">
        <v>12</v>
      </c>
      <c r="F111" s="66">
        <v>901541137</v>
      </c>
      <c r="G111" s="66"/>
      <c r="H111" s="66" t="s">
        <v>184</v>
      </c>
      <c r="I111" s="69">
        <v>21659339</v>
      </c>
      <c r="J111" s="66" t="s">
        <v>461</v>
      </c>
      <c r="K111" s="66"/>
      <c r="L111" s="66"/>
      <c r="M111" s="66"/>
      <c r="N111" s="66"/>
      <c r="O111" s="66"/>
      <c r="P111" s="66" t="s">
        <v>93</v>
      </c>
      <c r="Q111" s="68" t="str">
        <f t="shared" si="1"/>
        <v>HUS0000429158TA0801413296</v>
      </c>
      <c r="R111" s="66" t="s">
        <v>467</v>
      </c>
      <c r="S111" s="66" t="s">
        <v>468</v>
      </c>
      <c r="T111" s="66"/>
      <c r="U111" s="66" t="s">
        <v>182</v>
      </c>
      <c r="V111" s="69">
        <v>21659339</v>
      </c>
      <c r="W111" s="67">
        <v>45939.373217592591</v>
      </c>
      <c r="X111" s="67">
        <v>45979</v>
      </c>
      <c r="Y111" s="66">
        <v>145686</v>
      </c>
      <c r="Z111" s="67">
        <v>45979.556307870371</v>
      </c>
      <c r="AA111" s="66">
        <v>901541137</v>
      </c>
      <c r="AB111" s="66" t="s">
        <v>184</v>
      </c>
      <c r="AC111" s="69">
        <v>413296</v>
      </c>
      <c r="AD111" s="69">
        <v>0</v>
      </c>
      <c r="AE111" s="66" t="s">
        <v>212</v>
      </c>
      <c r="AF111" s="66" t="s">
        <v>213</v>
      </c>
      <c r="AG111" s="66" t="s">
        <v>464</v>
      </c>
      <c r="AH111" s="66" t="s">
        <v>465</v>
      </c>
      <c r="AI111" s="66"/>
      <c r="AJ111" s="66" t="s">
        <v>561</v>
      </c>
      <c r="AK111" s="78" t="s">
        <v>42</v>
      </c>
    </row>
    <row r="112" spans="1:37" x14ac:dyDescent="0.25">
      <c r="A112" s="66" t="s">
        <v>179</v>
      </c>
      <c r="B112" s="66">
        <v>146832</v>
      </c>
      <c r="C112" s="67">
        <v>45994.424571759257</v>
      </c>
      <c r="D112" s="77">
        <v>2025</v>
      </c>
      <c r="E112" s="77">
        <v>12</v>
      </c>
      <c r="F112" s="66">
        <v>901541137</v>
      </c>
      <c r="G112" s="66"/>
      <c r="H112" s="66" t="s">
        <v>184</v>
      </c>
      <c r="I112" s="69">
        <v>21659339</v>
      </c>
      <c r="J112" s="66" t="s">
        <v>461</v>
      </c>
      <c r="K112" s="66"/>
      <c r="L112" s="66"/>
      <c r="M112" s="66"/>
      <c r="N112" s="66"/>
      <c r="O112" s="66"/>
      <c r="P112" s="66" t="s">
        <v>93</v>
      </c>
      <c r="Q112" s="68" t="str">
        <f t="shared" si="1"/>
        <v>HUS0000429158TA5801534000</v>
      </c>
      <c r="R112" s="66" t="s">
        <v>467</v>
      </c>
      <c r="S112" s="66" t="s">
        <v>468</v>
      </c>
      <c r="T112" s="66"/>
      <c r="U112" s="66" t="s">
        <v>182</v>
      </c>
      <c r="V112" s="69">
        <v>21659339</v>
      </c>
      <c r="W112" s="67">
        <v>45939.373217592591</v>
      </c>
      <c r="X112" s="67">
        <v>45979</v>
      </c>
      <c r="Y112" s="66">
        <v>145686</v>
      </c>
      <c r="Z112" s="67">
        <v>45979.556307870371</v>
      </c>
      <c r="AA112" s="66">
        <v>901541137</v>
      </c>
      <c r="AB112" s="66" t="s">
        <v>184</v>
      </c>
      <c r="AC112" s="69">
        <v>534000</v>
      </c>
      <c r="AD112" s="69">
        <v>0</v>
      </c>
      <c r="AE112" s="66" t="s">
        <v>201</v>
      </c>
      <c r="AF112" s="66" t="s">
        <v>202</v>
      </c>
      <c r="AG112" s="66" t="s">
        <v>464</v>
      </c>
      <c r="AH112" s="66" t="s">
        <v>465</v>
      </c>
      <c r="AI112" s="66"/>
      <c r="AJ112" s="66" t="s">
        <v>561</v>
      </c>
      <c r="AK112" s="78" t="s">
        <v>42</v>
      </c>
    </row>
    <row r="113" spans="1:37" x14ac:dyDescent="0.25">
      <c r="A113" s="66" t="s">
        <v>179</v>
      </c>
      <c r="B113" s="66">
        <v>146838</v>
      </c>
      <c r="C113" s="67">
        <v>45994.475543981483</v>
      </c>
      <c r="D113" s="77">
        <v>2025</v>
      </c>
      <c r="E113" s="77">
        <v>12</v>
      </c>
      <c r="F113" s="66">
        <v>901541137</v>
      </c>
      <c r="G113" s="66"/>
      <c r="H113" s="66" t="s">
        <v>184</v>
      </c>
      <c r="I113" s="69">
        <v>10128740</v>
      </c>
      <c r="J113" s="66" t="s">
        <v>461</v>
      </c>
      <c r="K113" s="66"/>
      <c r="L113" s="66"/>
      <c r="M113" s="66"/>
      <c r="N113" s="66"/>
      <c r="O113" s="66"/>
      <c r="P113" s="66" t="s">
        <v>94</v>
      </c>
      <c r="Q113" s="68" t="str">
        <f t="shared" si="1"/>
        <v>HUS0000432724CL0101398580</v>
      </c>
      <c r="R113" s="66" t="s">
        <v>467</v>
      </c>
      <c r="S113" s="66" t="s">
        <v>468</v>
      </c>
      <c r="T113" s="66"/>
      <c r="U113" s="66" t="s">
        <v>182</v>
      </c>
      <c r="V113" s="69">
        <v>10128740</v>
      </c>
      <c r="W113" s="67">
        <v>45949.388599537036</v>
      </c>
      <c r="X113" s="67">
        <v>45979</v>
      </c>
      <c r="Y113" s="66">
        <v>145700</v>
      </c>
      <c r="Z113" s="67">
        <v>45979.595092592594</v>
      </c>
      <c r="AA113" s="66">
        <v>901541137</v>
      </c>
      <c r="AB113" s="66" t="s">
        <v>184</v>
      </c>
      <c r="AC113" s="69">
        <v>398580</v>
      </c>
      <c r="AD113" s="69">
        <v>0</v>
      </c>
      <c r="AE113" s="66" t="s">
        <v>194</v>
      </c>
      <c r="AF113" s="66" t="s">
        <v>195</v>
      </c>
      <c r="AG113" s="66" t="s">
        <v>464</v>
      </c>
      <c r="AH113" s="66" t="s">
        <v>465</v>
      </c>
      <c r="AI113" s="66"/>
      <c r="AJ113" s="66" t="s">
        <v>562</v>
      </c>
      <c r="AK113" s="78" t="s">
        <v>42</v>
      </c>
    </row>
    <row r="114" spans="1:37" x14ac:dyDescent="0.25">
      <c r="A114" s="66" t="s">
        <v>179</v>
      </c>
      <c r="B114" s="66">
        <v>146838</v>
      </c>
      <c r="C114" s="67">
        <v>45994.475543981483</v>
      </c>
      <c r="D114" s="77">
        <v>2025</v>
      </c>
      <c r="E114" s="77">
        <v>12</v>
      </c>
      <c r="F114" s="66">
        <v>901541137</v>
      </c>
      <c r="G114" s="66"/>
      <c r="H114" s="66" t="s">
        <v>184</v>
      </c>
      <c r="I114" s="69">
        <v>10128740</v>
      </c>
      <c r="J114" s="66" t="s">
        <v>461</v>
      </c>
      <c r="K114" s="66"/>
      <c r="L114" s="66"/>
      <c r="M114" s="66"/>
      <c r="N114" s="66"/>
      <c r="O114" s="66"/>
      <c r="P114" s="66" t="s">
        <v>94</v>
      </c>
      <c r="Q114" s="68" t="str">
        <f t="shared" si="1"/>
        <v>HUS0000432724TA0101234480</v>
      </c>
      <c r="R114" s="66" t="s">
        <v>467</v>
      </c>
      <c r="S114" s="66" t="s">
        <v>468</v>
      </c>
      <c r="T114" s="66"/>
      <c r="U114" s="66" t="s">
        <v>182</v>
      </c>
      <c r="V114" s="69">
        <v>10128740</v>
      </c>
      <c r="W114" s="67">
        <v>45949.388599537036</v>
      </c>
      <c r="X114" s="67">
        <v>45979</v>
      </c>
      <c r="Y114" s="66">
        <v>145700</v>
      </c>
      <c r="Z114" s="67">
        <v>45979.595092592594</v>
      </c>
      <c r="AA114" s="66">
        <v>901541137</v>
      </c>
      <c r="AB114" s="66" t="s">
        <v>184</v>
      </c>
      <c r="AC114" s="69">
        <v>234480</v>
      </c>
      <c r="AD114" s="69">
        <v>0</v>
      </c>
      <c r="AE114" s="66" t="s">
        <v>208</v>
      </c>
      <c r="AF114" s="66" t="s">
        <v>209</v>
      </c>
      <c r="AG114" s="66" t="s">
        <v>464</v>
      </c>
      <c r="AH114" s="66" t="s">
        <v>465</v>
      </c>
      <c r="AI114" s="66"/>
      <c r="AJ114" s="66" t="s">
        <v>563</v>
      </c>
      <c r="AK114" s="78" t="s">
        <v>42</v>
      </c>
    </row>
    <row r="115" spans="1:37" x14ac:dyDescent="0.25">
      <c r="A115" s="66" t="s">
        <v>179</v>
      </c>
      <c r="B115" s="66">
        <v>146838</v>
      </c>
      <c r="C115" s="67">
        <v>45994.475543981483</v>
      </c>
      <c r="D115" s="77">
        <v>2025</v>
      </c>
      <c r="E115" s="77">
        <v>12</v>
      </c>
      <c r="F115" s="66">
        <v>901541137</v>
      </c>
      <c r="G115" s="66"/>
      <c r="H115" s="66" t="s">
        <v>184</v>
      </c>
      <c r="I115" s="69">
        <v>10128740</v>
      </c>
      <c r="J115" s="66" t="s">
        <v>461</v>
      </c>
      <c r="K115" s="66"/>
      <c r="L115" s="66"/>
      <c r="M115" s="66"/>
      <c r="N115" s="66"/>
      <c r="O115" s="66"/>
      <c r="P115" s="66" t="s">
        <v>94</v>
      </c>
      <c r="Q115" s="68" t="str">
        <f t="shared" si="1"/>
        <v>HUS0000432724TA0801100000</v>
      </c>
      <c r="R115" s="66" t="s">
        <v>467</v>
      </c>
      <c r="S115" s="66" t="s">
        <v>468</v>
      </c>
      <c r="T115" s="66"/>
      <c r="U115" s="66" t="s">
        <v>182</v>
      </c>
      <c r="V115" s="69">
        <v>10128740</v>
      </c>
      <c r="W115" s="67">
        <v>45949.388599537036</v>
      </c>
      <c r="X115" s="67">
        <v>45979</v>
      </c>
      <c r="Y115" s="66">
        <v>145700</v>
      </c>
      <c r="Z115" s="67">
        <v>45979.595092592594</v>
      </c>
      <c r="AA115" s="66">
        <v>901541137</v>
      </c>
      <c r="AB115" s="66" t="s">
        <v>184</v>
      </c>
      <c r="AC115" s="69">
        <v>100000</v>
      </c>
      <c r="AD115" s="69">
        <v>0</v>
      </c>
      <c r="AE115" s="66" t="s">
        <v>212</v>
      </c>
      <c r="AF115" s="66" t="s">
        <v>213</v>
      </c>
      <c r="AG115" s="66" t="s">
        <v>464</v>
      </c>
      <c r="AH115" s="66" t="s">
        <v>465</v>
      </c>
      <c r="AI115" s="66"/>
      <c r="AJ115" s="66" t="s">
        <v>563</v>
      </c>
      <c r="AK115" s="78" t="s">
        <v>42</v>
      </c>
    </row>
    <row r="116" spans="1:37" x14ac:dyDescent="0.25">
      <c r="A116" s="66" t="s">
        <v>179</v>
      </c>
      <c r="B116" s="66">
        <v>146839</v>
      </c>
      <c r="C116" s="67">
        <v>45994.477164351854</v>
      </c>
      <c r="D116" s="77">
        <v>2025</v>
      </c>
      <c r="E116" s="77">
        <v>12</v>
      </c>
      <c r="F116" s="66">
        <v>901541137</v>
      </c>
      <c r="G116" s="66"/>
      <c r="H116" s="66" t="s">
        <v>184</v>
      </c>
      <c r="I116" s="69">
        <v>3267725</v>
      </c>
      <c r="J116" s="66" t="s">
        <v>480</v>
      </c>
      <c r="K116" s="66"/>
      <c r="L116" s="66"/>
      <c r="M116" s="66"/>
      <c r="N116" s="66"/>
      <c r="O116" s="66"/>
      <c r="P116" s="66" t="s">
        <v>117</v>
      </c>
      <c r="Q116" s="68" t="str">
        <f t="shared" si="1"/>
        <v>HUS0000435139CL0801186626</v>
      </c>
      <c r="R116" s="66" t="s">
        <v>467</v>
      </c>
      <c r="S116" s="66" t="s">
        <v>468</v>
      </c>
      <c r="T116" s="66"/>
      <c r="U116" s="66" t="s">
        <v>182</v>
      </c>
      <c r="V116" s="69">
        <v>3267725</v>
      </c>
      <c r="W116" s="67">
        <v>45954.719583333332</v>
      </c>
      <c r="X116" s="67">
        <v>45981</v>
      </c>
      <c r="Y116" s="66">
        <v>146151</v>
      </c>
      <c r="Z116" s="67">
        <v>45981.730486111112</v>
      </c>
      <c r="AA116" s="66">
        <v>901541137</v>
      </c>
      <c r="AB116" s="66" t="s">
        <v>184</v>
      </c>
      <c r="AC116" s="69">
        <v>186626</v>
      </c>
      <c r="AD116" s="69">
        <v>0</v>
      </c>
      <c r="AE116" s="66" t="s">
        <v>241</v>
      </c>
      <c r="AF116" s="66" t="s">
        <v>242</v>
      </c>
      <c r="AG116" s="66" t="s">
        <v>464</v>
      </c>
      <c r="AH116" s="66" t="s">
        <v>465</v>
      </c>
      <c r="AI116" s="66"/>
      <c r="AJ116" s="66" t="s">
        <v>564</v>
      </c>
      <c r="AK116" s="78" t="s">
        <v>42</v>
      </c>
    </row>
    <row r="117" spans="1:37" x14ac:dyDescent="0.25">
      <c r="A117" s="66" t="s">
        <v>179</v>
      </c>
      <c r="B117" s="66">
        <v>146840</v>
      </c>
      <c r="C117" s="67">
        <v>45994.485995370371</v>
      </c>
      <c r="D117" s="77">
        <v>2025</v>
      </c>
      <c r="E117" s="77">
        <v>12</v>
      </c>
      <c r="F117" s="66">
        <v>901541137</v>
      </c>
      <c r="G117" s="66"/>
      <c r="H117" s="66" t="s">
        <v>184</v>
      </c>
      <c r="I117" s="69">
        <v>25636233</v>
      </c>
      <c r="J117" s="66" t="s">
        <v>480</v>
      </c>
      <c r="K117" s="66"/>
      <c r="L117" s="66"/>
      <c r="M117" s="66"/>
      <c r="N117" s="66"/>
      <c r="O117" s="66"/>
      <c r="P117" s="66" t="s">
        <v>119</v>
      </c>
      <c r="Q117" s="68" t="str">
        <f t="shared" si="1"/>
        <v>HUS0000435492CL080168120</v>
      </c>
      <c r="R117" s="66" t="s">
        <v>467</v>
      </c>
      <c r="S117" s="66" t="s">
        <v>468</v>
      </c>
      <c r="T117" s="66"/>
      <c r="U117" s="66" t="s">
        <v>182</v>
      </c>
      <c r="V117" s="69">
        <v>25704353</v>
      </c>
      <c r="W117" s="67">
        <v>45956.514189814814</v>
      </c>
      <c r="X117" s="67">
        <v>45981</v>
      </c>
      <c r="Y117" s="66">
        <v>146154</v>
      </c>
      <c r="Z117" s="67">
        <v>45981.732083333336</v>
      </c>
      <c r="AA117" s="66">
        <v>901541137</v>
      </c>
      <c r="AB117" s="66" t="s">
        <v>184</v>
      </c>
      <c r="AC117" s="69">
        <v>68120</v>
      </c>
      <c r="AD117" s="69">
        <v>68120</v>
      </c>
      <c r="AE117" s="66" t="s">
        <v>241</v>
      </c>
      <c r="AF117" s="66" t="s">
        <v>242</v>
      </c>
      <c r="AG117" s="66" t="s">
        <v>486</v>
      </c>
      <c r="AH117" s="66" t="s">
        <v>487</v>
      </c>
      <c r="AI117" s="66"/>
      <c r="AJ117" s="66" t="s">
        <v>565</v>
      </c>
      <c r="AK117" s="78" t="s">
        <v>42</v>
      </c>
    </row>
    <row r="118" spans="1:37" x14ac:dyDescent="0.25">
      <c r="A118" s="66" t="s">
        <v>179</v>
      </c>
      <c r="B118" s="66">
        <v>146855</v>
      </c>
      <c r="C118" s="67">
        <v>45994.634953703702</v>
      </c>
      <c r="D118" s="77">
        <v>2025</v>
      </c>
      <c r="E118" s="77">
        <v>12</v>
      </c>
      <c r="F118" s="66">
        <v>901541137</v>
      </c>
      <c r="G118" s="66"/>
      <c r="H118" s="66" t="s">
        <v>184</v>
      </c>
      <c r="I118" s="69">
        <v>82085</v>
      </c>
      <c r="J118" s="66" t="s">
        <v>461</v>
      </c>
      <c r="K118" s="66"/>
      <c r="L118" s="66"/>
      <c r="M118" s="66"/>
      <c r="N118" s="66"/>
      <c r="O118" s="66"/>
      <c r="P118" s="66" t="s">
        <v>86</v>
      </c>
      <c r="Q118" s="68" t="str">
        <f t="shared" si="1"/>
        <v>HUS0000429174TA02016685</v>
      </c>
      <c r="R118" s="66" t="s">
        <v>467</v>
      </c>
      <c r="S118" s="66" t="s">
        <v>468</v>
      </c>
      <c r="T118" s="66"/>
      <c r="U118" s="66" t="s">
        <v>182</v>
      </c>
      <c r="V118" s="69">
        <v>82085</v>
      </c>
      <c r="W118" s="67">
        <v>45939.396898148145</v>
      </c>
      <c r="X118" s="67">
        <v>45972</v>
      </c>
      <c r="Y118" s="66">
        <v>144528</v>
      </c>
      <c r="Z118" s="67">
        <v>45972.816840277781</v>
      </c>
      <c r="AA118" s="66">
        <v>901541137</v>
      </c>
      <c r="AB118" s="66" t="s">
        <v>184</v>
      </c>
      <c r="AC118" s="69">
        <v>6685</v>
      </c>
      <c r="AD118" s="69">
        <v>0</v>
      </c>
      <c r="AE118" s="66" t="s">
        <v>185</v>
      </c>
      <c r="AF118" s="66" t="s">
        <v>186</v>
      </c>
      <c r="AG118" s="66" t="s">
        <v>464</v>
      </c>
      <c r="AH118" s="66" t="s">
        <v>465</v>
      </c>
      <c r="AI118" s="66"/>
      <c r="AJ118" s="66" t="s">
        <v>566</v>
      </c>
      <c r="AK118" s="78" t="s">
        <v>42</v>
      </c>
    </row>
    <row r="119" spans="1:37" x14ac:dyDescent="0.25">
      <c r="A119" s="66" t="s">
        <v>179</v>
      </c>
      <c r="B119" s="66">
        <v>146856</v>
      </c>
      <c r="C119" s="67">
        <v>45994.646087962959</v>
      </c>
      <c r="D119" s="77">
        <v>2025</v>
      </c>
      <c r="E119" s="77">
        <v>12</v>
      </c>
      <c r="F119" s="66">
        <v>901541137</v>
      </c>
      <c r="G119" s="66"/>
      <c r="H119" s="66" t="s">
        <v>184</v>
      </c>
      <c r="I119" s="69">
        <v>106697</v>
      </c>
      <c r="J119" s="66" t="s">
        <v>461</v>
      </c>
      <c r="K119" s="66"/>
      <c r="L119" s="66"/>
      <c r="M119" s="66"/>
      <c r="N119" s="66"/>
      <c r="O119" s="66"/>
      <c r="P119" s="66" t="s">
        <v>87</v>
      </c>
      <c r="Q119" s="68" t="str">
        <f t="shared" si="1"/>
        <v>HUS0000429257TA020131297</v>
      </c>
      <c r="R119" s="66" t="s">
        <v>467</v>
      </c>
      <c r="S119" s="66" t="s">
        <v>468</v>
      </c>
      <c r="T119" s="66"/>
      <c r="U119" s="66" t="s">
        <v>182</v>
      </c>
      <c r="V119" s="69">
        <v>106697</v>
      </c>
      <c r="W119" s="67">
        <v>45939.485335648147</v>
      </c>
      <c r="X119" s="67">
        <v>45972</v>
      </c>
      <c r="Y119" s="66">
        <v>144529</v>
      </c>
      <c r="Z119" s="67">
        <v>45972.817361111112</v>
      </c>
      <c r="AA119" s="66">
        <v>901541137</v>
      </c>
      <c r="AB119" s="66" t="s">
        <v>184</v>
      </c>
      <c r="AC119" s="69">
        <v>31297</v>
      </c>
      <c r="AD119" s="69">
        <v>0</v>
      </c>
      <c r="AE119" s="66" t="s">
        <v>185</v>
      </c>
      <c r="AF119" s="66" t="s">
        <v>186</v>
      </c>
      <c r="AG119" s="66" t="s">
        <v>464</v>
      </c>
      <c r="AH119" s="66" t="s">
        <v>465</v>
      </c>
      <c r="AI119" s="66"/>
      <c r="AJ119" s="66" t="s">
        <v>566</v>
      </c>
      <c r="AK119" s="78" t="s">
        <v>42</v>
      </c>
    </row>
    <row r="120" spans="1:37" x14ac:dyDescent="0.25">
      <c r="A120" s="66" t="s">
        <v>179</v>
      </c>
      <c r="B120" s="66">
        <v>146869</v>
      </c>
      <c r="C120" s="67">
        <v>45994.65284722222</v>
      </c>
      <c r="D120" s="77">
        <v>2025</v>
      </c>
      <c r="E120" s="77">
        <v>12</v>
      </c>
      <c r="F120" s="66">
        <v>901541137</v>
      </c>
      <c r="G120" s="66"/>
      <c r="H120" s="66" t="s">
        <v>184</v>
      </c>
      <c r="I120" s="69">
        <v>82085</v>
      </c>
      <c r="J120" s="66" t="s">
        <v>461</v>
      </c>
      <c r="K120" s="66"/>
      <c r="L120" s="66"/>
      <c r="M120" s="66"/>
      <c r="N120" s="66"/>
      <c r="O120" s="66"/>
      <c r="P120" s="66" t="s">
        <v>88</v>
      </c>
      <c r="Q120" s="68" t="str">
        <f t="shared" si="1"/>
        <v>HUS0000431849TA02016685</v>
      </c>
      <c r="R120" s="66" t="s">
        <v>467</v>
      </c>
      <c r="S120" s="66" t="s">
        <v>468</v>
      </c>
      <c r="T120" s="66"/>
      <c r="U120" s="66" t="s">
        <v>182</v>
      </c>
      <c r="V120" s="69">
        <v>82085</v>
      </c>
      <c r="W120" s="67">
        <v>45946.656469907408</v>
      </c>
      <c r="X120" s="67">
        <v>45972</v>
      </c>
      <c r="Y120" s="66">
        <v>144542</v>
      </c>
      <c r="Z120" s="67">
        <v>45972.82508101852</v>
      </c>
      <c r="AA120" s="66">
        <v>901541137</v>
      </c>
      <c r="AB120" s="66" t="s">
        <v>184</v>
      </c>
      <c r="AC120" s="69">
        <v>6685</v>
      </c>
      <c r="AD120" s="69">
        <v>0</v>
      </c>
      <c r="AE120" s="66" t="s">
        <v>185</v>
      </c>
      <c r="AF120" s="66" t="s">
        <v>186</v>
      </c>
      <c r="AG120" s="66" t="s">
        <v>464</v>
      </c>
      <c r="AH120" s="66" t="s">
        <v>465</v>
      </c>
      <c r="AI120" s="66"/>
      <c r="AJ120" s="66" t="s">
        <v>567</v>
      </c>
      <c r="AK120" s="78" t="s">
        <v>42</v>
      </c>
    </row>
    <row r="121" spans="1:37" x14ac:dyDescent="0.25">
      <c r="A121" s="66" t="s">
        <v>179</v>
      </c>
      <c r="B121" s="66">
        <v>146870</v>
      </c>
      <c r="C121" s="67">
        <v>45994.654999999999</v>
      </c>
      <c r="D121" s="77">
        <v>2025</v>
      </c>
      <c r="E121" s="77">
        <v>12</v>
      </c>
      <c r="F121" s="66">
        <v>901541137</v>
      </c>
      <c r="G121" s="66"/>
      <c r="H121" s="66" t="s">
        <v>184</v>
      </c>
      <c r="I121" s="69">
        <v>106697</v>
      </c>
      <c r="J121" s="66" t="s">
        <v>461</v>
      </c>
      <c r="K121" s="66"/>
      <c r="L121" s="66"/>
      <c r="M121" s="66"/>
      <c r="N121" s="66"/>
      <c r="O121" s="66"/>
      <c r="P121" s="66" t="s">
        <v>89</v>
      </c>
      <c r="Q121" s="68" t="str">
        <f t="shared" si="1"/>
        <v>HUS0000432182TA020131297</v>
      </c>
      <c r="R121" s="66" t="s">
        <v>467</v>
      </c>
      <c r="S121" s="66" t="s">
        <v>468</v>
      </c>
      <c r="T121" s="66"/>
      <c r="U121" s="66" t="s">
        <v>182</v>
      </c>
      <c r="V121" s="69">
        <v>106697</v>
      </c>
      <c r="W121" s="67">
        <v>45947.495497685188</v>
      </c>
      <c r="X121" s="67">
        <v>45972</v>
      </c>
      <c r="Y121" s="66">
        <v>144543</v>
      </c>
      <c r="Z121" s="67">
        <v>45972.825462962966</v>
      </c>
      <c r="AA121" s="66">
        <v>901541137</v>
      </c>
      <c r="AB121" s="66" t="s">
        <v>184</v>
      </c>
      <c r="AC121" s="69">
        <v>31297</v>
      </c>
      <c r="AD121" s="69">
        <v>0</v>
      </c>
      <c r="AE121" s="66" t="s">
        <v>185</v>
      </c>
      <c r="AF121" s="66" t="s">
        <v>186</v>
      </c>
      <c r="AG121" s="66" t="s">
        <v>464</v>
      </c>
      <c r="AH121" s="66" t="s">
        <v>465</v>
      </c>
      <c r="AI121" s="66"/>
      <c r="AJ121" s="66" t="s">
        <v>568</v>
      </c>
      <c r="AK121" s="78" t="s">
        <v>42</v>
      </c>
    </row>
    <row r="122" spans="1:37" x14ac:dyDescent="0.25">
      <c r="A122" s="66" t="s">
        <v>179</v>
      </c>
      <c r="B122" s="66">
        <v>146871</v>
      </c>
      <c r="C122" s="67">
        <v>45994.655532407407</v>
      </c>
      <c r="D122" s="77">
        <v>2025</v>
      </c>
      <c r="E122" s="77">
        <v>12</v>
      </c>
      <c r="F122" s="66">
        <v>901541137</v>
      </c>
      <c r="G122" s="66"/>
      <c r="H122" s="66" t="s">
        <v>184</v>
      </c>
      <c r="I122" s="69">
        <v>231405</v>
      </c>
      <c r="J122" s="66" t="s">
        <v>461</v>
      </c>
      <c r="K122" s="66"/>
      <c r="L122" s="66"/>
      <c r="M122" s="66"/>
      <c r="N122" s="66"/>
      <c r="O122" s="66"/>
      <c r="P122" s="66" t="s">
        <v>90</v>
      </c>
      <c r="Q122" s="68" t="str">
        <f t="shared" si="1"/>
        <v>HUS0000432192TA020131297</v>
      </c>
      <c r="R122" s="66" t="s">
        <v>467</v>
      </c>
      <c r="S122" s="66" t="s">
        <v>468</v>
      </c>
      <c r="T122" s="66"/>
      <c r="U122" s="66" t="s">
        <v>182</v>
      </c>
      <c r="V122" s="69">
        <v>231405</v>
      </c>
      <c r="W122" s="67">
        <v>45947.50371527778</v>
      </c>
      <c r="X122" s="67">
        <v>45972</v>
      </c>
      <c r="Y122" s="66">
        <v>144544</v>
      </c>
      <c r="Z122" s="67">
        <v>45972.825787037036</v>
      </c>
      <c r="AA122" s="66">
        <v>901541137</v>
      </c>
      <c r="AB122" s="66" t="s">
        <v>184</v>
      </c>
      <c r="AC122" s="69">
        <v>31297</v>
      </c>
      <c r="AD122" s="69">
        <v>0</v>
      </c>
      <c r="AE122" s="66" t="s">
        <v>185</v>
      </c>
      <c r="AF122" s="66" t="s">
        <v>186</v>
      </c>
      <c r="AG122" s="66" t="s">
        <v>464</v>
      </c>
      <c r="AH122" s="66" t="s">
        <v>465</v>
      </c>
      <c r="AI122" s="66"/>
      <c r="AJ122" s="66" t="s">
        <v>568</v>
      </c>
      <c r="AK122" s="78" t="s">
        <v>42</v>
      </c>
    </row>
    <row r="123" spans="1:37" x14ac:dyDescent="0.25">
      <c r="A123" s="66" t="s">
        <v>179</v>
      </c>
      <c r="B123" s="66">
        <v>146897</v>
      </c>
      <c r="C123" s="67">
        <v>45995.333414351851</v>
      </c>
      <c r="D123" s="77">
        <v>2025</v>
      </c>
      <c r="E123" s="77">
        <v>12</v>
      </c>
      <c r="F123" s="66">
        <v>901541137</v>
      </c>
      <c r="G123" s="66"/>
      <c r="H123" s="66" t="s">
        <v>184</v>
      </c>
      <c r="I123" s="69">
        <v>87958547</v>
      </c>
      <c r="J123" s="66" t="s">
        <v>461</v>
      </c>
      <c r="K123" s="66"/>
      <c r="L123" s="66"/>
      <c r="M123" s="66"/>
      <c r="N123" s="66"/>
      <c r="O123" s="66"/>
      <c r="P123" s="66" t="s">
        <v>113</v>
      </c>
      <c r="Q123" s="68" t="str">
        <f t="shared" si="1"/>
        <v>HUS0000432884CL01015225086</v>
      </c>
      <c r="R123" s="66" t="s">
        <v>467</v>
      </c>
      <c r="S123" s="66" t="s">
        <v>468</v>
      </c>
      <c r="T123" s="66"/>
      <c r="U123" s="66" t="s">
        <v>182</v>
      </c>
      <c r="V123" s="69">
        <v>88888445</v>
      </c>
      <c r="W123" s="67">
        <v>45950.34642361111</v>
      </c>
      <c r="X123" s="67">
        <v>45981</v>
      </c>
      <c r="Y123" s="66">
        <v>146142</v>
      </c>
      <c r="Z123" s="67">
        <v>45981.722569444442</v>
      </c>
      <c r="AA123" s="66">
        <v>901541137</v>
      </c>
      <c r="AB123" s="66" t="s">
        <v>184</v>
      </c>
      <c r="AC123" s="69">
        <f>929898+AC124</f>
        <v>5225086</v>
      </c>
      <c r="AD123" s="69">
        <v>929898</v>
      </c>
      <c r="AE123" s="66" t="s">
        <v>194</v>
      </c>
      <c r="AF123" s="66" t="s">
        <v>195</v>
      </c>
      <c r="AG123" s="66" t="s">
        <v>486</v>
      </c>
      <c r="AH123" s="66" t="s">
        <v>487</v>
      </c>
      <c r="AI123" s="66"/>
      <c r="AJ123" s="66" t="s">
        <v>630</v>
      </c>
      <c r="AK123" s="78" t="s">
        <v>42</v>
      </c>
    </row>
    <row r="124" spans="1:37" x14ac:dyDescent="0.25">
      <c r="A124" s="66" t="s">
        <v>179</v>
      </c>
      <c r="B124" s="66">
        <v>146897</v>
      </c>
      <c r="C124" s="67">
        <v>45995.333414351851</v>
      </c>
      <c r="D124" s="77">
        <v>2025</v>
      </c>
      <c r="E124" s="77">
        <v>12</v>
      </c>
      <c r="F124" s="66">
        <v>901541137</v>
      </c>
      <c r="G124" s="66"/>
      <c r="H124" s="66" t="s">
        <v>184</v>
      </c>
      <c r="I124" s="69">
        <v>87958547</v>
      </c>
      <c r="J124" s="66" t="s">
        <v>461</v>
      </c>
      <c r="K124" s="66"/>
      <c r="L124" s="66"/>
      <c r="M124" s="66"/>
      <c r="N124" s="66"/>
      <c r="O124" s="66"/>
      <c r="P124" s="66" t="s">
        <v>113</v>
      </c>
      <c r="Q124" s="68" t="str">
        <f t="shared" si="1"/>
        <v>HUS0000432884CL01014295188</v>
      </c>
      <c r="R124" s="66" t="s">
        <v>467</v>
      </c>
      <c r="S124" s="66" t="s">
        <v>468</v>
      </c>
      <c r="T124" s="66"/>
      <c r="U124" s="66" t="s">
        <v>182</v>
      </c>
      <c r="V124" s="69">
        <v>88888445</v>
      </c>
      <c r="W124" s="67">
        <v>45950.34642361111</v>
      </c>
      <c r="X124" s="67">
        <v>45981</v>
      </c>
      <c r="Y124" s="66">
        <v>146142</v>
      </c>
      <c r="Z124" s="67">
        <v>45981.722569444442</v>
      </c>
      <c r="AA124" s="66">
        <v>901541137</v>
      </c>
      <c r="AB124" s="66" t="s">
        <v>184</v>
      </c>
      <c r="AC124" s="69">
        <v>4295188</v>
      </c>
      <c r="AD124" s="69">
        <v>0</v>
      </c>
      <c r="AE124" s="66" t="s">
        <v>194</v>
      </c>
      <c r="AF124" s="66" t="s">
        <v>195</v>
      </c>
      <c r="AG124" s="66" t="s">
        <v>464</v>
      </c>
      <c r="AH124" s="66" t="s">
        <v>465</v>
      </c>
      <c r="AI124" s="66"/>
      <c r="AJ124" s="66" t="s">
        <v>569</v>
      </c>
      <c r="AK124" s="78" t="s">
        <v>42</v>
      </c>
    </row>
    <row r="125" spans="1:37" x14ac:dyDescent="0.25">
      <c r="A125" s="66" t="s">
        <v>179</v>
      </c>
      <c r="B125" s="66">
        <v>146897</v>
      </c>
      <c r="C125" s="67">
        <v>45995.333414351851</v>
      </c>
      <c r="D125" s="77">
        <v>2025</v>
      </c>
      <c r="E125" s="77">
        <v>12</v>
      </c>
      <c r="F125" s="66">
        <v>901541137</v>
      </c>
      <c r="G125" s="66"/>
      <c r="H125" s="66" t="s">
        <v>184</v>
      </c>
      <c r="I125" s="69">
        <v>87958547</v>
      </c>
      <c r="J125" s="66" t="s">
        <v>461</v>
      </c>
      <c r="K125" s="66"/>
      <c r="L125" s="66"/>
      <c r="M125" s="66"/>
      <c r="N125" s="66"/>
      <c r="O125" s="66"/>
      <c r="P125" s="66" t="s">
        <v>113</v>
      </c>
      <c r="Q125" s="68" t="str">
        <f t="shared" si="1"/>
        <v>HUS0000432884FA080168120</v>
      </c>
      <c r="R125" s="66" t="s">
        <v>467</v>
      </c>
      <c r="S125" s="66" t="s">
        <v>468</v>
      </c>
      <c r="T125" s="66"/>
      <c r="U125" s="66" t="s">
        <v>182</v>
      </c>
      <c r="V125" s="69">
        <v>88888445</v>
      </c>
      <c r="W125" s="67">
        <v>45950.34642361111</v>
      </c>
      <c r="X125" s="67">
        <v>45981</v>
      </c>
      <c r="Y125" s="66">
        <v>146142</v>
      </c>
      <c r="Z125" s="67">
        <v>45981.722569444442</v>
      </c>
      <c r="AA125" s="66">
        <v>901541137</v>
      </c>
      <c r="AB125" s="66" t="s">
        <v>184</v>
      </c>
      <c r="AC125" s="69">
        <v>68120</v>
      </c>
      <c r="AD125" s="69">
        <v>0</v>
      </c>
      <c r="AE125" s="66" t="s">
        <v>388</v>
      </c>
      <c r="AF125" s="66" t="s">
        <v>389</v>
      </c>
      <c r="AG125" s="66" t="s">
        <v>464</v>
      </c>
      <c r="AH125" s="66" t="s">
        <v>465</v>
      </c>
      <c r="AI125" s="66"/>
      <c r="AJ125" s="66" t="s">
        <v>570</v>
      </c>
      <c r="AK125" s="78" t="s">
        <v>42</v>
      </c>
    </row>
    <row r="126" spans="1:37" x14ac:dyDescent="0.25">
      <c r="A126" s="66" t="s">
        <v>179</v>
      </c>
      <c r="B126" s="66">
        <v>146897</v>
      </c>
      <c r="C126" s="67">
        <v>45995.333414351851</v>
      </c>
      <c r="D126" s="77">
        <v>2025</v>
      </c>
      <c r="E126" s="77">
        <v>12</v>
      </c>
      <c r="F126" s="66">
        <v>901541137</v>
      </c>
      <c r="G126" s="66"/>
      <c r="H126" s="66" t="s">
        <v>184</v>
      </c>
      <c r="I126" s="69">
        <v>87958547</v>
      </c>
      <c r="J126" s="66" t="s">
        <v>461</v>
      </c>
      <c r="K126" s="66"/>
      <c r="L126" s="66"/>
      <c r="M126" s="66"/>
      <c r="N126" s="66"/>
      <c r="O126" s="66"/>
      <c r="P126" s="66" t="s">
        <v>113</v>
      </c>
      <c r="Q126" s="68" t="str">
        <f t="shared" si="1"/>
        <v>HUS0000432884TA0801524592</v>
      </c>
      <c r="R126" s="66" t="s">
        <v>467</v>
      </c>
      <c r="S126" s="66" t="s">
        <v>468</v>
      </c>
      <c r="T126" s="66"/>
      <c r="U126" s="66" t="s">
        <v>182</v>
      </c>
      <c r="V126" s="69">
        <v>88888445</v>
      </c>
      <c r="W126" s="67">
        <v>45950.34642361111</v>
      </c>
      <c r="X126" s="67">
        <v>45981</v>
      </c>
      <c r="Y126" s="66">
        <v>146142</v>
      </c>
      <c r="Z126" s="67">
        <v>45981.722569444442</v>
      </c>
      <c r="AA126" s="66">
        <v>901541137</v>
      </c>
      <c r="AB126" s="66" t="s">
        <v>184</v>
      </c>
      <c r="AC126" s="69">
        <v>524592</v>
      </c>
      <c r="AD126" s="69">
        <v>0</v>
      </c>
      <c r="AE126" s="66" t="s">
        <v>212</v>
      </c>
      <c r="AF126" s="66" t="s">
        <v>213</v>
      </c>
      <c r="AG126" s="66" t="s">
        <v>464</v>
      </c>
      <c r="AH126" s="66" t="s">
        <v>465</v>
      </c>
      <c r="AI126" s="66"/>
      <c r="AJ126" s="66" t="s">
        <v>571</v>
      </c>
      <c r="AK126" s="78" t="s">
        <v>42</v>
      </c>
    </row>
    <row r="127" spans="1:37" x14ac:dyDescent="0.25">
      <c r="A127" s="66" t="s">
        <v>179</v>
      </c>
      <c r="B127" s="66">
        <v>146902</v>
      </c>
      <c r="C127" s="67">
        <v>45995.373993055553</v>
      </c>
      <c r="D127" s="77">
        <v>2025</v>
      </c>
      <c r="E127" s="77">
        <v>12</v>
      </c>
      <c r="F127" s="66">
        <v>901541137</v>
      </c>
      <c r="G127" s="66"/>
      <c r="H127" s="66" t="s">
        <v>184</v>
      </c>
      <c r="I127" s="69">
        <v>68409212</v>
      </c>
      <c r="J127" s="66" t="s">
        <v>461</v>
      </c>
      <c r="K127" s="66"/>
      <c r="L127" s="66"/>
      <c r="M127" s="66"/>
      <c r="N127" s="66"/>
      <c r="O127" s="66"/>
      <c r="P127" s="66" t="s">
        <v>101</v>
      </c>
      <c r="Q127" s="68" t="str">
        <f t="shared" si="1"/>
        <v>HUS0000433664CL01013058255</v>
      </c>
      <c r="R127" s="66" t="s">
        <v>467</v>
      </c>
      <c r="S127" s="66" t="s">
        <v>468</v>
      </c>
      <c r="T127" s="66"/>
      <c r="U127" s="66" t="s">
        <v>182</v>
      </c>
      <c r="V127" s="69">
        <v>68409212</v>
      </c>
      <c r="W127" s="67">
        <v>45951.750462962962</v>
      </c>
      <c r="X127" s="67">
        <v>45981</v>
      </c>
      <c r="Y127" s="66">
        <v>146143</v>
      </c>
      <c r="Z127" s="67">
        <v>45981.724409722221</v>
      </c>
      <c r="AA127" s="66">
        <v>901541137</v>
      </c>
      <c r="AB127" s="66" t="s">
        <v>184</v>
      </c>
      <c r="AC127" s="69">
        <v>3058255</v>
      </c>
      <c r="AD127" s="69">
        <v>0</v>
      </c>
      <c r="AE127" s="66" t="s">
        <v>194</v>
      </c>
      <c r="AF127" s="66" t="s">
        <v>195</v>
      </c>
      <c r="AG127" s="66" t="s">
        <v>464</v>
      </c>
      <c r="AH127" s="66" t="s">
        <v>465</v>
      </c>
      <c r="AI127" s="66"/>
      <c r="AJ127" s="66" t="s">
        <v>572</v>
      </c>
      <c r="AK127" s="78" t="s">
        <v>42</v>
      </c>
    </row>
    <row r="128" spans="1:37" x14ac:dyDescent="0.25">
      <c r="A128" s="66" t="s">
        <v>179</v>
      </c>
      <c r="B128" s="66">
        <v>146902</v>
      </c>
      <c r="C128" s="67">
        <v>45995.373993055553</v>
      </c>
      <c r="D128" s="77">
        <v>2025</v>
      </c>
      <c r="E128" s="77">
        <v>12</v>
      </c>
      <c r="F128" s="66">
        <v>901541137</v>
      </c>
      <c r="G128" s="66"/>
      <c r="H128" s="66" t="s">
        <v>184</v>
      </c>
      <c r="I128" s="69">
        <v>68409212</v>
      </c>
      <c r="J128" s="66" t="s">
        <v>461</v>
      </c>
      <c r="K128" s="66"/>
      <c r="L128" s="66"/>
      <c r="M128" s="66"/>
      <c r="N128" s="66"/>
      <c r="O128" s="66"/>
      <c r="P128" s="66" t="s">
        <v>101</v>
      </c>
      <c r="Q128" s="68" t="str">
        <f t="shared" si="1"/>
        <v>HUS0000433664FA0303878704</v>
      </c>
      <c r="R128" s="66" t="s">
        <v>467</v>
      </c>
      <c r="S128" s="66" t="s">
        <v>468</v>
      </c>
      <c r="T128" s="66"/>
      <c r="U128" s="66" t="s">
        <v>182</v>
      </c>
      <c r="V128" s="69">
        <v>68409212</v>
      </c>
      <c r="W128" s="67">
        <v>45951.750462962962</v>
      </c>
      <c r="X128" s="67">
        <v>45981</v>
      </c>
      <c r="Y128" s="66">
        <v>146143</v>
      </c>
      <c r="Z128" s="67">
        <v>45981.724409722221</v>
      </c>
      <c r="AA128" s="66">
        <v>901541137</v>
      </c>
      <c r="AB128" s="66" t="s">
        <v>184</v>
      </c>
      <c r="AC128" s="69">
        <v>878704</v>
      </c>
      <c r="AD128" s="69">
        <v>0</v>
      </c>
      <c r="AE128" s="66" t="s">
        <v>260</v>
      </c>
      <c r="AF128" s="66" t="s">
        <v>261</v>
      </c>
      <c r="AG128" s="66" t="s">
        <v>464</v>
      </c>
      <c r="AH128" s="66" t="s">
        <v>465</v>
      </c>
      <c r="AI128" s="66"/>
      <c r="AJ128" s="66" t="s">
        <v>573</v>
      </c>
      <c r="AK128" s="78" t="s">
        <v>42</v>
      </c>
    </row>
    <row r="129" spans="1:37" x14ac:dyDescent="0.25">
      <c r="A129" s="66" t="s">
        <v>179</v>
      </c>
      <c r="B129" s="66">
        <v>146903</v>
      </c>
      <c r="C129" s="67">
        <v>45995.390763888892</v>
      </c>
      <c r="D129" s="77">
        <v>2025</v>
      </c>
      <c r="E129" s="77">
        <v>12</v>
      </c>
      <c r="F129" s="66">
        <v>901541137</v>
      </c>
      <c r="G129" s="66"/>
      <c r="H129" s="66" t="s">
        <v>184</v>
      </c>
      <c r="I129" s="69">
        <v>28226925</v>
      </c>
      <c r="J129" s="66" t="s">
        <v>480</v>
      </c>
      <c r="K129" s="66"/>
      <c r="L129" s="66"/>
      <c r="M129" s="66"/>
      <c r="N129" s="66"/>
      <c r="O129" s="66"/>
      <c r="P129" s="66" t="s">
        <v>114</v>
      </c>
      <c r="Q129" s="68" t="str">
        <f t="shared" si="1"/>
        <v>HUS0000433763CL01012790060</v>
      </c>
      <c r="R129" s="66" t="s">
        <v>467</v>
      </c>
      <c r="S129" s="66" t="s">
        <v>468</v>
      </c>
      <c r="T129" s="66"/>
      <c r="U129" s="66" t="s">
        <v>182</v>
      </c>
      <c r="V129" s="69">
        <v>29422665</v>
      </c>
      <c r="W129" s="67">
        <v>45952.330358796295</v>
      </c>
      <c r="X129" s="67">
        <v>45981</v>
      </c>
      <c r="Y129" s="66">
        <v>146144</v>
      </c>
      <c r="Z129" s="67">
        <v>45981.726168981484</v>
      </c>
      <c r="AA129" s="66">
        <v>901541137</v>
      </c>
      <c r="AB129" s="66" t="s">
        <v>184</v>
      </c>
      <c r="AC129" s="69">
        <f>2391480+AC130</f>
        <v>2790060</v>
      </c>
      <c r="AD129" s="69">
        <v>1195740</v>
      </c>
      <c r="AE129" s="66" t="s">
        <v>194</v>
      </c>
      <c r="AF129" s="66" t="s">
        <v>195</v>
      </c>
      <c r="AG129" s="66" t="s">
        <v>474</v>
      </c>
      <c r="AH129" s="66" t="s">
        <v>475</v>
      </c>
      <c r="AI129" s="66"/>
      <c r="AJ129" s="66" t="s">
        <v>631</v>
      </c>
      <c r="AK129" s="78" t="s">
        <v>42</v>
      </c>
    </row>
    <row r="130" spans="1:37" x14ac:dyDescent="0.25">
      <c r="A130" s="66" t="s">
        <v>179</v>
      </c>
      <c r="B130" s="66">
        <v>146903</v>
      </c>
      <c r="C130" s="67">
        <v>45995.390763888892</v>
      </c>
      <c r="D130" s="77">
        <v>2025</v>
      </c>
      <c r="E130" s="77">
        <v>12</v>
      </c>
      <c r="F130" s="66">
        <v>901541137</v>
      </c>
      <c r="G130" s="66"/>
      <c r="H130" s="66" t="s">
        <v>184</v>
      </c>
      <c r="I130" s="69">
        <v>28226925</v>
      </c>
      <c r="J130" s="66" t="s">
        <v>480</v>
      </c>
      <c r="K130" s="66"/>
      <c r="L130" s="66"/>
      <c r="M130" s="66"/>
      <c r="N130" s="66"/>
      <c r="O130" s="66"/>
      <c r="P130" s="66" t="s">
        <v>114</v>
      </c>
      <c r="Q130" s="68" t="str">
        <f t="shared" si="1"/>
        <v>HUS0000433763CL0101398580</v>
      </c>
      <c r="R130" s="66" t="s">
        <v>467</v>
      </c>
      <c r="S130" s="66" t="s">
        <v>468</v>
      </c>
      <c r="T130" s="66"/>
      <c r="U130" s="66" t="s">
        <v>182</v>
      </c>
      <c r="V130" s="69">
        <v>29422665</v>
      </c>
      <c r="W130" s="67">
        <v>45952.330358796295</v>
      </c>
      <c r="X130" s="67">
        <v>45981</v>
      </c>
      <c r="Y130" s="66">
        <v>146144</v>
      </c>
      <c r="Z130" s="67">
        <v>45981.726168981484</v>
      </c>
      <c r="AA130" s="66">
        <v>901541137</v>
      </c>
      <c r="AB130" s="66" t="s">
        <v>184</v>
      </c>
      <c r="AC130" s="69">
        <v>398580</v>
      </c>
      <c r="AD130" s="69">
        <v>0</v>
      </c>
      <c r="AE130" s="66" t="s">
        <v>194</v>
      </c>
      <c r="AF130" s="66" t="s">
        <v>195</v>
      </c>
      <c r="AG130" s="66" t="s">
        <v>464</v>
      </c>
      <c r="AH130" s="66" t="s">
        <v>465</v>
      </c>
      <c r="AI130" s="66"/>
      <c r="AJ130" s="66" t="s">
        <v>574</v>
      </c>
      <c r="AK130" s="78" t="s">
        <v>42</v>
      </c>
    </row>
    <row r="131" spans="1:37" x14ac:dyDescent="0.25">
      <c r="A131" s="66" t="s">
        <v>179</v>
      </c>
      <c r="B131" s="66">
        <v>146908</v>
      </c>
      <c r="C131" s="67">
        <v>45995.409131944441</v>
      </c>
      <c r="D131" s="77">
        <v>2025</v>
      </c>
      <c r="E131" s="77">
        <v>12</v>
      </c>
      <c r="F131" s="66">
        <v>901541137</v>
      </c>
      <c r="G131" s="66"/>
      <c r="H131" s="66" t="s">
        <v>184</v>
      </c>
      <c r="I131" s="69">
        <v>26825650</v>
      </c>
      <c r="J131" s="66" t="s">
        <v>480</v>
      </c>
      <c r="K131" s="66"/>
      <c r="L131" s="66"/>
      <c r="M131" s="66"/>
      <c r="N131" s="66"/>
      <c r="O131" s="66"/>
      <c r="P131" s="66" t="s">
        <v>115</v>
      </c>
      <c r="Q131" s="68" t="str">
        <f t="shared" si="1"/>
        <v>HUS0000434322CL01011594320</v>
      </c>
      <c r="R131" s="66" t="s">
        <v>467</v>
      </c>
      <c r="S131" s="66" t="s">
        <v>468</v>
      </c>
      <c r="T131" s="66"/>
      <c r="U131" s="66" t="s">
        <v>182</v>
      </c>
      <c r="V131" s="69">
        <v>27622810</v>
      </c>
      <c r="W131" s="67">
        <v>45953.329155092593</v>
      </c>
      <c r="X131" s="67">
        <v>45981</v>
      </c>
      <c r="Y131" s="66">
        <v>146147</v>
      </c>
      <c r="Z131" s="67">
        <v>45981.728356481479</v>
      </c>
      <c r="AA131" s="66">
        <v>901541137</v>
      </c>
      <c r="AB131" s="66" t="s">
        <v>184</v>
      </c>
      <c r="AC131" s="69">
        <v>1594320</v>
      </c>
      <c r="AD131" s="69">
        <v>797160</v>
      </c>
      <c r="AE131" s="66" t="s">
        <v>194</v>
      </c>
      <c r="AF131" s="66" t="s">
        <v>195</v>
      </c>
      <c r="AG131" s="66" t="s">
        <v>474</v>
      </c>
      <c r="AH131" s="66" t="s">
        <v>475</v>
      </c>
      <c r="AI131" s="66"/>
      <c r="AJ131" s="66" t="s">
        <v>575</v>
      </c>
      <c r="AK131" s="78" t="s">
        <v>42</v>
      </c>
    </row>
    <row r="132" spans="1:37" x14ac:dyDescent="0.25">
      <c r="A132" s="66" t="s">
        <v>179</v>
      </c>
      <c r="B132" s="66">
        <v>146908</v>
      </c>
      <c r="C132" s="67">
        <v>45995.409131944441</v>
      </c>
      <c r="D132" s="77">
        <v>2025</v>
      </c>
      <c r="E132" s="77">
        <v>12</v>
      </c>
      <c r="F132" s="66">
        <v>901541137</v>
      </c>
      <c r="G132" s="66"/>
      <c r="H132" s="66" t="s">
        <v>184</v>
      </c>
      <c r="I132" s="69">
        <v>26825650</v>
      </c>
      <c r="J132" s="66" t="s">
        <v>480</v>
      </c>
      <c r="K132" s="66"/>
      <c r="L132" s="66"/>
      <c r="M132" s="66"/>
      <c r="N132" s="66"/>
      <c r="O132" s="66"/>
      <c r="P132" s="66" t="s">
        <v>115</v>
      </c>
      <c r="Q132" s="68" t="str">
        <f t="shared" si="1"/>
        <v>HUS0000434322CL0801369219</v>
      </c>
      <c r="R132" s="66" t="s">
        <v>467</v>
      </c>
      <c r="S132" s="66" t="s">
        <v>468</v>
      </c>
      <c r="T132" s="66"/>
      <c r="U132" s="66" t="s">
        <v>182</v>
      </c>
      <c r="V132" s="69">
        <v>27622810</v>
      </c>
      <c r="W132" s="67">
        <v>45953.329155092593</v>
      </c>
      <c r="X132" s="67">
        <v>45981</v>
      </c>
      <c r="Y132" s="66">
        <v>146147</v>
      </c>
      <c r="Z132" s="67">
        <v>45981.728356481479</v>
      </c>
      <c r="AA132" s="66">
        <v>901541137</v>
      </c>
      <c r="AB132" s="66" t="s">
        <v>184</v>
      </c>
      <c r="AC132" s="69">
        <v>369219</v>
      </c>
      <c r="AD132" s="69">
        <v>0</v>
      </c>
      <c r="AE132" s="66" t="s">
        <v>241</v>
      </c>
      <c r="AF132" s="66" t="s">
        <v>242</v>
      </c>
      <c r="AG132" s="66" t="s">
        <v>464</v>
      </c>
      <c r="AH132" s="66" t="s">
        <v>465</v>
      </c>
      <c r="AI132" s="66"/>
      <c r="AJ132" s="66" t="s">
        <v>576</v>
      </c>
      <c r="AK132" s="78" t="s">
        <v>42</v>
      </c>
    </row>
    <row r="133" spans="1:37" x14ac:dyDescent="0.25">
      <c r="A133" s="66" t="s">
        <v>179</v>
      </c>
      <c r="B133" s="66">
        <v>146910</v>
      </c>
      <c r="C133" s="67">
        <v>45995.453993055555</v>
      </c>
      <c r="D133" s="77">
        <v>2025</v>
      </c>
      <c r="E133" s="77">
        <v>12</v>
      </c>
      <c r="F133" s="66">
        <v>901541137</v>
      </c>
      <c r="G133" s="66"/>
      <c r="H133" s="66" t="s">
        <v>184</v>
      </c>
      <c r="I133" s="69">
        <v>10663345</v>
      </c>
      <c r="J133" s="66" t="s">
        <v>480</v>
      </c>
      <c r="K133" s="66"/>
      <c r="L133" s="66"/>
      <c r="M133" s="66"/>
      <c r="N133" s="66"/>
      <c r="O133" s="66"/>
      <c r="P133" s="66" t="s">
        <v>116</v>
      </c>
      <c r="Q133" s="68" t="str">
        <f t="shared" ref="Q133:Q191" si="2">P133&amp;AE133&amp;AC133</f>
        <v>HUS0000435046CL08011195740</v>
      </c>
      <c r="R133" s="66" t="s">
        <v>467</v>
      </c>
      <c r="S133" s="66" t="s">
        <v>468</v>
      </c>
      <c r="T133" s="66"/>
      <c r="U133" s="66" t="s">
        <v>182</v>
      </c>
      <c r="V133" s="69">
        <v>11859085</v>
      </c>
      <c r="W133" s="67">
        <v>45954.578043981484</v>
      </c>
      <c r="X133" s="67">
        <v>45981</v>
      </c>
      <c r="Y133" s="66">
        <v>146149</v>
      </c>
      <c r="Z133" s="67">
        <v>45981.730011574073</v>
      </c>
      <c r="AA133" s="66">
        <v>901541137</v>
      </c>
      <c r="AB133" s="66" t="s">
        <v>184</v>
      </c>
      <c r="AC133" s="69">
        <v>1195740</v>
      </c>
      <c r="AD133" s="69">
        <v>1195740</v>
      </c>
      <c r="AE133" s="66" t="s">
        <v>241</v>
      </c>
      <c r="AF133" s="66" t="s">
        <v>242</v>
      </c>
      <c r="AG133" s="66" t="s">
        <v>486</v>
      </c>
      <c r="AH133" s="66" t="s">
        <v>487</v>
      </c>
      <c r="AI133" s="66"/>
      <c r="AJ133" s="66" t="s">
        <v>577</v>
      </c>
      <c r="AK133" s="78" t="s">
        <v>42</v>
      </c>
    </row>
    <row r="134" spans="1:37" x14ac:dyDescent="0.25">
      <c r="A134" s="66" t="s">
        <v>179</v>
      </c>
      <c r="B134" s="66">
        <v>146914</v>
      </c>
      <c r="C134" s="67">
        <v>45995.462129629632</v>
      </c>
      <c r="D134" s="77">
        <v>2025</v>
      </c>
      <c r="E134" s="77">
        <v>12</v>
      </c>
      <c r="F134" s="66">
        <v>901541137</v>
      </c>
      <c r="G134" s="66"/>
      <c r="H134" s="66" t="s">
        <v>184</v>
      </c>
      <c r="I134" s="69">
        <v>27034403</v>
      </c>
      <c r="J134" s="66" t="s">
        <v>480</v>
      </c>
      <c r="K134" s="66"/>
      <c r="L134" s="66"/>
      <c r="M134" s="66"/>
      <c r="N134" s="66"/>
      <c r="O134" s="66"/>
      <c r="P134" s="66" t="s">
        <v>118</v>
      </c>
      <c r="Q134" s="68" t="str">
        <f t="shared" si="2"/>
        <v>HUS0000435485CL080168120</v>
      </c>
      <c r="R134" s="66" t="s">
        <v>467</v>
      </c>
      <c r="S134" s="66" t="s">
        <v>468</v>
      </c>
      <c r="T134" s="66"/>
      <c r="U134" s="66" t="s">
        <v>182</v>
      </c>
      <c r="V134" s="69">
        <v>27102523</v>
      </c>
      <c r="W134" s="67">
        <v>45956.468159722222</v>
      </c>
      <c r="X134" s="67">
        <v>45981</v>
      </c>
      <c r="Y134" s="66">
        <v>146153</v>
      </c>
      <c r="Z134" s="67">
        <v>45981.731469907405</v>
      </c>
      <c r="AA134" s="66">
        <v>901541137</v>
      </c>
      <c r="AB134" s="66" t="s">
        <v>184</v>
      </c>
      <c r="AC134" s="69">
        <v>68120</v>
      </c>
      <c r="AD134" s="69">
        <v>68120</v>
      </c>
      <c r="AE134" s="66" t="s">
        <v>241</v>
      </c>
      <c r="AF134" s="66" t="s">
        <v>242</v>
      </c>
      <c r="AG134" s="66" t="s">
        <v>486</v>
      </c>
      <c r="AH134" s="66" t="s">
        <v>487</v>
      </c>
      <c r="AI134" s="66"/>
      <c r="AJ134" s="66" t="s">
        <v>578</v>
      </c>
      <c r="AK134" s="78" t="s">
        <v>42</v>
      </c>
    </row>
    <row r="135" spans="1:37" x14ac:dyDescent="0.25">
      <c r="A135" s="66" t="s">
        <v>179</v>
      </c>
      <c r="B135" s="66">
        <v>146914</v>
      </c>
      <c r="C135" s="67">
        <v>45995.462129629632</v>
      </c>
      <c r="D135" s="77">
        <v>2025</v>
      </c>
      <c r="E135" s="77">
        <v>12</v>
      </c>
      <c r="F135" s="66">
        <v>901541137</v>
      </c>
      <c r="G135" s="66"/>
      <c r="H135" s="66" t="s">
        <v>184</v>
      </c>
      <c r="I135" s="69">
        <v>27034403</v>
      </c>
      <c r="J135" s="66" t="s">
        <v>480</v>
      </c>
      <c r="K135" s="66"/>
      <c r="L135" s="66"/>
      <c r="M135" s="66"/>
      <c r="N135" s="66"/>
      <c r="O135" s="66"/>
      <c r="P135" s="66" t="s">
        <v>118</v>
      </c>
      <c r="Q135" s="68" t="str">
        <f t="shared" si="2"/>
        <v>HUS0000435485CL01011594320</v>
      </c>
      <c r="R135" s="66" t="s">
        <v>467</v>
      </c>
      <c r="S135" s="66" t="s">
        <v>468</v>
      </c>
      <c r="T135" s="66"/>
      <c r="U135" s="66" t="s">
        <v>182</v>
      </c>
      <c r="V135" s="69">
        <v>27102523</v>
      </c>
      <c r="W135" s="67">
        <v>45956.468159722222</v>
      </c>
      <c r="X135" s="67">
        <v>45981</v>
      </c>
      <c r="Y135" s="66">
        <v>146153</v>
      </c>
      <c r="Z135" s="67">
        <v>45981.731469907405</v>
      </c>
      <c r="AA135" s="66">
        <v>901541137</v>
      </c>
      <c r="AB135" s="66" t="s">
        <v>184</v>
      </c>
      <c r="AC135" s="69">
        <v>1594320</v>
      </c>
      <c r="AD135" s="69">
        <v>0</v>
      </c>
      <c r="AE135" s="66" t="s">
        <v>194</v>
      </c>
      <c r="AF135" s="66" t="s">
        <v>195</v>
      </c>
      <c r="AG135" s="66" t="s">
        <v>464</v>
      </c>
      <c r="AH135" s="66" t="s">
        <v>465</v>
      </c>
      <c r="AI135" s="66"/>
      <c r="AJ135" s="66" t="s">
        <v>579</v>
      </c>
      <c r="AK135" s="78" t="s">
        <v>42</v>
      </c>
    </row>
    <row r="136" spans="1:37" x14ac:dyDescent="0.25">
      <c r="A136" s="66" t="s">
        <v>179</v>
      </c>
      <c r="B136" s="66">
        <v>146917</v>
      </c>
      <c r="C136" s="67">
        <v>45995.482557870368</v>
      </c>
      <c r="D136" s="77">
        <v>2025</v>
      </c>
      <c r="E136" s="77">
        <v>12</v>
      </c>
      <c r="F136" s="66">
        <v>901541137</v>
      </c>
      <c r="G136" s="66"/>
      <c r="H136" s="66" t="s">
        <v>184</v>
      </c>
      <c r="I136" s="69">
        <v>8223420</v>
      </c>
      <c r="J136" s="66" t="s">
        <v>461</v>
      </c>
      <c r="K136" s="66"/>
      <c r="L136" s="66"/>
      <c r="M136" s="66"/>
      <c r="N136" s="66"/>
      <c r="O136" s="66"/>
      <c r="P136" s="66" t="s">
        <v>124</v>
      </c>
      <c r="Q136" s="68" t="str">
        <f t="shared" si="2"/>
        <v>HUS0000439635CL2301672342</v>
      </c>
      <c r="R136" s="66" t="s">
        <v>467</v>
      </c>
      <c r="S136" s="66" t="s">
        <v>468</v>
      </c>
      <c r="T136" s="66"/>
      <c r="U136" s="66" t="s">
        <v>182</v>
      </c>
      <c r="V136" s="69">
        <v>8895762</v>
      </c>
      <c r="W136" s="67">
        <v>45968.46534722222</v>
      </c>
      <c r="X136" s="67">
        <v>45982</v>
      </c>
      <c r="Y136" s="66">
        <v>146278</v>
      </c>
      <c r="Z136" s="67">
        <v>45982.717881944445</v>
      </c>
      <c r="AA136" s="66">
        <v>901541137</v>
      </c>
      <c r="AB136" s="66" t="s">
        <v>184</v>
      </c>
      <c r="AC136" s="69">
        <v>672342</v>
      </c>
      <c r="AD136" s="69">
        <v>672342</v>
      </c>
      <c r="AE136" s="66" t="s">
        <v>275</v>
      </c>
      <c r="AF136" s="66" t="s">
        <v>276</v>
      </c>
      <c r="AG136" s="66" t="s">
        <v>486</v>
      </c>
      <c r="AH136" s="66" t="s">
        <v>487</v>
      </c>
      <c r="AI136" s="66"/>
      <c r="AJ136" s="66" t="s">
        <v>580</v>
      </c>
      <c r="AK136" s="78" t="s">
        <v>42</v>
      </c>
    </row>
    <row r="137" spans="1:37" x14ac:dyDescent="0.25">
      <c r="A137" s="66" t="s">
        <v>179</v>
      </c>
      <c r="B137" s="66">
        <v>146917</v>
      </c>
      <c r="C137" s="67">
        <v>45995.482557870368</v>
      </c>
      <c r="D137" s="77">
        <v>2025</v>
      </c>
      <c r="E137" s="77">
        <v>12</v>
      </c>
      <c r="F137" s="66">
        <v>901541137</v>
      </c>
      <c r="G137" s="66"/>
      <c r="H137" s="66" t="s">
        <v>184</v>
      </c>
      <c r="I137" s="69">
        <v>8223420</v>
      </c>
      <c r="J137" s="66" t="s">
        <v>461</v>
      </c>
      <c r="K137" s="66"/>
      <c r="L137" s="66"/>
      <c r="M137" s="66"/>
      <c r="N137" s="66"/>
      <c r="O137" s="66"/>
      <c r="P137" s="66" t="s">
        <v>124</v>
      </c>
      <c r="Q137" s="68" t="str">
        <f t="shared" si="2"/>
        <v>HUS0000439635CL070114800</v>
      </c>
      <c r="R137" s="66" t="s">
        <v>467</v>
      </c>
      <c r="S137" s="66" t="s">
        <v>468</v>
      </c>
      <c r="T137" s="66"/>
      <c r="U137" s="66" t="s">
        <v>182</v>
      </c>
      <c r="V137" s="69">
        <v>8895762</v>
      </c>
      <c r="W137" s="67">
        <v>45968.46534722222</v>
      </c>
      <c r="X137" s="67">
        <v>45982</v>
      </c>
      <c r="Y137" s="66">
        <v>146278</v>
      </c>
      <c r="Z137" s="67">
        <v>45982.717881944445</v>
      </c>
      <c r="AA137" s="66">
        <v>901541137</v>
      </c>
      <c r="AB137" s="66" t="s">
        <v>184</v>
      </c>
      <c r="AC137" s="69">
        <v>14800</v>
      </c>
      <c r="AD137" s="69">
        <v>0</v>
      </c>
      <c r="AE137" s="66" t="s">
        <v>271</v>
      </c>
      <c r="AF137" s="66" t="s">
        <v>272</v>
      </c>
      <c r="AG137" s="66" t="s">
        <v>464</v>
      </c>
      <c r="AH137" s="66" t="s">
        <v>465</v>
      </c>
      <c r="AI137" s="66"/>
      <c r="AJ137" s="66" t="s">
        <v>581</v>
      </c>
      <c r="AK137" s="78" t="s">
        <v>42</v>
      </c>
    </row>
    <row r="138" spans="1:37" x14ac:dyDescent="0.25">
      <c r="A138" s="66" t="s">
        <v>179</v>
      </c>
      <c r="B138" s="66">
        <v>146917</v>
      </c>
      <c r="C138" s="67">
        <v>45995.482557870368</v>
      </c>
      <c r="D138" s="77">
        <v>2025</v>
      </c>
      <c r="E138" s="77">
        <v>12</v>
      </c>
      <c r="F138" s="66">
        <v>901541137</v>
      </c>
      <c r="G138" s="66"/>
      <c r="H138" s="66" t="s">
        <v>184</v>
      </c>
      <c r="I138" s="69">
        <v>8223420</v>
      </c>
      <c r="J138" s="66" t="s">
        <v>461</v>
      </c>
      <c r="K138" s="66"/>
      <c r="L138" s="66"/>
      <c r="M138" s="66"/>
      <c r="N138" s="66"/>
      <c r="O138" s="66"/>
      <c r="P138" s="66" t="s">
        <v>124</v>
      </c>
      <c r="Q138" s="68" t="str">
        <f t="shared" si="2"/>
        <v>HUS0000439635FA06033829800</v>
      </c>
      <c r="R138" s="66" t="s">
        <v>467</v>
      </c>
      <c r="S138" s="66" t="s">
        <v>468</v>
      </c>
      <c r="T138" s="66"/>
      <c r="U138" s="66" t="s">
        <v>182</v>
      </c>
      <c r="V138" s="69">
        <v>8895762</v>
      </c>
      <c r="W138" s="67">
        <v>45968.46534722222</v>
      </c>
      <c r="X138" s="67">
        <v>45982</v>
      </c>
      <c r="Y138" s="66">
        <v>146278</v>
      </c>
      <c r="Z138" s="67">
        <v>45982.717881944445</v>
      </c>
      <c r="AA138" s="66">
        <v>901541137</v>
      </c>
      <c r="AB138" s="66" t="s">
        <v>184</v>
      </c>
      <c r="AC138" s="69">
        <v>3829800</v>
      </c>
      <c r="AD138" s="69">
        <v>0</v>
      </c>
      <c r="AE138" s="66" t="s">
        <v>325</v>
      </c>
      <c r="AF138" s="66" t="s">
        <v>326</v>
      </c>
      <c r="AG138" s="66" t="s">
        <v>464</v>
      </c>
      <c r="AH138" s="66" t="s">
        <v>465</v>
      </c>
      <c r="AI138" s="66"/>
      <c r="AJ138" s="66" t="s">
        <v>582</v>
      </c>
      <c r="AK138" s="78" t="s">
        <v>42</v>
      </c>
    </row>
    <row r="139" spans="1:37" x14ac:dyDescent="0.25">
      <c r="A139" s="66" t="s">
        <v>179</v>
      </c>
      <c r="B139" s="66">
        <v>146918</v>
      </c>
      <c r="C139" s="67">
        <v>45995.493715277778</v>
      </c>
      <c r="D139" s="77">
        <v>2025</v>
      </c>
      <c r="E139" s="77">
        <v>12</v>
      </c>
      <c r="F139" s="66">
        <v>901541137</v>
      </c>
      <c r="G139" s="66"/>
      <c r="H139" s="66" t="s">
        <v>184</v>
      </c>
      <c r="I139" s="69">
        <v>1255305</v>
      </c>
      <c r="J139" s="66" t="s">
        <v>461</v>
      </c>
      <c r="K139" s="66"/>
      <c r="L139" s="66"/>
      <c r="M139" s="66"/>
      <c r="N139" s="66"/>
      <c r="O139" s="66"/>
      <c r="P139" s="66" t="s">
        <v>135</v>
      </c>
      <c r="Q139" s="68" t="str">
        <f t="shared" si="2"/>
        <v>HUS0000439787FA020179407</v>
      </c>
      <c r="R139" s="66" t="s">
        <v>467</v>
      </c>
      <c r="S139" s="66" t="s">
        <v>468</v>
      </c>
      <c r="T139" s="66"/>
      <c r="U139" s="66" t="s">
        <v>182</v>
      </c>
      <c r="V139" s="69">
        <v>1255305</v>
      </c>
      <c r="W139" s="67">
        <v>45969.090995370374</v>
      </c>
      <c r="X139" s="67">
        <v>45982</v>
      </c>
      <c r="Y139" s="66">
        <v>146286</v>
      </c>
      <c r="Z139" s="67">
        <v>45982.723067129627</v>
      </c>
      <c r="AA139" s="66">
        <v>901541137</v>
      </c>
      <c r="AB139" s="66" t="s">
        <v>184</v>
      </c>
      <c r="AC139" s="69">
        <v>79407</v>
      </c>
      <c r="AD139" s="69">
        <v>0</v>
      </c>
      <c r="AE139" s="66" t="s">
        <v>406</v>
      </c>
      <c r="AF139" s="66" t="s">
        <v>407</v>
      </c>
      <c r="AG139" s="66" t="s">
        <v>464</v>
      </c>
      <c r="AH139" s="66" t="s">
        <v>465</v>
      </c>
      <c r="AI139" s="66"/>
      <c r="AJ139" s="66" t="s">
        <v>583</v>
      </c>
      <c r="AK139" s="78" t="s">
        <v>42</v>
      </c>
    </row>
    <row r="140" spans="1:37" x14ac:dyDescent="0.25">
      <c r="A140" s="66" t="s">
        <v>179</v>
      </c>
      <c r="B140" s="66">
        <v>146918</v>
      </c>
      <c r="C140" s="67">
        <v>45995.493715277778</v>
      </c>
      <c r="D140" s="77">
        <v>2025</v>
      </c>
      <c r="E140" s="77">
        <v>12</v>
      </c>
      <c r="F140" s="66">
        <v>901541137</v>
      </c>
      <c r="G140" s="66"/>
      <c r="H140" s="66" t="s">
        <v>184</v>
      </c>
      <c r="I140" s="69">
        <v>1255305</v>
      </c>
      <c r="J140" s="66" t="s">
        <v>461</v>
      </c>
      <c r="K140" s="66"/>
      <c r="L140" s="66"/>
      <c r="M140" s="66"/>
      <c r="N140" s="66"/>
      <c r="O140" s="66"/>
      <c r="P140" s="66" t="s">
        <v>135</v>
      </c>
      <c r="Q140" s="68" t="str">
        <f t="shared" si="2"/>
        <v>HUS0000439787CL0801227813</v>
      </c>
      <c r="R140" s="66" t="s">
        <v>467</v>
      </c>
      <c r="S140" s="66" t="s">
        <v>468</v>
      </c>
      <c r="T140" s="66"/>
      <c r="U140" s="66" t="s">
        <v>182</v>
      </c>
      <c r="V140" s="69">
        <v>1255305</v>
      </c>
      <c r="W140" s="67">
        <v>45969.090995370374</v>
      </c>
      <c r="X140" s="67">
        <v>45982</v>
      </c>
      <c r="Y140" s="66">
        <v>146286</v>
      </c>
      <c r="Z140" s="67">
        <v>45982.723067129627</v>
      </c>
      <c r="AA140" s="66">
        <v>901541137</v>
      </c>
      <c r="AB140" s="66" t="s">
        <v>184</v>
      </c>
      <c r="AC140" s="69">
        <v>227813</v>
      </c>
      <c r="AD140" s="69">
        <v>0</v>
      </c>
      <c r="AE140" s="66" t="s">
        <v>241</v>
      </c>
      <c r="AF140" s="66" t="s">
        <v>242</v>
      </c>
      <c r="AG140" s="66" t="s">
        <v>464</v>
      </c>
      <c r="AH140" s="66" t="s">
        <v>465</v>
      </c>
      <c r="AI140" s="66"/>
      <c r="AJ140" s="66" t="s">
        <v>584</v>
      </c>
      <c r="AK140" s="78" t="s">
        <v>42</v>
      </c>
    </row>
    <row r="141" spans="1:37" x14ac:dyDescent="0.25">
      <c r="A141" s="66" t="s">
        <v>179</v>
      </c>
      <c r="B141" s="66">
        <v>146943</v>
      </c>
      <c r="C141" s="67">
        <v>45995.687604166669</v>
      </c>
      <c r="D141" s="77">
        <v>2025</v>
      </c>
      <c r="E141" s="77">
        <v>12</v>
      </c>
      <c r="F141" s="66">
        <v>901541137</v>
      </c>
      <c r="G141" s="66"/>
      <c r="H141" s="66" t="s">
        <v>184</v>
      </c>
      <c r="I141" s="69">
        <v>9298784</v>
      </c>
      <c r="J141" s="66" t="s">
        <v>461</v>
      </c>
      <c r="K141" s="66"/>
      <c r="L141" s="66"/>
      <c r="M141" s="66"/>
      <c r="N141" s="66"/>
      <c r="O141" s="66"/>
      <c r="P141" s="66" t="s">
        <v>99</v>
      </c>
      <c r="Q141" s="68" t="str">
        <f t="shared" si="2"/>
        <v>HUS0000432263SO4201339200</v>
      </c>
      <c r="R141" s="66" t="s">
        <v>467</v>
      </c>
      <c r="S141" s="66" t="s">
        <v>468</v>
      </c>
      <c r="T141" s="66"/>
      <c r="U141" s="66" t="s">
        <v>182</v>
      </c>
      <c r="V141" s="69">
        <v>9298784</v>
      </c>
      <c r="W141" s="67">
        <v>45947.577696759261</v>
      </c>
      <c r="X141" s="67">
        <v>45973</v>
      </c>
      <c r="Y141" s="66">
        <v>145632</v>
      </c>
      <c r="Z141" s="67">
        <v>45973.366076388891</v>
      </c>
      <c r="AA141" s="66">
        <v>901541137</v>
      </c>
      <c r="AB141" s="66" t="s">
        <v>184</v>
      </c>
      <c r="AC141" s="69">
        <v>339200</v>
      </c>
      <c r="AD141" s="69">
        <v>0</v>
      </c>
      <c r="AE141" s="66" t="s">
        <v>303</v>
      </c>
      <c r="AF141" s="66" t="s">
        <v>304</v>
      </c>
      <c r="AG141" s="66" t="s">
        <v>464</v>
      </c>
      <c r="AH141" s="66" t="s">
        <v>465</v>
      </c>
      <c r="AI141" s="66"/>
      <c r="AJ141" s="66" t="s">
        <v>542</v>
      </c>
      <c r="AK141" s="78" t="s">
        <v>42</v>
      </c>
    </row>
    <row r="142" spans="1:37" x14ac:dyDescent="0.25">
      <c r="A142" s="66" t="s">
        <v>179</v>
      </c>
      <c r="B142" s="66">
        <v>146981</v>
      </c>
      <c r="C142" s="67">
        <v>45996.566157407404</v>
      </c>
      <c r="D142" s="77">
        <v>2025</v>
      </c>
      <c r="E142" s="77">
        <v>12</v>
      </c>
      <c r="F142" s="66">
        <v>901541137</v>
      </c>
      <c r="G142" s="66"/>
      <c r="H142" s="66" t="s">
        <v>184</v>
      </c>
      <c r="I142" s="69">
        <v>1112776</v>
      </c>
      <c r="J142" s="66" t="s">
        <v>461</v>
      </c>
      <c r="K142" s="66"/>
      <c r="L142" s="66"/>
      <c r="M142" s="66"/>
      <c r="N142" s="66"/>
      <c r="O142" s="66"/>
      <c r="P142" s="66" t="s">
        <v>105</v>
      </c>
      <c r="Q142" s="68" t="str">
        <f t="shared" si="2"/>
        <v>HUS0000433161SO42011112776</v>
      </c>
      <c r="R142" s="66" t="s">
        <v>467</v>
      </c>
      <c r="S142" s="66" t="s">
        <v>468</v>
      </c>
      <c r="T142" s="66"/>
      <c r="U142" s="66" t="s">
        <v>182</v>
      </c>
      <c r="V142" s="69">
        <v>1112776</v>
      </c>
      <c r="W142" s="67">
        <v>45950.716736111113</v>
      </c>
      <c r="X142" s="67">
        <v>45975</v>
      </c>
      <c r="Y142" s="66">
        <v>145637</v>
      </c>
      <c r="Z142" s="67">
        <v>45975.381249999999</v>
      </c>
      <c r="AA142" s="66">
        <v>901541137</v>
      </c>
      <c r="AB142" s="66" t="s">
        <v>184</v>
      </c>
      <c r="AC142" s="69">
        <v>1112776</v>
      </c>
      <c r="AD142" s="69">
        <v>0</v>
      </c>
      <c r="AE142" s="66" t="s">
        <v>303</v>
      </c>
      <c r="AF142" s="66" t="s">
        <v>304</v>
      </c>
      <c r="AG142" s="66" t="s">
        <v>464</v>
      </c>
      <c r="AH142" s="66" t="s">
        <v>465</v>
      </c>
      <c r="AI142" s="66"/>
      <c r="AJ142" s="66" t="s">
        <v>585</v>
      </c>
      <c r="AK142" s="78" t="s">
        <v>42</v>
      </c>
    </row>
    <row r="143" spans="1:37" x14ac:dyDescent="0.25">
      <c r="A143" s="66" t="s">
        <v>179</v>
      </c>
      <c r="B143" s="66">
        <v>146982</v>
      </c>
      <c r="C143" s="67">
        <v>45996.567604166667</v>
      </c>
      <c r="D143" s="77">
        <v>2025</v>
      </c>
      <c r="E143" s="77">
        <v>12</v>
      </c>
      <c r="F143" s="66">
        <v>901541137</v>
      </c>
      <c r="G143" s="66"/>
      <c r="H143" s="66" t="s">
        <v>184</v>
      </c>
      <c r="I143" s="69">
        <v>1701716</v>
      </c>
      <c r="J143" s="66" t="s">
        <v>461</v>
      </c>
      <c r="K143" s="66"/>
      <c r="L143" s="66"/>
      <c r="M143" s="66"/>
      <c r="N143" s="66"/>
      <c r="O143" s="66"/>
      <c r="P143" s="66" t="s">
        <v>106</v>
      </c>
      <c r="Q143" s="68" t="str">
        <f t="shared" si="2"/>
        <v>HUS0000434018SO42011617070</v>
      </c>
      <c r="R143" s="66" t="s">
        <v>467</v>
      </c>
      <c r="S143" s="66" t="s">
        <v>468</v>
      </c>
      <c r="T143" s="66"/>
      <c r="U143" s="66" t="s">
        <v>182</v>
      </c>
      <c r="V143" s="69">
        <v>1701716</v>
      </c>
      <c r="W143" s="67">
        <v>45952.593865740739</v>
      </c>
      <c r="X143" s="67">
        <v>45975</v>
      </c>
      <c r="Y143" s="66">
        <v>145638</v>
      </c>
      <c r="Z143" s="67">
        <v>45975.381805555553</v>
      </c>
      <c r="AA143" s="66">
        <v>901541137</v>
      </c>
      <c r="AB143" s="66" t="s">
        <v>184</v>
      </c>
      <c r="AC143" s="69">
        <v>1617070</v>
      </c>
      <c r="AD143" s="69">
        <v>0</v>
      </c>
      <c r="AE143" s="66" t="s">
        <v>303</v>
      </c>
      <c r="AF143" s="66" t="s">
        <v>304</v>
      </c>
      <c r="AG143" s="66" t="s">
        <v>464</v>
      </c>
      <c r="AH143" s="66" t="s">
        <v>465</v>
      </c>
      <c r="AI143" s="66"/>
      <c r="AJ143" s="66" t="s">
        <v>586</v>
      </c>
      <c r="AK143" s="78" t="s">
        <v>42</v>
      </c>
    </row>
    <row r="144" spans="1:37" x14ac:dyDescent="0.25">
      <c r="A144" s="66" t="s">
        <v>179</v>
      </c>
      <c r="B144" s="66">
        <v>146983</v>
      </c>
      <c r="C144" s="67">
        <v>45996.569479166668</v>
      </c>
      <c r="D144" s="77">
        <v>2025</v>
      </c>
      <c r="E144" s="77">
        <v>12</v>
      </c>
      <c r="F144" s="66">
        <v>901541137</v>
      </c>
      <c r="G144" s="66"/>
      <c r="H144" s="66" t="s">
        <v>184</v>
      </c>
      <c r="I144" s="69">
        <v>556388</v>
      </c>
      <c r="J144" s="66" t="s">
        <v>461</v>
      </c>
      <c r="K144" s="66"/>
      <c r="L144" s="66"/>
      <c r="M144" s="66"/>
      <c r="N144" s="66"/>
      <c r="O144" s="66"/>
      <c r="P144" s="66" t="s">
        <v>107</v>
      </c>
      <c r="Q144" s="68" t="str">
        <f t="shared" si="2"/>
        <v>HUS0000434180SO4201556388</v>
      </c>
      <c r="R144" s="66" t="s">
        <v>467</v>
      </c>
      <c r="S144" s="66" t="s">
        <v>468</v>
      </c>
      <c r="T144" s="66"/>
      <c r="U144" s="66" t="s">
        <v>182</v>
      </c>
      <c r="V144" s="69">
        <v>556388</v>
      </c>
      <c r="W144" s="67">
        <v>45952.717638888891</v>
      </c>
      <c r="X144" s="67">
        <v>45975</v>
      </c>
      <c r="Y144" s="66">
        <v>145639</v>
      </c>
      <c r="Z144" s="67">
        <v>45975.382326388892</v>
      </c>
      <c r="AA144" s="66">
        <v>901541137</v>
      </c>
      <c r="AB144" s="66" t="s">
        <v>184</v>
      </c>
      <c r="AC144" s="69">
        <v>556388</v>
      </c>
      <c r="AD144" s="69">
        <v>0</v>
      </c>
      <c r="AE144" s="66" t="s">
        <v>303</v>
      </c>
      <c r="AF144" s="66" t="s">
        <v>304</v>
      </c>
      <c r="AG144" s="66" t="s">
        <v>464</v>
      </c>
      <c r="AH144" s="66" t="s">
        <v>465</v>
      </c>
      <c r="AI144" s="66"/>
      <c r="AJ144" s="66" t="s">
        <v>587</v>
      </c>
      <c r="AK144" s="78" t="s">
        <v>42</v>
      </c>
    </row>
    <row r="145" spans="1:37" x14ac:dyDescent="0.25">
      <c r="A145" s="66" t="s">
        <v>179</v>
      </c>
      <c r="B145" s="66">
        <v>146984</v>
      </c>
      <c r="C145" s="67">
        <v>45996.571817129632</v>
      </c>
      <c r="D145" s="77">
        <v>2025</v>
      </c>
      <c r="E145" s="77">
        <v>12</v>
      </c>
      <c r="F145" s="66">
        <v>901541137</v>
      </c>
      <c r="G145" s="66"/>
      <c r="H145" s="66" t="s">
        <v>184</v>
      </c>
      <c r="I145" s="69">
        <v>1894348</v>
      </c>
      <c r="J145" s="66" t="s">
        <v>461</v>
      </c>
      <c r="K145" s="66"/>
      <c r="L145" s="66"/>
      <c r="M145" s="66"/>
      <c r="N145" s="66"/>
      <c r="O145" s="66"/>
      <c r="P145" s="66" t="s">
        <v>108</v>
      </c>
      <c r="Q145" s="68" t="str">
        <f t="shared" si="2"/>
        <v>HUS0000434698SO42011689585</v>
      </c>
      <c r="R145" s="66" t="s">
        <v>467</v>
      </c>
      <c r="S145" s="66" t="s">
        <v>468</v>
      </c>
      <c r="T145" s="66"/>
      <c r="U145" s="66" t="s">
        <v>182</v>
      </c>
      <c r="V145" s="69">
        <v>1894348</v>
      </c>
      <c r="W145" s="67">
        <v>45953.702789351853</v>
      </c>
      <c r="X145" s="67">
        <v>45975</v>
      </c>
      <c r="Y145" s="66">
        <v>145641</v>
      </c>
      <c r="Z145" s="67">
        <v>45975</v>
      </c>
      <c r="AA145" s="66">
        <v>901541137</v>
      </c>
      <c r="AB145" s="66" t="s">
        <v>184</v>
      </c>
      <c r="AC145" s="69">
        <v>1689585</v>
      </c>
      <c r="AD145" s="69">
        <v>0</v>
      </c>
      <c r="AE145" s="66" t="s">
        <v>303</v>
      </c>
      <c r="AF145" s="66" t="s">
        <v>304</v>
      </c>
      <c r="AG145" s="66" t="s">
        <v>464</v>
      </c>
      <c r="AH145" s="66" t="s">
        <v>465</v>
      </c>
      <c r="AI145" s="66"/>
      <c r="AJ145" s="66" t="s">
        <v>588</v>
      </c>
      <c r="AK145" s="78" t="s">
        <v>42</v>
      </c>
    </row>
    <row r="146" spans="1:37" x14ac:dyDescent="0.25">
      <c r="A146" s="66" t="s">
        <v>179</v>
      </c>
      <c r="B146" s="66">
        <v>146988</v>
      </c>
      <c r="C146" s="67">
        <v>45996.575949074075</v>
      </c>
      <c r="D146" s="77">
        <v>2025</v>
      </c>
      <c r="E146" s="77">
        <v>12</v>
      </c>
      <c r="F146" s="66">
        <v>901541137</v>
      </c>
      <c r="G146" s="66"/>
      <c r="H146" s="66" t="s">
        <v>184</v>
      </c>
      <c r="I146" s="69">
        <v>82085</v>
      </c>
      <c r="J146" s="66" t="s">
        <v>461</v>
      </c>
      <c r="K146" s="66"/>
      <c r="L146" s="66"/>
      <c r="M146" s="66"/>
      <c r="N146" s="66"/>
      <c r="O146" s="66"/>
      <c r="P146" s="66" t="s">
        <v>120</v>
      </c>
      <c r="Q146" s="68" t="str">
        <f t="shared" si="2"/>
        <v>HUS0000432005TA02016685</v>
      </c>
      <c r="R146" s="66" t="s">
        <v>467</v>
      </c>
      <c r="S146" s="66" t="s">
        <v>468</v>
      </c>
      <c r="T146" s="66"/>
      <c r="U146" s="66" t="s">
        <v>182</v>
      </c>
      <c r="V146" s="69">
        <v>82085</v>
      </c>
      <c r="W146" s="67">
        <v>45947.315011574072</v>
      </c>
      <c r="X146" s="67">
        <v>45979</v>
      </c>
      <c r="Y146" s="66">
        <v>145651</v>
      </c>
      <c r="Z146" s="67">
        <v>45979.425405092596</v>
      </c>
      <c r="AA146" s="66">
        <v>901541137</v>
      </c>
      <c r="AB146" s="66" t="s">
        <v>184</v>
      </c>
      <c r="AC146" s="69">
        <v>6685</v>
      </c>
      <c r="AD146" s="69">
        <v>0</v>
      </c>
      <c r="AE146" s="66" t="s">
        <v>185</v>
      </c>
      <c r="AF146" s="66" t="s">
        <v>186</v>
      </c>
      <c r="AG146" s="66" t="s">
        <v>464</v>
      </c>
      <c r="AH146" s="66" t="s">
        <v>465</v>
      </c>
      <c r="AI146" s="66"/>
      <c r="AJ146" s="66" t="s">
        <v>589</v>
      </c>
      <c r="AK146" s="78" t="s">
        <v>42</v>
      </c>
    </row>
    <row r="147" spans="1:37" x14ac:dyDescent="0.25">
      <c r="A147" s="66" t="s">
        <v>179</v>
      </c>
      <c r="B147" s="66">
        <v>146993</v>
      </c>
      <c r="C147" s="67">
        <v>45996.580046296294</v>
      </c>
      <c r="D147" s="77">
        <v>2025</v>
      </c>
      <c r="E147" s="77">
        <v>12</v>
      </c>
      <c r="F147" s="66">
        <v>901541137</v>
      </c>
      <c r="G147" s="66"/>
      <c r="H147" s="66" t="s">
        <v>184</v>
      </c>
      <c r="I147" s="69">
        <v>134660649</v>
      </c>
      <c r="J147" s="66" t="s">
        <v>461</v>
      </c>
      <c r="K147" s="66"/>
      <c r="L147" s="66"/>
      <c r="M147" s="66"/>
      <c r="N147" s="66"/>
      <c r="O147" s="66"/>
      <c r="P147" s="66" t="s">
        <v>96</v>
      </c>
      <c r="Q147" s="68" t="str">
        <f t="shared" si="2"/>
        <v>HUS0000432332TA0201495693</v>
      </c>
      <c r="R147" s="66" t="s">
        <v>467</v>
      </c>
      <c r="S147" s="66" t="s">
        <v>468</v>
      </c>
      <c r="T147" s="66"/>
      <c r="U147" s="66" t="s">
        <v>182</v>
      </c>
      <c r="V147" s="69">
        <v>134660649</v>
      </c>
      <c r="W147" s="67">
        <v>45947.643391203703</v>
      </c>
      <c r="X147" s="67">
        <v>45979</v>
      </c>
      <c r="Y147" s="66">
        <v>145655</v>
      </c>
      <c r="Z147" s="67">
        <v>45979.429548611108</v>
      </c>
      <c r="AA147" s="66">
        <v>901541137</v>
      </c>
      <c r="AB147" s="66" t="s">
        <v>184</v>
      </c>
      <c r="AC147" s="69">
        <v>495693</v>
      </c>
      <c r="AD147" s="69">
        <v>0</v>
      </c>
      <c r="AE147" s="66" t="s">
        <v>185</v>
      </c>
      <c r="AF147" s="66" t="s">
        <v>186</v>
      </c>
      <c r="AG147" s="66" t="s">
        <v>464</v>
      </c>
      <c r="AH147" s="66" t="s">
        <v>465</v>
      </c>
      <c r="AI147" s="66"/>
      <c r="AJ147" s="66" t="s">
        <v>590</v>
      </c>
      <c r="AK147" s="78" t="s">
        <v>42</v>
      </c>
    </row>
    <row r="148" spans="1:37" x14ac:dyDescent="0.25">
      <c r="A148" s="66" t="s">
        <v>179</v>
      </c>
      <c r="B148" s="66">
        <v>146993</v>
      </c>
      <c r="C148" s="67">
        <v>45996.580046296294</v>
      </c>
      <c r="D148" s="77">
        <v>2025</v>
      </c>
      <c r="E148" s="77">
        <v>12</v>
      </c>
      <c r="F148" s="66">
        <v>901541137</v>
      </c>
      <c r="G148" s="66"/>
      <c r="H148" s="66" t="s">
        <v>184</v>
      </c>
      <c r="I148" s="69">
        <v>134660649</v>
      </c>
      <c r="J148" s="66" t="s">
        <v>461</v>
      </c>
      <c r="K148" s="66"/>
      <c r="L148" s="66"/>
      <c r="M148" s="66"/>
      <c r="N148" s="66"/>
      <c r="O148" s="66"/>
      <c r="P148" s="66" t="s">
        <v>96</v>
      </c>
      <c r="Q148" s="68" t="str">
        <f t="shared" si="2"/>
        <v>HUS0000432332TA0801789114</v>
      </c>
      <c r="R148" s="66" t="s">
        <v>467</v>
      </c>
      <c r="S148" s="66" t="s">
        <v>468</v>
      </c>
      <c r="T148" s="66"/>
      <c r="U148" s="66" t="s">
        <v>182</v>
      </c>
      <c r="V148" s="69">
        <v>134660649</v>
      </c>
      <c r="W148" s="67">
        <v>45947.643391203703</v>
      </c>
      <c r="X148" s="67">
        <v>45979</v>
      </c>
      <c r="Y148" s="66">
        <v>145655</v>
      </c>
      <c r="Z148" s="67">
        <v>45979.429548611108</v>
      </c>
      <c r="AA148" s="66">
        <v>901541137</v>
      </c>
      <c r="AB148" s="66" t="s">
        <v>184</v>
      </c>
      <c r="AC148" s="69">
        <v>789114</v>
      </c>
      <c r="AD148" s="69">
        <v>0</v>
      </c>
      <c r="AE148" s="66" t="s">
        <v>212</v>
      </c>
      <c r="AF148" s="66" t="s">
        <v>213</v>
      </c>
      <c r="AG148" s="66" t="s">
        <v>464</v>
      </c>
      <c r="AH148" s="66" t="s">
        <v>465</v>
      </c>
      <c r="AI148" s="66"/>
      <c r="AJ148" s="66" t="s">
        <v>590</v>
      </c>
      <c r="AK148" s="78" t="s">
        <v>42</v>
      </c>
    </row>
    <row r="149" spans="1:37" x14ac:dyDescent="0.25">
      <c r="A149" s="66" t="s">
        <v>179</v>
      </c>
      <c r="B149" s="66">
        <v>146997</v>
      </c>
      <c r="C149" s="67">
        <v>45996.586469907408</v>
      </c>
      <c r="D149" s="77">
        <v>2025</v>
      </c>
      <c r="E149" s="77">
        <v>12</v>
      </c>
      <c r="F149" s="66">
        <v>901541137</v>
      </c>
      <c r="G149" s="66"/>
      <c r="H149" s="66" t="s">
        <v>184</v>
      </c>
      <c r="I149" s="69">
        <v>106697</v>
      </c>
      <c r="J149" s="66" t="s">
        <v>461</v>
      </c>
      <c r="K149" s="66"/>
      <c r="L149" s="66"/>
      <c r="M149" s="66"/>
      <c r="N149" s="66"/>
      <c r="O149" s="66"/>
      <c r="P149" s="66" t="s">
        <v>121</v>
      </c>
      <c r="Q149" s="68" t="str">
        <f t="shared" si="2"/>
        <v>HUS0000432159TA020131297</v>
      </c>
      <c r="R149" s="66" t="s">
        <v>467</v>
      </c>
      <c r="S149" s="66" t="s">
        <v>468</v>
      </c>
      <c r="T149" s="66"/>
      <c r="U149" s="66" t="s">
        <v>182</v>
      </c>
      <c r="V149" s="69">
        <v>106697</v>
      </c>
      <c r="W149" s="67">
        <v>45947.477268518516</v>
      </c>
      <c r="X149" s="67">
        <v>45979</v>
      </c>
      <c r="Y149" s="66">
        <v>145653</v>
      </c>
      <c r="Z149" s="67">
        <v>45979.427210648151</v>
      </c>
      <c r="AA149" s="66">
        <v>901541137</v>
      </c>
      <c r="AB149" s="66" t="s">
        <v>184</v>
      </c>
      <c r="AC149" s="69">
        <v>31297</v>
      </c>
      <c r="AD149" s="69">
        <v>0</v>
      </c>
      <c r="AE149" s="66" t="s">
        <v>185</v>
      </c>
      <c r="AF149" s="66" t="s">
        <v>186</v>
      </c>
      <c r="AG149" s="66" t="s">
        <v>464</v>
      </c>
      <c r="AH149" s="66" t="s">
        <v>465</v>
      </c>
      <c r="AI149" s="66"/>
      <c r="AJ149" s="66" t="s">
        <v>591</v>
      </c>
      <c r="AK149" s="78" t="s">
        <v>42</v>
      </c>
    </row>
    <row r="150" spans="1:37" x14ac:dyDescent="0.25">
      <c r="A150" s="66" t="s">
        <v>179</v>
      </c>
      <c r="B150" s="66">
        <v>147000</v>
      </c>
      <c r="C150" s="67">
        <v>45996.588194444441</v>
      </c>
      <c r="D150" s="77">
        <v>2025</v>
      </c>
      <c r="E150" s="77">
        <v>12</v>
      </c>
      <c r="F150" s="66">
        <v>901541137</v>
      </c>
      <c r="G150" s="66"/>
      <c r="H150" s="66" t="s">
        <v>184</v>
      </c>
      <c r="I150" s="69">
        <v>82085</v>
      </c>
      <c r="J150" s="66" t="s">
        <v>461</v>
      </c>
      <c r="K150" s="66"/>
      <c r="L150" s="66"/>
      <c r="M150" s="66"/>
      <c r="N150" s="66"/>
      <c r="O150" s="66"/>
      <c r="P150" s="66" t="s">
        <v>122</v>
      </c>
      <c r="Q150" s="68" t="str">
        <f t="shared" si="2"/>
        <v>HUS0000432871TA02016685</v>
      </c>
      <c r="R150" s="66" t="s">
        <v>467</v>
      </c>
      <c r="S150" s="66" t="s">
        <v>468</v>
      </c>
      <c r="T150" s="66"/>
      <c r="U150" s="66" t="s">
        <v>182</v>
      </c>
      <c r="V150" s="69">
        <v>82085</v>
      </c>
      <c r="W150" s="67">
        <v>45950.329097222224</v>
      </c>
      <c r="X150" s="67">
        <v>45979</v>
      </c>
      <c r="Y150" s="66">
        <v>145658</v>
      </c>
      <c r="Z150" s="67">
        <v>45979.449201388888</v>
      </c>
      <c r="AA150" s="66">
        <v>901541137</v>
      </c>
      <c r="AB150" s="66" t="s">
        <v>184</v>
      </c>
      <c r="AC150" s="69">
        <v>6685</v>
      </c>
      <c r="AD150" s="69">
        <v>0</v>
      </c>
      <c r="AE150" s="66" t="s">
        <v>185</v>
      </c>
      <c r="AF150" s="66" t="s">
        <v>186</v>
      </c>
      <c r="AG150" s="66" t="s">
        <v>464</v>
      </c>
      <c r="AH150" s="66" t="s">
        <v>465</v>
      </c>
      <c r="AI150" s="66"/>
      <c r="AJ150" s="66" t="s">
        <v>589</v>
      </c>
      <c r="AK150" s="78" t="s">
        <v>42</v>
      </c>
    </row>
    <row r="151" spans="1:37" x14ac:dyDescent="0.25">
      <c r="A151" s="66" t="s">
        <v>179</v>
      </c>
      <c r="B151" s="66">
        <v>147048</v>
      </c>
      <c r="C151" s="67">
        <v>45997.390821759262</v>
      </c>
      <c r="D151" s="77">
        <v>2025</v>
      </c>
      <c r="E151" s="77">
        <v>12</v>
      </c>
      <c r="F151" s="66">
        <v>901541137</v>
      </c>
      <c r="G151" s="66"/>
      <c r="H151" s="66" t="s">
        <v>184</v>
      </c>
      <c r="I151" s="69">
        <v>2471205</v>
      </c>
      <c r="J151" s="66" t="s">
        <v>480</v>
      </c>
      <c r="K151" s="66"/>
      <c r="L151" s="66"/>
      <c r="M151" s="66"/>
      <c r="N151" s="66"/>
      <c r="O151" s="66"/>
      <c r="P151" s="66" t="s">
        <v>132</v>
      </c>
      <c r="Q151" s="68" t="str">
        <f t="shared" si="2"/>
        <v>HUS0000437218CL01012471205</v>
      </c>
      <c r="R151" s="66" t="s">
        <v>467</v>
      </c>
      <c r="S151" s="66" t="s">
        <v>468</v>
      </c>
      <c r="T151" s="66"/>
      <c r="U151" s="66" t="s">
        <v>182</v>
      </c>
      <c r="V151" s="69">
        <v>24970048</v>
      </c>
      <c r="W151" s="67">
        <v>45960.33525462963</v>
      </c>
      <c r="X151" s="67">
        <v>45989</v>
      </c>
      <c r="Y151" s="66">
        <v>149802</v>
      </c>
      <c r="Z151" s="67">
        <v>45989.638981481483</v>
      </c>
      <c r="AA151" s="66">
        <v>901541137</v>
      </c>
      <c r="AB151" s="66" t="s">
        <v>184</v>
      </c>
      <c r="AC151" s="69">
        <v>2471205</v>
      </c>
      <c r="AD151" s="69">
        <v>0</v>
      </c>
      <c r="AE151" s="66" t="s">
        <v>194</v>
      </c>
      <c r="AF151" s="66" t="s">
        <v>195</v>
      </c>
      <c r="AG151" s="66" t="s">
        <v>464</v>
      </c>
      <c r="AH151" s="66" t="s">
        <v>465</v>
      </c>
      <c r="AI151" s="66"/>
      <c r="AJ151" s="66" t="s">
        <v>592</v>
      </c>
      <c r="AK151" s="78" t="s">
        <v>42</v>
      </c>
    </row>
    <row r="152" spans="1:37" x14ac:dyDescent="0.25">
      <c r="A152" s="66" t="s">
        <v>179</v>
      </c>
      <c r="B152" s="66">
        <v>147051</v>
      </c>
      <c r="C152" s="67">
        <v>45997.47452546296</v>
      </c>
      <c r="D152" s="77">
        <v>2025</v>
      </c>
      <c r="E152" s="77">
        <v>12</v>
      </c>
      <c r="F152" s="66">
        <v>901541137</v>
      </c>
      <c r="G152" s="66"/>
      <c r="H152" s="66" t="s">
        <v>184</v>
      </c>
      <c r="I152" s="69">
        <v>1612318</v>
      </c>
      <c r="J152" s="66" t="s">
        <v>593</v>
      </c>
      <c r="K152" s="66"/>
      <c r="L152" s="66"/>
      <c r="M152" s="66"/>
      <c r="N152" s="66"/>
      <c r="O152" s="66"/>
      <c r="P152" s="66" t="s">
        <v>133</v>
      </c>
      <c r="Q152" s="68" t="str">
        <f t="shared" si="2"/>
        <v>HUS0000437559SO0801389016</v>
      </c>
      <c r="R152" s="66" t="s">
        <v>467</v>
      </c>
      <c r="S152" s="66" t="s">
        <v>468</v>
      </c>
      <c r="T152" s="66"/>
      <c r="U152" s="66" t="s">
        <v>182</v>
      </c>
      <c r="V152" s="69">
        <v>43568239</v>
      </c>
      <c r="W152" s="67">
        <v>45960.685659722221</v>
      </c>
      <c r="X152" s="67">
        <v>45989</v>
      </c>
      <c r="Y152" s="66">
        <v>149803</v>
      </c>
      <c r="Z152" s="67">
        <v>45989.640196759261</v>
      </c>
      <c r="AA152" s="66">
        <v>901541137</v>
      </c>
      <c r="AB152" s="66" t="s">
        <v>184</v>
      </c>
      <c r="AC152" s="69">
        <v>389016</v>
      </c>
      <c r="AD152" s="69">
        <v>0</v>
      </c>
      <c r="AE152" s="66" t="s">
        <v>237</v>
      </c>
      <c r="AF152" s="66" t="s">
        <v>238</v>
      </c>
      <c r="AG152" s="66" t="s">
        <v>464</v>
      </c>
      <c r="AH152" s="66" t="s">
        <v>465</v>
      </c>
      <c r="AI152" s="66"/>
      <c r="AJ152" s="66" t="s">
        <v>594</v>
      </c>
      <c r="AK152" s="78" t="s">
        <v>42</v>
      </c>
    </row>
    <row r="153" spans="1:37" x14ac:dyDescent="0.25">
      <c r="A153" s="66" t="s">
        <v>179</v>
      </c>
      <c r="B153" s="66">
        <v>147051</v>
      </c>
      <c r="C153" s="67">
        <v>45997.47452546296</v>
      </c>
      <c r="D153" s="77">
        <v>2025</v>
      </c>
      <c r="E153" s="77">
        <v>12</v>
      </c>
      <c r="F153" s="66">
        <v>901541137</v>
      </c>
      <c r="G153" s="66"/>
      <c r="H153" s="66" t="s">
        <v>184</v>
      </c>
      <c r="I153" s="69">
        <v>1612318</v>
      </c>
      <c r="J153" s="66" t="s">
        <v>593</v>
      </c>
      <c r="K153" s="66"/>
      <c r="L153" s="66"/>
      <c r="M153" s="66"/>
      <c r="N153" s="66"/>
      <c r="O153" s="66"/>
      <c r="P153" s="66" t="s">
        <v>133</v>
      </c>
      <c r="Q153" s="68" t="str">
        <f t="shared" si="2"/>
        <v>HUS0000437559CL01011223302</v>
      </c>
      <c r="R153" s="66" t="s">
        <v>467</v>
      </c>
      <c r="S153" s="66" t="s">
        <v>468</v>
      </c>
      <c r="T153" s="66"/>
      <c r="U153" s="66" t="s">
        <v>182</v>
      </c>
      <c r="V153" s="69">
        <v>43568239</v>
      </c>
      <c r="W153" s="67">
        <v>45960.685659722221</v>
      </c>
      <c r="X153" s="67">
        <v>45989</v>
      </c>
      <c r="Y153" s="66">
        <v>149803</v>
      </c>
      <c r="Z153" s="67">
        <v>45989.640196759261</v>
      </c>
      <c r="AA153" s="66">
        <v>901541137</v>
      </c>
      <c r="AB153" s="66" t="s">
        <v>184</v>
      </c>
      <c r="AC153" s="69">
        <v>1223302</v>
      </c>
      <c r="AD153" s="69">
        <v>0</v>
      </c>
      <c r="AE153" s="66" t="s">
        <v>194</v>
      </c>
      <c r="AF153" s="66" t="s">
        <v>195</v>
      </c>
      <c r="AG153" s="66" t="s">
        <v>464</v>
      </c>
      <c r="AH153" s="66" t="s">
        <v>465</v>
      </c>
      <c r="AI153" s="66"/>
      <c r="AJ153" s="66" t="s">
        <v>595</v>
      </c>
      <c r="AK153" s="78" t="s">
        <v>42</v>
      </c>
    </row>
    <row r="154" spans="1:37" x14ac:dyDescent="0.25">
      <c r="A154" s="66" t="s">
        <v>179</v>
      </c>
      <c r="B154" s="66">
        <v>147185</v>
      </c>
      <c r="C154" s="67">
        <v>46000.348703703705</v>
      </c>
      <c r="D154" s="77">
        <v>2025</v>
      </c>
      <c r="E154" s="77">
        <v>12</v>
      </c>
      <c r="F154" s="66">
        <v>901541137</v>
      </c>
      <c r="G154" s="66"/>
      <c r="H154" s="66" t="s">
        <v>184</v>
      </c>
      <c r="I154" s="69">
        <v>107362963</v>
      </c>
      <c r="J154" s="66" t="s">
        <v>593</v>
      </c>
      <c r="K154" s="66"/>
      <c r="L154" s="66"/>
      <c r="M154" s="66"/>
      <c r="N154" s="66"/>
      <c r="O154" s="66"/>
      <c r="P154" s="66" t="s">
        <v>134</v>
      </c>
      <c r="Q154" s="68" t="str">
        <f t="shared" si="2"/>
        <v>HUS0000437582TA58011288699</v>
      </c>
      <c r="R154" s="66" t="s">
        <v>467</v>
      </c>
      <c r="S154" s="66" t="s">
        <v>468</v>
      </c>
      <c r="T154" s="66"/>
      <c r="U154" s="66" t="s">
        <v>182</v>
      </c>
      <c r="V154" s="69">
        <v>110245982</v>
      </c>
      <c r="W154" s="67">
        <v>45960.704224537039</v>
      </c>
      <c r="X154" s="67">
        <v>45985</v>
      </c>
      <c r="Y154" s="66">
        <v>146873</v>
      </c>
      <c r="Z154" s="67">
        <v>45985.456597222219</v>
      </c>
      <c r="AA154" s="66">
        <v>901541137</v>
      </c>
      <c r="AB154" s="66" t="s">
        <v>184</v>
      </c>
      <c r="AC154" s="69">
        <v>1288699</v>
      </c>
      <c r="AD154" s="69">
        <v>1288699</v>
      </c>
      <c r="AE154" s="66" t="s">
        <v>201</v>
      </c>
      <c r="AF154" s="66" t="s">
        <v>202</v>
      </c>
      <c r="AG154" s="66" t="s">
        <v>486</v>
      </c>
      <c r="AH154" s="66" t="s">
        <v>487</v>
      </c>
      <c r="AI154" s="66"/>
      <c r="AJ154" s="66" t="s">
        <v>596</v>
      </c>
      <c r="AK154" s="78" t="s">
        <v>42</v>
      </c>
    </row>
    <row r="155" spans="1:37" x14ac:dyDescent="0.25">
      <c r="A155" s="66" t="s">
        <v>179</v>
      </c>
      <c r="B155" s="66">
        <v>147185</v>
      </c>
      <c r="C155" s="67">
        <v>46000.348703703705</v>
      </c>
      <c r="D155" s="77">
        <v>2025</v>
      </c>
      <c r="E155" s="77">
        <v>12</v>
      </c>
      <c r="F155" s="66">
        <v>901541137</v>
      </c>
      <c r="G155" s="66"/>
      <c r="H155" s="66" t="s">
        <v>184</v>
      </c>
      <c r="I155" s="69">
        <v>107362963</v>
      </c>
      <c r="J155" s="66" t="s">
        <v>593</v>
      </c>
      <c r="K155" s="66"/>
      <c r="L155" s="66"/>
      <c r="M155" s="66"/>
      <c r="N155" s="66"/>
      <c r="O155" s="66"/>
      <c r="P155" s="66" t="s">
        <v>134</v>
      </c>
      <c r="Q155" s="68" t="str">
        <f t="shared" si="2"/>
        <v>HUS0000437582CL01012790060</v>
      </c>
      <c r="R155" s="66" t="s">
        <v>467</v>
      </c>
      <c r="S155" s="66" t="s">
        <v>468</v>
      </c>
      <c r="T155" s="66"/>
      <c r="U155" s="66" t="s">
        <v>182</v>
      </c>
      <c r="V155" s="69">
        <v>110245982</v>
      </c>
      <c r="W155" s="67">
        <v>45960.704224537039</v>
      </c>
      <c r="X155" s="67">
        <v>45985</v>
      </c>
      <c r="Y155" s="66">
        <v>146873</v>
      </c>
      <c r="Z155" s="67">
        <v>45985.456597222219</v>
      </c>
      <c r="AA155" s="66">
        <v>901541137</v>
      </c>
      <c r="AB155" s="66" t="s">
        <v>184</v>
      </c>
      <c r="AC155" s="69">
        <v>2790060</v>
      </c>
      <c r="AD155" s="69">
        <v>1594320</v>
      </c>
      <c r="AE155" s="66" t="s">
        <v>194</v>
      </c>
      <c r="AF155" s="66" t="s">
        <v>195</v>
      </c>
      <c r="AG155" s="66" t="s">
        <v>474</v>
      </c>
      <c r="AH155" s="66" t="s">
        <v>475</v>
      </c>
      <c r="AI155" s="66"/>
      <c r="AJ155" s="66" t="s">
        <v>597</v>
      </c>
      <c r="AK155" s="78" t="s">
        <v>42</v>
      </c>
    </row>
    <row r="156" spans="1:37" x14ac:dyDescent="0.25">
      <c r="A156" s="66" t="s">
        <v>179</v>
      </c>
      <c r="B156" s="66">
        <v>147185</v>
      </c>
      <c r="C156" s="67">
        <v>46000.348703703705</v>
      </c>
      <c r="D156" s="77">
        <v>2025</v>
      </c>
      <c r="E156" s="77">
        <v>12</v>
      </c>
      <c r="F156" s="66">
        <v>901541137</v>
      </c>
      <c r="G156" s="66"/>
      <c r="H156" s="66" t="s">
        <v>184</v>
      </c>
      <c r="I156" s="69">
        <v>107362963</v>
      </c>
      <c r="J156" s="66" t="s">
        <v>593</v>
      </c>
      <c r="K156" s="66"/>
      <c r="L156" s="66"/>
      <c r="M156" s="66"/>
      <c r="N156" s="66"/>
      <c r="O156" s="66"/>
      <c r="P156" s="66" t="s">
        <v>134</v>
      </c>
      <c r="Q156" s="68" t="str">
        <f t="shared" si="2"/>
        <v>HUS0000437582SO420112344300</v>
      </c>
      <c r="R156" s="66" t="s">
        <v>467</v>
      </c>
      <c r="S156" s="66" t="s">
        <v>468</v>
      </c>
      <c r="T156" s="66"/>
      <c r="U156" s="66" t="s">
        <v>182</v>
      </c>
      <c r="V156" s="69">
        <v>110245982</v>
      </c>
      <c r="W156" s="67">
        <v>45960.704224537039</v>
      </c>
      <c r="X156" s="67">
        <v>45985</v>
      </c>
      <c r="Y156" s="66">
        <v>146873</v>
      </c>
      <c r="Z156" s="67">
        <v>45985.456597222219</v>
      </c>
      <c r="AA156" s="66">
        <v>901541137</v>
      </c>
      <c r="AB156" s="66" t="s">
        <v>184</v>
      </c>
      <c r="AC156" s="69">
        <v>12344300</v>
      </c>
      <c r="AD156" s="69">
        <v>0</v>
      </c>
      <c r="AE156" s="66" t="s">
        <v>303</v>
      </c>
      <c r="AF156" s="66" t="s">
        <v>304</v>
      </c>
      <c r="AG156" s="66" t="s">
        <v>464</v>
      </c>
      <c r="AH156" s="66" t="s">
        <v>465</v>
      </c>
      <c r="AI156" s="66"/>
      <c r="AJ156" s="66" t="s">
        <v>598</v>
      </c>
      <c r="AK156" s="78" t="s">
        <v>42</v>
      </c>
    </row>
    <row r="157" spans="1:37" x14ac:dyDescent="0.25">
      <c r="A157" s="66" t="s">
        <v>179</v>
      </c>
      <c r="B157" s="66">
        <v>147187</v>
      </c>
      <c r="C157" s="67">
        <v>46000.38789351852</v>
      </c>
      <c r="D157" s="77">
        <v>2025</v>
      </c>
      <c r="E157" s="77">
        <v>12</v>
      </c>
      <c r="F157" s="66">
        <v>901541137</v>
      </c>
      <c r="G157" s="66"/>
      <c r="H157" s="66" t="s">
        <v>184</v>
      </c>
      <c r="I157" s="69">
        <v>87702</v>
      </c>
      <c r="J157" s="66" t="s">
        <v>461</v>
      </c>
      <c r="K157" s="66"/>
      <c r="L157" s="66"/>
      <c r="M157" s="66"/>
      <c r="N157" s="66"/>
      <c r="O157" s="66"/>
      <c r="P157" s="66" t="s">
        <v>97</v>
      </c>
      <c r="Q157" s="68" t="str">
        <f t="shared" si="2"/>
        <v>HUS0000428860SO080187702</v>
      </c>
      <c r="R157" s="66" t="s">
        <v>467</v>
      </c>
      <c r="S157" s="66" t="s">
        <v>599</v>
      </c>
      <c r="T157" s="66"/>
      <c r="U157" s="66" t="s">
        <v>182</v>
      </c>
      <c r="V157" s="69">
        <v>87702</v>
      </c>
      <c r="W157" s="67">
        <v>45938.61074074074</v>
      </c>
      <c r="X157" s="67">
        <v>45979</v>
      </c>
      <c r="Y157" s="66">
        <v>145685</v>
      </c>
      <c r="Z157" s="67">
        <v>45979.555509259262</v>
      </c>
      <c r="AA157" s="66">
        <v>901541137</v>
      </c>
      <c r="AB157" s="66" t="s">
        <v>184</v>
      </c>
      <c r="AC157" s="69">
        <v>87702</v>
      </c>
      <c r="AD157" s="69">
        <v>0</v>
      </c>
      <c r="AE157" s="66" t="s">
        <v>237</v>
      </c>
      <c r="AF157" s="66" t="s">
        <v>238</v>
      </c>
      <c r="AG157" s="66" t="s">
        <v>464</v>
      </c>
      <c r="AH157" s="66" t="s">
        <v>465</v>
      </c>
      <c r="AI157" s="66"/>
      <c r="AJ157" s="66" t="s">
        <v>600</v>
      </c>
      <c r="AK157" s="78" t="s">
        <v>42</v>
      </c>
    </row>
    <row r="158" spans="1:37" x14ac:dyDescent="0.25">
      <c r="A158" s="66" t="s">
        <v>179</v>
      </c>
      <c r="B158" s="66">
        <v>147189</v>
      </c>
      <c r="C158" s="67">
        <v>46000.394363425927</v>
      </c>
      <c r="D158" s="77">
        <v>2025</v>
      </c>
      <c r="E158" s="77">
        <v>12</v>
      </c>
      <c r="F158" s="66">
        <v>901541137</v>
      </c>
      <c r="G158" s="66"/>
      <c r="H158" s="66" t="s">
        <v>184</v>
      </c>
      <c r="I158" s="69">
        <v>401149</v>
      </c>
      <c r="J158" s="66" t="s">
        <v>461</v>
      </c>
      <c r="K158" s="66"/>
      <c r="L158" s="66"/>
      <c r="M158" s="66"/>
      <c r="N158" s="66"/>
      <c r="O158" s="66"/>
      <c r="P158" s="66" t="s">
        <v>98</v>
      </c>
      <c r="Q158" s="68" t="str">
        <f t="shared" si="2"/>
        <v>HUS0000429474TA080165926</v>
      </c>
      <c r="R158" s="66" t="s">
        <v>467</v>
      </c>
      <c r="S158" s="66" t="s">
        <v>468</v>
      </c>
      <c r="T158" s="66"/>
      <c r="U158" s="66" t="s">
        <v>182</v>
      </c>
      <c r="V158" s="69">
        <v>401149</v>
      </c>
      <c r="W158" s="67">
        <v>45939.785578703704</v>
      </c>
      <c r="X158" s="67">
        <v>45979</v>
      </c>
      <c r="Y158" s="66">
        <v>145690</v>
      </c>
      <c r="Z158" s="67">
        <v>45979.569722222222</v>
      </c>
      <c r="AA158" s="66">
        <v>901541137</v>
      </c>
      <c r="AB158" s="66" t="s">
        <v>184</v>
      </c>
      <c r="AC158" s="69">
        <v>65926</v>
      </c>
      <c r="AD158" s="69">
        <v>0</v>
      </c>
      <c r="AE158" s="66" t="s">
        <v>212</v>
      </c>
      <c r="AF158" s="66" t="s">
        <v>213</v>
      </c>
      <c r="AG158" s="66" t="s">
        <v>464</v>
      </c>
      <c r="AH158" s="66" t="s">
        <v>465</v>
      </c>
      <c r="AI158" s="66"/>
      <c r="AJ158" s="66" t="s">
        <v>601</v>
      </c>
      <c r="AK158" s="78" t="s">
        <v>42</v>
      </c>
    </row>
    <row r="159" spans="1:37" x14ac:dyDescent="0.25">
      <c r="A159" s="66" t="s">
        <v>179</v>
      </c>
      <c r="B159" s="66">
        <v>147194</v>
      </c>
      <c r="C159" s="67">
        <v>46000.446215277778</v>
      </c>
      <c r="D159" s="77">
        <v>2025</v>
      </c>
      <c r="E159" s="77">
        <v>12</v>
      </c>
      <c r="F159" s="66">
        <v>901541137</v>
      </c>
      <c r="G159" s="66"/>
      <c r="H159" s="66" t="s">
        <v>184</v>
      </c>
      <c r="I159" s="69">
        <v>19</v>
      </c>
      <c r="J159" s="66" t="s">
        <v>461</v>
      </c>
      <c r="K159" s="66"/>
      <c r="L159" s="66"/>
      <c r="M159" s="66"/>
      <c r="N159" s="66"/>
      <c r="O159" s="66"/>
      <c r="P159" s="66" t="s">
        <v>110</v>
      </c>
      <c r="Q159" s="68" t="str">
        <f t="shared" si="2"/>
        <v>HUS0000380363TA080119</v>
      </c>
      <c r="R159" s="66" t="s">
        <v>462</v>
      </c>
      <c r="S159" s="66" t="s">
        <v>463</v>
      </c>
      <c r="T159" s="66"/>
      <c r="U159" s="66" t="s">
        <v>182</v>
      </c>
      <c r="V159" s="69">
        <v>63687</v>
      </c>
      <c r="W159" s="67">
        <v>45800.266064814816</v>
      </c>
      <c r="X159" s="67">
        <v>45980</v>
      </c>
      <c r="Y159" s="66">
        <v>145909</v>
      </c>
      <c r="Z159" s="67">
        <v>45980.36886574074</v>
      </c>
      <c r="AA159" s="66">
        <v>901541137</v>
      </c>
      <c r="AB159" s="66" t="s">
        <v>184</v>
      </c>
      <c r="AC159" s="69">
        <v>19</v>
      </c>
      <c r="AD159" s="69">
        <v>0</v>
      </c>
      <c r="AE159" s="66" t="s">
        <v>212</v>
      </c>
      <c r="AF159" s="66" t="s">
        <v>213</v>
      </c>
      <c r="AG159" s="66" t="s">
        <v>602</v>
      </c>
      <c r="AH159" s="66" t="s">
        <v>603</v>
      </c>
      <c r="AI159" s="66"/>
      <c r="AJ159" s="66" t="s">
        <v>604</v>
      </c>
      <c r="AK159" s="78" t="s">
        <v>42</v>
      </c>
    </row>
    <row r="160" spans="1:37" x14ac:dyDescent="0.25">
      <c r="A160" s="66" t="s">
        <v>179</v>
      </c>
      <c r="B160" s="66">
        <v>147195</v>
      </c>
      <c r="C160" s="67">
        <v>46000.448321759257</v>
      </c>
      <c r="D160" s="77">
        <v>2025</v>
      </c>
      <c r="E160" s="77">
        <v>12</v>
      </c>
      <c r="F160" s="66">
        <v>901541137</v>
      </c>
      <c r="G160" s="66"/>
      <c r="H160" s="66" t="s">
        <v>184</v>
      </c>
      <c r="I160" s="69">
        <v>450</v>
      </c>
      <c r="J160" s="66" t="s">
        <v>461</v>
      </c>
      <c r="K160" s="66"/>
      <c r="L160" s="66"/>
      <c r="M160" s="66"/>
      <c r="N160" s="66"/>
      <c r="O160" s="66"/>
      <c r="P160" s="66" t="s">
        <v>111</v>
      </c>
      <c r="Q160" s="68" t="str">
        <f t="shared" si="2"/>
        <v>HUS0000402399TA0801450</v>
      </c>
      <c r="R160" s="66" t="s">
        <v>462</v>
      </c>
      <c r="S160" s="66" t="s">
        <v>463</v>
      </c>
      <c r="T160" s="66"/>
      <c r="U160" s="66" t="s">
        <v>182</v>
      </c>
      <c r="V160" s="69">
        <v>665028</v>
      </c>
      <c r="W160" s="67">
        <v>45862.772928240738</v>
      </c>
      <c r="X160" s="67">
        <v>45980</v>
      </c>
      <c r="Y160" s="66">
        <v>145910</v>
      </c>
      <c r="Z160" s="67">
        <v>45980.369328703702</v>
      </c>
      <c r="AA160" s="66">
        <v>901541137</v>
      </c>
      <c r="AB160" s="66" t="s">
        <v>184</v>
      </c>
      <c r="AC160" s="69">
        <v>450</v>
      </c>
      <c r="AD160" s="69">
        <v>0</v>
      </c>
      <c r="AE160" s="66" t="s">
        <v>212</v>
      </c>
      <c r="AF160" s="66" t="s">
        <v>213</v>
      </c>
      <c r="AG160" s="66" t="s">
        <v>602</v>
      </c>
      <c r="AH160" s="66" t="s">
        <v>603</v>
      </c>
      <c r="AI160" s="66"/>
      <c r="AJ160" s="66" t="s">
        <v>604</v>
      </c>
      <c r="AK160" s="78" t="s">
        <v>42</v>
      </c>
    </row>
    <row r="161" spans="1:37" x14ac:dyDescent="0.25">
      <c r="A161" s="66" t="s">
        <v>179</v>
      </c>
      <c r="B161" s="66">
        <v>147206</v>
      </c>
      <c r="C161" s="67">
        <v>46000.44972222222</v>
      </c>
      <c r="D161" s="77">
        <v>2025</v>
      </c>
      <c r="E161" s="77">
        <v>12</v>
      </c>
      <c r="F161" s="66">
        <v>901541137</v>
      </c>
      <c r="G161" s="66"/>
      <c r="H161" s="66" t="s">
        <v>184</v>
      </c>
      <c r="I161" s="69">
        <v>110200305</v>
      </c>
      <c r="J161" s="66" t="s">
        <v>461</v>
      </c>
      <c r="K161" s="66"/>
      <c r="L161" s="66"/>
      <c r="M161" s="66"/>
      <c r="N161" s="66"/>
      <c r="O161" s="66"/>
      <c r="P161" s="66" t="s">
        <v>100</v>
      </c>
      <c r="Q161" s="68" t="str">
        <f t="shared" si="2"/>
        <v>HUS0000431771FA0303677168</v>
      </c>
      <c r="R161" s="66" t="s">
        <v>467</v>
      </c>
      <c r="S161" s="66" t="s">
        <v>468</v>
      </c>
      <c r="T161" s="66"/>
      <c r="U161" s="66" t="s">
        <v>182</v>
      </c>
      <c r="V161" s="69">
        <v>110200305</v>
      </c>
      <c r="W161" s="67">
        <v>45946.566655092596</v>
      </c>
      <c r="X161" s="67">
        <v>45981</v>
      </c>
      <c r="Y161" s="66">
        <v>146141</v>
      </c>
      <c r="Z161" s="67">
        <v>45981.705960648149</v>
      </c>
      <c r="AA161" s="66">
        <v>901541137</v>
      </c>
      <c r="AB161" s="66" t="s">
        <v>184</v>
      </c>
      <c r="AC161" s="69">
        <v>677168</v>
      </c>
      <c r="AD161" s="69">
        <v>0</v>
      </c>
      <c r="AE161" s="66" t="s">
        <v>260</v>
      </c>
      <c r="AF161" s="66" t="s">
        <v>261</v>
      </c>
      <c r="AG161" s="66" t="s">
        <v>464</v>
      </c>
      <c r="AH161" s="66" t="s">
        <v>465</v>
      </c>
      <c r="AI161" s="66"/>
      <c r="AJ161" s="66" t="s">
        <v>500</v>
      </c>
      <c r="AK161" s="78" t="s">
        <v>42</v>
      </c>
    </row>
    <row r="162" spans="1:37" x14ac:dyDescent="0.25">
      <c r="A162" s="66" t="s">
        <v>179</v>
      </c>
      <c r="B162" s="66">
        <v>147206</v>
      </c>
      <c r="C162" s="67">
        <v>46000.44972222222</v>
      </c>
      <c r="D162" s="77">
        <v>2025</v>
      </c>
      <c r="E162" s="77">
        <v>12</v>
      </c>
      <c r="F162" s="66">
        <v>901541137</v>
      </c>
      <c r="G162" s="66"/>
      <c r="H162" s="66" t="s">
        <v>184</v>
      </c>
      <c r="I162" s="69">
        <v>110200305</v>
      </c>
      <c r="J162" s="66" t="s">
        <v>461</v>
      </c>
      <c r="K162" s="66"/>
      <c r="L162" s="66"/>
      <c r="M162" s="66"/>
      <c r="N162" s="66"/>
      <c r="O162" s="66"/>
      <c r="P162" s="66" t="s">
        <v>100</v>
      </c>
      <c r="Q162" s="68" t="str">
        <f t="shared" si="2"/>
        <v>HUS0000431771FA070118088974</v>
      </c>
      <c r="R162" s="66" t="s">
        <v>467</v>
      </c>
      <c r="S162" s="66" t="s">
        <v>468</v>
      </c>
      <c r="T162" s="66"/>
      <c r="U162" s="66" t="s">
        <v>182</v>
      </c>
      <c r="V162" s="69">
        <v>110200305</v>
      </c>
      <c r="W162" s="67">
        <v>45946.566655092596</v>
      </c>
      <c r="X162" s="67">
        <v>45981</v>
      </c>
      <c r="Y162" s="66">
        <v>146141</v>
      </c>
      <c r="Z162" s="67">
        <v>45981.705960648149</v>
      </c>
      <c r="AA162" s="66">
        <v>901541137</v>
      </c>
      <c r="AB162" s="66" t="s">
        <v>184</v>
      </c>
      <c r="AC162" s="69">
        <v>18088974</v>
      </c>
      <c r="AD162" s="69">
        <v>0</v>
      </c>
      <c r="AE162" s="66" t="s">
        <v>383</v>
      </c>
      <c r="AF162" s="66" t="s">
        <v>384</v>
      </c>
      <c r="AG162" s="66" t="s">
        <v>464</v>
      </c>
      <c r="AH162" s="66" t="s">
        <v>465</v>
      </c>
      <c r="AI162" s="66"/>
      <c r="AJ162" s="66" t="s">
        <v>605</v>
      </c>
      <c r="AK162" s="78" t="s">
        <v>42</v>
      </c>
    </row>
    <row r="163" spans="1:37" x14ac:dyDescent="0.25">
      <c r="A163" s="66" t="s">
        <v>179</v>
      </c>
      <c r="B163" s="66">
        <v>147209</v>
      </c>
      <c r="C163" s="67">
        <v>46000.484224537038</v>
      </c>
      <c r="D163" s="77">
        <v>2025</v>
      </c>
      <c r="E163" s="77">
        <v>12</v>
      </c>
      <c r="F163" s="66">
        <v>901541137</v>
      </c>
      <c r="G163" s="66"/>
      <c r="H163" s="66" t="s">
        <v>184</v>
      </c>
      <c r="I163" s="69">
        <v>106697</v>
      </c>
      <c r="J163" s="66" t="s">
        <v>461</v>
      </c>
      <c r="K163" s="66"/>
      <c r="L163" s="66"/>
      <c r="M163" s="66"/>
      <c r="N163" s="66"/>
      <c r="O163" s="66"/>
      <c r="P163" s="66" t="s">
        <v>103</v>
      </c>
      <c r="Q163" s="68" t="str">
        <f t="shared" si="2"/>
        <v>HUS0000434167TA020131297</v>
      </c>
      <c r="R163" s="66" t="s">
        <v>467</v>
      </c>
      <c r="S163" s="66" t="s">
        <v>468</v>
      </c>
      <c r="T163" s="66"/>
      <c r="U163" s="66" t="s">
        <v>182</v>
      </c>
      <c r="V163" s="69">
        <v>106697</v>
      </c>
      <c r="W163" s="67">
        <v>45952.706793981481</v>
      </c>
      <c r="X163" s="67">
        <v>45981</v>
      </c>
      <c r="Y163" s="66">
        <v>146146</v>
      </c>
      <c r="Z163" s="67">
        <v>45981.728009259263</v>
      </c>
      <c r="AA163" s="66">
        <v>901541137</v>
      </c>
      <c r="AB163" s="66" t="s">
        <v>184</v>
      </c>
      <c r="AC163" s="69">
        <v>31297</v>
      </c>
      <c r="AD163" s="69">
        <v>0</v>
      </c>
      <c r="AE163" s="66" t="s">
        <v>185</v>
      </c>
      <c r="AF163" s="66" t="s">
        <v>186</v>
      </c>
      <c r="AG163" s="66" t="s">
        <v>464</v>
      </c>
      <c r="AH163" s="66" t="s">
        <v>465</v>
      </c>
      <c r="AI163" s="66"/>
      <c r="AJ163" s="66" t="s">
        <v>606</v>
      </c>
      <c r="AK163" s="78" t="s">
        <v>42</v>
      </c>
    </row>
    <row r="164" spans="1:37" x14ac:dyDescent="0.25">
      <c r="A164" s="66" t="s">
        <v>179</v>
      </c>
      <c r="B164" s="66">
        <v>147212</v>
      </c>
      <c r="C164" s="67">
        <v>46000.48878472222</v>
      </c>
      <c r="D164" s="77">
        <v>2025</v>
      </c>
      <c r="E164" s="77">
        <v>12</v>
      </c>
      <c r="F164" s="66">
        <v>901541137</v>
      </c>
      <c r="G164" s="66"/>
      <c r="H164" s="66" t="s">
        <v>184</v>
      </c>
      <c r="I164" s="69">
        <v>82085</v>
      </c>
      <c r="J164" s="66" t="s">
        <v>461</v>
      </c>
      <c r="K164" s="66"/>
      <c r="L164" s="66"/>
      <c r="M164" s="66"/>
      <c r="N164" s="66"/>
      <c r="O164" s="66"/>
      <c r="P164" s="66" t="s">
        <v>104</v>
      </c>
      <c r="Q164" s="68" t="str">
        <f t="shared" si="2"/>
        <v>HUS0000435634TA02016685</v>
      </c>
      <c r="R164" s="66" t="s">
        <v>467</v>
      </c>
      <c r="S164" s="66" t="s">
        <v>468</v>
      </c>
      <c r="T164" s="66"/>
      <c r="U164" s="66" t="s">
        <v>182</v>
      </c>
      <c r="V164" s="69">
        <v>82085</v>
      </c>
      <c r="W164" s="67">
        <v>45957.378842592596</v>
      </c>
      <c r="X164" s="67">
        <v>45981</v>
      </c>
      <c r="Y164" s="66">
        <v>146155</v>
      </c>
      <c r="Z164" s="67">
        <v>45981.732488425929</v>
      </c>
      <c r="AA164" s="66">
        <v>901541137</v>
      </c>
      <c r="AB164" s="66" t="s">
        <v>184</v>
      </c>
      <c r="AC164" s="69">
        <v>6685</v>
      </c>
      <c r="AD164" s="69">
        <v>0</v>
      </c>
      <c r="AE164" s="66" t="s">
        <v>185</v>
      </c>
      <c r="AF164" s="66" t="s">
        <v>186</v>
      </c>
      <c r="AG164" s="66" t="s">
        <v>464</v>
      </c>
      <c r="AH164" s="66" t="s">
        <v>465</v>
      </c>
      <c r="AI164" s="66"/>
      <c r="AJ164" s="66" t="s">
        <v>607</v>
      </c>
      <c r="AK164" s="78" t="s">
        <v>42</v>
      </c>
    </row>
    <row r="165" spans="1:37" x14ac:dyDescent="0.25">
      <c r="A165" s="66" t="s">
        <v>179</v>
      </c>
      <c r="B165" s="66">
        <v>147213</v>
      </c>
      <c r="C165" s="67">
        <v>46000.489687499998</v>
      </c>
      <c r="D165" s="77">
        <v>2025</v>
      </c>
      <c r="E165" s="77">
        <v>12</v>
      </c>
      <c r="F165" s="66">
        <v>901541137</v>
      </c>
      <c r="G165" s="66"/>
      <c r="H165" s="66" t="s">
        <v>184</v>
      </c>
      <c r="I165" s="69">
        <v>65992644</v>
      </c>
      <c r="J165" s="66" t="s">
        <v>461</v>
      </c>
      <c r="K165" s="66"/>
      <c r="L165" s="66"/>
      <c r="M165" s="66"/>
      <c r="N165" s="66"/>
      <c r="O165" s="66"/>
      <c r="P165" s="66" t="s">
        <v>112</v>
      </c>
      <c r="Q165" s="68" t="str">
        <f t="shared" si="2"/>
        <v>HUS0000429731TA230110709798</v>
      </c>
      <c r="R165" s="66" t="s">
        <v>467</v>
      </c>
      <c r="S165" s="66" t="s">
        <v>468</v>
      </c>
      <c r="T165" s="66"/>
      <c r="U165" s="66" t="s">
        <v>182</v>
      </c>
      <c r="V165" s="69">
        <v>65992644</v>
      </c>
      <c r="W165" s="67">
        <v>45940.583310185182</v>
      </c>
      <c r="X165" s="67">
        <v>45982</v>
      </c>
      <c r="Y165" s="66">
        <v>146253</v>
      </c>
      <c r="Z165" s="67">
        <v>45982.686111111114</v>
      </c>
      <c r="AA165" s="66">
        <v>901541137</v>
      </c>
      <c r="AB165" s="66" t="s">
        <v>184</v>
      </c>
      <c r="AC165" s="69">
        <v>10709798</v>
      </c>
      <c r="AD165" s="69">
        <v>0</v>
      </c>
      <c r="AE165" s="66" t="s">
        <v>215</v>
      </c>
      <c r="AF165" s="66" t="s">
        <v>216</v>
      </c>
      <c r="AG165" s="66" t="s">
        <v>464</v>
      </c>
      <c r="AH165" s="66" t="s">
        <v>465</v>
      </c>
      <c r="AI165" s="66"/>
      <c r="AJ165" s="66" t="s">
        <v>606</v>
      </c>
      <c r="AK165" s="78" t="s">
        <v>42</v>
      </c>
    </row>
    <row r="166" spans="1:37" x14ac:dyDescent="0.25">
      <c r="A166" s="66" t="s">
        <v>179</v>
      </c>
      <c r="B166" s="66">
        <v>147213</v>
      </c>
      <c r="C166" s="67">
        <v>46000.489687499998</v>
      </c>
      <c r="D166" s="77">
        <v>2025</v>
      </c>
      <c r="E166" s="77">
        <v>12</v>
      </c>
      <c r="F166" s="66">
        <v>901541137</v>
      </c>
      <c r="G166" s="66"/>
      <c r="H166" s="66" t="s">
        <v>184</v>
      </c>
      <c r="I166" s="69">
        <v>65992644</v>
      </c>
      <c r="J166" s="66" t="s">
        <v>461</v>
      </c>
      <c r="K166" s="66"/>
      <c r="L166" s="66"/>
      <c r="M166" s="66"/>
      <c r="N166" s="66"/>
      <c r="O166" s="66"/>
      <c r="P166" s="66" t="s">
        <v>112</v>
      </c>
      <c r="Q166" s="68" t="str">
        <f t="shared" si="2"/>
        <v>HUS0000429731TA020155077</v>
      </c>
      <c r="R166" s="66" t="s">
        <v>467</v>
      </c>
      <c r="S166" s="66" t="s">
        <v>468</v>
      </c>
      <c r="T166" s="66"/>
      <c r="U166" s="66" t="s">
        <v>182</v>
      </c>
      <c r="V166" s="69">
        <v>65992644</v>
      </c>
      <c r="W166" s="67">
        <v>45940.583310185182</v>
      </c>
      <c r="X166" s="67">
        <v>45982</v>
      </c>
      <c r="Y166" s="66">
        <v>146253</v>
      </c>
      <c r="Z166" s="67">
        <v>45982.686111111114</v>
      </c>
      <c r="AA166" s="66">
        <v>901541137</v>
      </c>
      <c r="AB166" s="66" t="s">
        <v>184</v>
      </c>
      <c r="AC166" s="69">
        <v>55077</v>
      </c>
      <c r="AD166" s="69">
        <v>0</v>
      </c>
      <c r="AE166" s="66" t="s">
        <v>185</v>
      </c>
      <c r="AF166" s="66" t="s">
        <v>186</v>
      </c>
      <c r="AG166" s="66" t="s">
        <v>464</v>
      </c>
      <c r="AH166" s="66" t="s">
        <v>465</v>
      </c>
      <c r="AI166" s="66"/>
      <c r="AJ166" s="66" t="s">
        <v>606</v>
      </c>
      <c r="AK166" s="78" t="s">
        <v>42</v>
      </c>
    </row>
    <row r="167" spans="1:37" x14ac:dyDescent="0.25">
      <c r="A167" s="66" t="s">
        <v>179</v>
      </c>
      <c r="B167" s="66">
        <v>147213</v>
      </c>
      <c r="C167" s="67">
        <v>46000.489687499998</v>
      </c>
      <c r="D167" s="77">
        <v>2025</v>
      </c>
      <c r="E167" s="77">
        <v>12</v>
      </c>
      <c r="F167" s="66">
        <v>901541137</v>
      </c>
      <c r="G167" s="66"/>
      <c r="H167" s="66" t="s">
        <v>184</v>
      </c>
      <c r="I167" s="69">
        <v>65992644</v>
      </c>
      <c r="J167" s="66" t="s">
        <v>461</v>
      </c>
      <c r="K167" s="66"/>
      <c r="L167" s="66"/>
      <c r="M167" s="66"/>
      <c r="N167" s="66"/>
      <c r="O167" s="66"/>
      <c r="P167" s="66" t="s">
        <v>112</v>
      </c>
      <c r="Q167" s="68" t="str">
        <f t="shared" si="2"/>
        <v>HUS0000429731TA010166800</v>
      </c>
      <c r="R167" s="66" t="s">
        <v>467</v>
      </c>
      <c r="S167" s="66" t="s">
        <v>468</v>
      </c>
      <c r="T167" s="66"/>
      <c r="U167" s="66" t="s">
        <v>182</v>
      </c>
      <c r="V167" s="69">
        <v>65992644</v>
      </c>
      <c r="W167" s="67">
        <v>45940.583310185182</v>
      </c>
      <c r="X167" s="67">
        <v>45982</v>
      </c>
      <c r="Y167" s="66">
        <v>146253</v>
      </c>
      <c r="Z167" s="67">
        <v>45982.686111111114</v>
      </c>
      <c r="AA167" s="66">
        <v>901541137</v>
      </c>
      <c r="AB167" s="66" t="s">
        <v>184</v>
      </c>
      <c r="AC167" s="69">
        <v>66800</v>
      </c>
      <c r="AD167" s="69">
        <v>0</v>
      </c>
      <c r="AE167" s="66" t="s">
        <v>208</v>
      </c>
      <c r="AF167" s="66" t="s">
        <v>209</v>
      </c>
      <c r="AG167" s="66" t="s">
        <v>464</v>
      </c>
      <c r="AH167" s="66" t="s">
        <v>465</v>
      </c>
      <c r="AI167" s="66"/>
      <c r="AJ167" s="66" t="s">
        <v>606</v>
      </c>
      <c r="AK167" s="78" t="s">
        <v>42</v>
      </c>
    </row>
    <row r="168" spans="1:37" x14ac:dyDescent="0.25">
      <c r="A168" s="66" t="s">
        <v>179</v>
      </c>
      <c r="B168" s="66">
        <v>147684</v>
      </c>
      <c r="C168" s="67">
        <v>46000.494560185187</v>
      </c>
      <c r="D168" s="77">
        <v>2025</v>
      </c>
      <c r="E168" s="77">
        <v>12</v>
      </c>
      <c r="F168" s="66">
        <v>901541137</v>
      </c>
      <c r="G168" s="66"/>
      <c r="H168" s="66" t="s">
        <v>184</v>
      </c>
      <c r="I168" s="69">
        <v>106697</v>
      </c>
      <c r="J168" s="66" t="s">
        <v>461</v>
      </c>
      <c r="K168" s="66"/>
      <c r="L168" s="66"/>
      <c r="M168" s="66"/>
      <c r="N168" s="66"/>
      <c r="O168" s="66"/>
      <c r="P168" s="66" t="s">
        <v>127</v>
      </c>
      <c r="Q168" s="68" t="str">
        <f t="shared" si="2"/>
        <v>HUS0000439341TA020131297</v>
      </c>
      <c r="R168" s="66" t="s">
        <v>467</v>
      </c>
      <c r="S168" s="66" t="s">
        <v>468</v>
      </c>
      <c r="T168" s="66"/>
      <c r="U168" s="66" t="s">
        <v>182</v>
      </c>
      <c r="V168" s="69">
        <v>106697</v>
      </c>
      <c r="W168" s="67">
        <v>45967.339884259258</v>
      </c>
      <c r="X168" s="67">
        <v>45982</v>
      </c>
      <c r="Y168" s="66">
        <v>146265</v>
      </c>
      <c r="Z168" s="67">
        <v>45982.713067129633</v>
      </c>
      <c r="AA168" s="66">
        <v>901541137</v>
      </c>
      <c r="AB168" s="66" t="s">
        <v>184</v>
      </c>
      <c r="AC168" s="69">
        <v>31297</v>
      </c>
      <c r="AD168" s="69">
        <v>0</v>
      </c>
      <c r="AE168" s="66" t="s">
        <v>185</v>
      </c>
      <c r="AF168" s="66" t="s">
        <v>186</v>
      </c>
      <c r="AG168" s="66" t="s">
        <v>464</v>
      </c>
      <c r="AH168" s="66" t="s">
        <v>465</v>
      </c>
      <c r="AI168" s="66"/>
      <c r="AJ168" s="66" t="s">
        <v>607</v>
      </c>
      <c r="AK168" s="78" t="s">
        <v>42</v>
      </c>
    </row>
    <row r="169" spans="1:37" x14ac:dyDescent="0.25">
      <c r="A169" s="66" t="s">
        <v>179</v>
      </c>
      <c r="B169" s="66">
        <v>147686</v>
      </c>
      <c r="C169" s="67">
        <v>46000.546527777777</v>
      </c>
      <c r="D169" s="77">
        <v>2025</v>
      </c>
      <c r="E169" s="77">
        <v>12</v>
      </c>
      <c r="F169" s="66">
        <v>901541137</v>
      </c>
      <c r="G169" s="66"/>
      <c r="H169" s="66" t="s">
        <v>184</v>
      </c>
      <c r="I169" s="69">
        <v>82085</v>
      </c>
      <c r="J169" s="66" t="s">
        <v>461</v>
      </c>
      <c r="K169" s="66"/>
      <c r="L169" s="66"/>
      <c r="M169" s="66"/>
      <c r="N169" s="66"/>
      <c r="O169" s="66"/>
      <c r="P169" s="66" t="s">
        <v>128</v>
      </c>
      <c r="Q169" s="68" t="str">
        <f t="shared" si="2"/>
        <v>HUS0000439349TA02016685</v>
      </c>
      <c r="R169" s="66" t="s">
        <v>467</v>
      </c>
      <c r="S169" s="66" t="s">
        <v>468</v>
      </c>
      <c r="T169" s="66"/>
      <c r="U169" s="66" t="s">
        <v>182</v>
      </c>
      <c r="V169" s="69">
        <v>82085</v>
      </c>
      <c r="W169" s="67">
        <v>45967.349780092591</v>
      </c>
      <c r="X169" s="67">
        <v>45982</v>
      </c>
      <c r="Y169" s="66">
        <v>146266</v>
      </c>
      <c r="Z169" s="67">
        <v>45982.71361111111</v>
      </c>
      <c r="AA169" s="66">
        <v>901541137</v>
      </c>
      <c r="AB169" s="66" t="s">
        <v>184</v>
      </c>
      <c r="AC169" s="69">
        <v>6685</v>
      </c>
      <c r="AD169" s="69">
        <v>0</v>
      </c>
      <c r="AE169" s="66" t="s">
        <v>185</v>
      </c>
      <c r="AF169" s="66" t="s">
        <v>186</v>
      </c>
      <c r="AG169" s="66" t="s">
        <v>464</v>
      </c>
      <c r="AH169" s="66" t="s">
        <v>465</v>
      </c>
      <c r="AI169" s="66"/>
      <c r="AJ169" s="66" t="s">
        <v>607</v>
      </c>
      <c r="AK169" s="78" t="s">
        <v>42</v>
      </c>
    </row>
    <row r="170" spans="1:37" x14ac:dyDescent="0.25">
      <c r="A170" s="66" t="s">
        <v>179</v>
      </c>
      <c r="B170" s="66">
        <v>147687</v>
      </c>
      <c r="C170" s="67">
        <v>46000.55195601852</v>
      </c>
      <c r="D170" s="77">
        <v>2025</v>
      </c>
      <c r="E170" s="77">
        <v>12</v>
      </c>
      <c r="F170" s="66">
        <v>901541137</v>
      </c>
      <c r="G170" s="66"/>
      <c r="H170" s="66" t="s">
        <v>184</v>
      </c>
      <c r="I170" s="69">
        <v>106697</v>
      </c>
      <c r="J170" s="66" t="s">
        <v>461</v>
      </c>
      <c r="K170" s="66"/>
      <c r="L170" s="66"/>
      <c r="M170" s="66"/>
      <c r="N170" s="66"/>
      <c r="O170" s="66"/>
      <c r="P170" s="66" t="s">
        <v>129</v>
      </c>
      <c r="Q170" s="68" t="str">
        <f t="shared" si="2"/>
        <v>HUS0000439384TA020131297</v>
      </c>
      <c r="R170" s="66" t="s">
        <v>467</v>
      </c>
      <c r="S170" s="66" t="s">
        <v>468</v>
      </c>
      <c r="T170" s="66"/>
      <c r="U170" s="66" t="s">
        <v>182</v>
      </c>
      <c r="V170" s="69">
        <v>106697</v>
      </c>
      <c r="W170" s="67">
        <v>45967.419687499998</v>
      </c>
      <c r="X170" s="67">
        <v>45982</v>
      </c>
      <c r="Y170" s="66">
        <v>146267</v>
      </c>
      <c r="Z170" s="67">
        <v>45982.714236111111</v>
      </c>
      <c r="AA170" s="66">
        <v>901541137</v>
      </c>
      <c r="AB170" s="66" t="s">
        <v>184</v>
      </c>
      <c r="AC170" s="69">
        <v>31297</v>
      </c>
      <c r="AD170" s="69">
        <v>0</v>
      </c>
      <c r="AE170" s="66" t="s">
        <v>185</v>
      </c>
      <c r="AF170" s="66" t="s">
        <v>186</v>
      </c>
      <c r="AG170" s="66" t="s">
        <v>464</v>
      </c>
      <c r="AH170" s="66" t="s">
        <v>465</v>
      </c>
      <c r="AI170" s="66"/>
      <c r="AJ170" s="66" t="s">
        <v>607</v>
      </c>
      <c r="AK170" s="78" t="s">
        <v>42</v>
      </c>
    </row>
    <row r="171" spans="1:37" x14ac:dyDescent="0.25">
      <c r="A171" s="66" t="s">
        <v>179</v>
      </c>
      <c r="B171" s="66">
        <v>147688</v>
      </c>
      <c r="C171" s="67">
        <v>46000.552627314813</v>
      </c>
      <c r="D171" s="77">
        <v>2025</v>
      </c>
      <c r="E171" s="77">
        <v>12</v>
      </c>
      <c r="F171" s="66">
        <v>901541137</v>
      </c>
      <c r="G171" s="66"/>
      <c r="H171" s="66" t="s">
        <v>184</v>
      </c>
      <c r="I171" s="69">
        <v>106697</v>
      </c>
      <c r="J171" s="66" t="s">
        <v>461</v>
      </c>
      <c r="K171" s="66"/>
      <c r="L171" s="66"/>
      <c r="M171" s="66"/>
      <c r="N171" s="66"/>
      <c r="O171" s="66"/>
      <c r="P171" s="66" t="s">
        <v>130</v>
      </c>
      <c r="Q171" s="68" t="str">
        <f t="shared" si="2"/>
        <v>HUS0000439423TA020131297</v>
      </c>
      <c r="R171" s="66" t="s">
        <v>467</v>
      </c>
      <c r="S171" s="66" t="s">
        <v>468</v>
      </c>
      <c r="T171" s="66"/>
      <c r="U171" s="66" t="s">
        <v>182</v>
      </c>
      <c r="V171" s="69">
        <v>106697</v>
      </c>
      <c r="W171" s="67">
        <v>45967.508437500001</v>
      </c>
      <c r="X171" s="67">
        <v>45982</v>
      </c>
      <c r="Y171" s="66">
        <v>146270</v>
      </c>
      <c r="Z171" s="67">
        <v>45982.716180555559</v>
      </c>
      <c r="AA171" s="66">
        <v>901541137</v>
      </c>
      <c r="AB171" s="66" t="s">
        <v>184</v>
      </c>
      <c r="AC171" s="69">
        <v>31297</v>
      </c>
      <c r="AD171" s="69">
        <v>0</v>
      </c>
      <c r="AE171" s="66" t="s">
        <v>185</v>
      </c>
      <c r="AF171" s="66" t="s">
        <v>186</v>
      </c>
      <c r="AG171" s="66" t="s">
        <v>464</v>
      </c>
      <c r="AH171" s="66" t="s">
        <v>465</v>
      </c>
      <c r="AI171" s="66"/>
      <c r="AJ171" s="66" t="s">
        <v>607</v>
      </c>
      <c r="AK171" s="78" t="s">
        <v>42</v>
      </c>
    </row>
    <row r="172" spans="1:37" x14ac:dyDescent="0.25">
      <c r="A172" s="66" t="s">
        <v>179</v>
      </c>
      <c r="B172" s="66">
        <v>147705</v>
      </c>
      <c r="C172" s="67">
        <v>46001.38076388889</v>
      </c>
      <c r="D172" s="77">
        <v>2025</v>
      </c>
      <c r="E172" s="77">
        <v>12</v>
      </c>
      <c r="F172" s="66">
        <v>901541137</v>
      </c>
      <c r="G172" s="66"/>
      <c r="H172" s="66" t="s">
        <v>184</v>
      </c>
      <c r="I172" s="69">
        <v>3791099</v>
      </c>
      <c r="J172" s="66" t="s">
        <v>593</v>
      </c>
      <c r="K172" s="66"/>
      <c r="L172" s="66"/>
      <c r="M172" s="66"/>
      <c r="N172" s="66"/>
      <c r="O172" s="66"/>
      <c r="P172" s="66" t="s">
        <v>126</v>
      </c>
      <c r="Q172" s="68" t="str">
        <f t="shared" si="2"/>
        <v>HUS0000437357SO08014700</v>
      </c>
      <c r="R172" s="66" t="s">
        <v>467</v>
      </c>
      <c r="S172" s="66" t="s">
        <v>468</v>
      </c>
      <c r="T172" s="66"/>
      <c r="U172" s="66" t="s">
        <v>182</v>
      </c>
      <c r="V172" s="69">
        <v>3795799</v>
      </c>
      <c r="W172" s="67">
        <v>45960.483877314815</v>
      </c>
      <c r="X172" s="67">
        <v>45985</v>
      </c>
      <c r="Y172" s="66">
        <v>146865</v>
      </c>
      <c r="Z172" s="67">
        <v>45985.455960648149</v>
      </c>
      <c r="AA172" s="66">
        <v>901541137</v>
      </c>
      <c r="AB172" s="66" t="s">
        <v>184</v>
      </c>
      <c r="AC172" s="69">
        <v>4700</v>
      </c>
      <c r="AD172" s="69">
        <v>4700</v>
      </c>
      <c r="AE172" s="66" t="s">
        <v>237</v>
      </c>
      <c r="AF172" s="66" t="s">
        <v>238</v>
      </c>
      <c r="AG172" s="66" t="s">
        <v>486</v>
      </c>
      <c r="AH172" s="66" t="s">
        <v>487</v>
      </c>
      <c r="AI172" s="66"/>
      <c r="AJ172" s="66" t="s">
        <v>608</v>
      </c>
      <c r="AK172" s="78" t="s">
        <v>42</v>
      </c>
    </row>
    <row r="173" spans="1:37" x14ac:dyDescent="0.25">
      <c r="A173" s="66" t="s">
        <v>179</v>
      </c>
      <c r="B173" s="66">
        <v>147714</v>
      </c>
      <c r="C173" s="67">
        <v>46001.644965277781</v>
      </c>
      <c r="D173" s="77">
        <v>2025</v>
      </c>
      <c r="E173" s="77">
        <v>12</v>
      </c>
      <c r="F173" s="66">
        <v>901541137</v>
      </c>
      <c r="G173" s="66"/>
      <c r="H173" s="66" t="s">
        <v>184</v>
      </c>
      <c r="I173" s="69">
        <v>3667886</v>
      </c>
      <c r="J173" s="66" t="s">
        <v>593</v>
      </c>
      <c r="K173" s="66"/>
      <c r="L173" s="66"/>
      <c r="M173" s="66"/>
      <c r="N173" s="66"/>
      <c r="O173" s="66"/>
      <c r="P173" s="66" t="s">
        <v>125</v>
      </c>
      <c r="Q173" s="68" t="str">
        <f t="shared" si="2"/>
        <v>HUS0000435811SO08019400</v>
      </c>
      <c r="R173" s="66" t="s">
        <v>467</v>
      </c>
      <c r="S173" s="66" t="s">
        <v>468</v>
      </c>
      <c r="T173" s="66"/>
      <c r="U173" s="66" t="s">
        <v>182</v>
      </c>
      <c r="V173" s="69">
        <v>3677286</v>
      </c>
      <c r="W173" s="67">
        <v>45957.595497685186</v>
      </c>
      <c r="X173" s="67">
        <v>45985</v>
      </c>
      <c r="Y173" s="66">
        <v>146860</v>
      </c>
      <c r="Z173" s="67">
        <v>45985.453541666669</v>
      </c>
      <c r="AA173" s="66">
        <v>901541137</v>
      </c>
      <c r="AB173" s="66" t="s">
        <v>184</v>
      </c>
      <c r="AC173" s="69">
        <v>9400</v>
      </c>
      <c r="AD173" s="69">
        <v>9400</v>
      </c>
      <c r="AE173" s="66" t="s">
        <v>237</v>
      </c>
      <c r="AF173" s="66" t="s">
        <v>238</v>
      </c>
      <c r="AG173" s="66" t="s">
        <v>486</v>
      </c>
      <c r="AH173" s="66" t="s">
        <v>487</v>
      </c>
      <c r="AI173" s="66"/>
      <c r="AJ173" s="66" t="s">
        <v>609</v>
      </c>
      <c r="AK173" s="78" t="s">
        <v>42</v>
      </c>
    </row>
    <row r="174" spans="1:37" x14ac:dyDescent="0.25">
      <c r="A174" s="66" t="s">
        <v>179</v>
      </c>
      <c r="B174" s="66">
        <v>148112</v>
      </c>
      <c r="C174" s="67">
        <v>45992.437638888892</v>
      </c>
      <c r="D174" s="77">
        <v>2025</v>
      </c>
      <c r="E174" s="77">
        <v>12</v>
      </c>
      <c r="F174" s="66">
        <v>901541137</v>
      </c>
      <c r="G174" s="66"/>
      <c r="H174" s="66" t="s">
        <v>184</v>
      </c>
      <c r="I174" s="69">
        <v>26179912</v>
      </c>
      <c r="J174" s="66" t="s">
        <v>461</v>
      </c>
      <c r="K174" s="66"/>
      <c r="L174" s="66"/>
      <c r="M174" s="66"/>
      <c r="N174" s="66"/>
      <c r="O174" s="66"/>
      <c r="P174" s="66" t="s">
        <v>82</v>
      </c>
      <c r="Q174" s="68" t="str">
        <f t="shared" si="2"/>
        <v>HUS0000423680TA020155177</v>
      </c>
      <c r="R174" s="66" t="s">
        <v>467</v>
      </c>
      <c r="S174" s="66" t="s">
        <v>468</v>
      </c>
      <c r="T174" s="66"/>
      <c r="U174" s="66" t="s">
        <v>182</v>
      </c>
      <c r="V174" s="69">
        <v>26179912</v>
      </c>
      <c r="W174" s="67">
        <v>45925.581886574073</v>
      </c>
      <c r="X174" s="67">
        <v>45968</v>
      </c>
      <c r="Y174" s="66">
        <v>143897</v>
      </c>
      <c r="Z174" s="67">
        <v>45968.359513888892</v>
      </c>
      <c r="AA174" s="66">
        <v>901541137</v>
      </c>
      <c r="AB174" s="66" t="s">
        <v>184</v>
      </c>
      <c r="AC174" s="69">
        <v>55177</v>
      </c>
      <c r="AD174" s="69">
        <v>0</v>
      </c>
      <c r="AE174" s="66" t="s">
        <v>185</v>
      </c>
      <c r="AF174" s="66" t="s">
        <v>186</v>
      </c>
      <c r="AG174" s="66" t="s">
        <v>464</v>
      </c>
      <c r="AH174" s="66" t="s">
        <v>465</v>
      </c>
      <c r="AI174" s="66"/>
      <c r="AJ174" s="66" t="s">
        <v>610</v>
      </c>
      <c r="AK174" s="78" t="s">
        <v>42</v>
      </c>
    </row>
    <row r="175" spans="1:37" x14ac:dyDescent="0.25">
      <c r="A175" s="66" t="s">
        <v>179</v>
      </c>
      <c r="B175" s="66">
        <v>148112</v>
      </c>
      <c r="C175" s="67">
        <v>45992.437638888892</v>
      </c>
      <c r="D175" s="77">
        <v>2025</v>
      </c>
      <c r="E175" s="77">
        <v>12</v>
      </c>
      <c r="F175" s="66">
        <v>901541137</v>
      </c>
      <c r="G175" s="66"/>
      <c r="H175" s="66" t="s">
        <v>184</v>
      </c>
      <c r="I175" s="69">
        <v>26179912</v>
      </c>
      <c r="J175" s="66" t="s">
        <v>461</v>
      </c>
      <c r="K175" s="66"/>
      <c r="L175" s="66"/>
      <c r="M175" s="66"/>
      <c r="N175" s="66"/>
      <c r="O175" s="66"/>
      <c r="P175" s="66" t="s">
        <v>82</v>
      </c>
      <c r="Q175" s="68" t="str">
        <f t="shared" si="2"/>
        <v>HUS0000423680SO4201336185</v>
      </c>
      <c r="R175" s="66" t="s">
        <v>467</v>
      </c>
      <c r="S175" s="66" t="s">
        <v>468</v>
      </c>
      <c r="T175" s="66"/>
      <c r="U175" s="66" t="s">
        <v>182</v>
      </c>
      <c r="V175" s="69">
        <v>26179912</v>
      </c>
      <c r="W175" s="67">
        <v>45925.581886574073</v>
      </c>
      <c r="X175" s="67">
        <v>45968</v>
      </c>
      <c r="Y175" s="66">
        <v>143897</v>
      </c>
      <c r="Z175" s="67">
        <v>45968.359513888892</v>
      </c>
      <c r="AA175" s="66">
        <v>901541137</v>
      </c>
      <c r="AB175" s="66" t="s">
        <v>184</v>
      </c>
      <c r="AC175" s="69">
        <v>336185</v>
      </c>
      <c r="AD175" s="69">
        <v>0</v>
      </c>
      <c r="AE175" s="66" t="s">
        <v>303</v>
      </c>
      <c r="AF175" s="66" t="s">
        <v>304</v>
      </c>
      <c r="AG175" s="66" t="s">
        <v>464</v>
      </c>
      <c r="AH175" s="66" t="s">
        <v>465</v>
      </c>
      <c r="AI175" s="66"/>
      <c r="AJ175" s="66" t="s">
        <v>611</v>
      </c>
      <c r="AK175" s="78" t="s">
        <v>42</v>
      </c>
    </row>
    <row r="176" spans="1:37" x14ac:dyDescent="0.25">
      <c r="A176" s="66" t="s">
        <v>179</v>
      </c>
      <c r="B176" s="66">
        <v>149246</v>
      </c>
      <c r="C176" s="67">
        <v>46004.454895833333</v>
      </c>
      <c r="D176" s="77">
        <v>2025</v>
      </c>
      <c r="E176" s="77">
        <v>12</v>
      </c>
      <c r="F176" s="66">
        <v>901541137</v>
      </c>
      <c r="G176" s="66"/>
      <c r="H176" s="66" t="s">
        <v>184</v>
      </c>
      <c r="I176" s="69">
        <v>12120600</v>
      </c>
      <c r="J176" s="66" t="s">
        <v>593</v>
      </c>
      <c r="K176" s="66"/>
      <c r="L176" s="66"/>
      <c r="M176" s="66"/>
      <c r="N176" s="66"/>
      <c r="O176" s="66"/>
      <c r="P176" s="66" t="s">
        <v>131</v>
      </c>
      <c r="Q176" s="68" t="str">
        <f t="shared" si="2"/>
        <v>HUS0000433131SO360112120600</v>
      </c>
      <c r="R176" s="66" t="s">
        <v>467</v>
      </c>
      <c r="S176" s="66" t="s">
        <v>468</v>
      </c>
      <c r="T176" s="66"/>
      <c r="U176" s="66" t="s">
        <v>182</v>
      </c>
      <c r="V176" s="69">
        <v>12120600</v>
      </c>
      <c r="W176" s="67">
        <v>45950.677141203705</v>
      </c>
      <c r="X176" s="67">
        <v>45989</v>
      </c>
      <c r="Y176" s="66">
        <v>149801</v>
      </c>
      <c r="Z176" s="67">
        <v>45989.636238425926</v>
      </c>
      <c r="AA176" s="66">
        <v>901541137</v>
      </c>
      <c r="AB176" s="66" t="s">
        <v>184</v>
      </c>
      <c r="AC176" s="69">
        <v>12120600</v>
      </c>
      <c r="AD176" s="69">
        <v>0</v>
      </c>
      <c r="AE176" s="66" t="s">
        <v>413</v>
      </c>
      <c r="AF176" s="66" t="s">
        <v>414</v>
      </c>
      <c r="AG176" s="66" t="s">
        <v>464</v>
      </c>
      <c r="AH176" s="66" t="s">
        <v>465</v>
      </c>
      <c r="AI176" s="66"/>
      <c r="AJ176" s="66" t="s">
        <v>612</v>
      </c>
      <c r="AK176" s="78" t="s">
        <v>42</v>
      </c>
    </row>
    <row r="177" spans="1:37" x14ac:dyDescent="0.25">
      <c r="A177" s="66" t="s">
        <v>179</v>
      </c>
      <c r="B177" s="66">
        <v>149289</v>
      </c>
      <c r="C177" s="67">
        <v>46007.384189814817</v>
      </c>
      <c r="D177" s="77">
        <v>2025</v>
      </c>
      <c r="E177" s="77">
        <v>12</v>
      </c>
      <c r="F177" s="66">
        <v>901541137</v>
      </c>
      <c r="G177" s="66"/>
      <c r="H177" s="66" t="s">
        <v>184</v>
      </c>
      <c r="I177" s="69">
        <v>35898903</v>
      </c>
      <c r="J177" s="66" t="s">
        <v>613</v>
      </c>
      <c r="K177" s="66"/>
      <c r="L177" s="66"/>
      <c r="M177" s="66"/>
      <c r="N177" s="66"/>
      <c r="O177" s="66"/>
      <c r="P177" s="66" t="s">
        <v>137</v>
      </c>
      <c r="Q177" s="68" t="str">
        <f t="shared" si="2"/>
        <v>HUS0000440319SO420130661200</v>
      </c>
      <c r="R177" s="66" t="s">
        <v>467</v>
      </c>
      <c r="S177" s="66" t="s">
        <v>468</v>
      </c>
      <c r="T177" s="66"/>
      <c r="U177" s="66" t="s">
        <v>182</v>
      </c>
      <c r="V177" s="69">
        <v>35898903</v>
      </c>
      <c r="W177" s="67">
        <v>45971.435416666667</v>
      </c>
      <c r="X177" s="67">
        <v>45996</v>
      </c>
      <c r="Y177" s="66">
        <v>150438</v>
      </c>
      <c r="Z177" s="67">
        <v>45996.440381944441</v>
      </c>
      <c r="AA177" s="66">
        <v>901541137</v>
      </c>
      <c r="AB177" s="66" t="s">
        <v>184</v>
      </c>
      <c r="AC177" s="69">
        <v>30661200</v>
      </c>
      <c r="AD177" s="69">
        <v>0</v>
      </c>
      <c r="AE177" s="66" t="s">
        <v>303</v>
      </c>
      <c r="AF177" s="66" t="s">
        <v>304</v>
      </c>
      <c r="AG177" s="66" t="s">
        <v>464</v>
      </c>
      <c r="AH177" s="66" t="s">
        <v>465</v>
      </c>
      <c r="AI177" s="66"/>
      <c r="AJ177" s="66" t="s">
        <v>614</v>
      </c>
      <c r="AK177" s="78" t="s">
        <v>42</v>
      </c>
    </row>
    <row r="178" spans="1:37" x14ac:dyDescent="0.25">
      <c r="A178" s="66" t="s">
        <v>179</v>
      </c>
      <c r="B178" s="66">
        <v>149290</v>
      </c>
      <c r="C178" s="67">
        <v>46007.391851851855</v>
      </c>
      <c r="D178" s="77">
        <v>2025</v>
      </c>
      <c r="E178" s="77">
        <v>12</v>
      </c>
      <c r="F178" s="66">
        <v>901541137</v>
      </c>
      <c r="G178" s="66"/>
      <c r="H178" s="66" t="s">
        <v>184</v>
      </c>
      <c r="I178" s="69">
        <v>19152692</v>
      </c>
      <c r="J178" s="66" t="s">
        <v>613</v>
      </c>
      <c r="K178" s="66"/>
      <c r="L178" s="66"/>
      <c r="M178" s="66"/>
      <c r="N178" s="66"/>
      <c r="O178" s="66"/>
      <c r="P178" s="66" t="s">
        <v>138</v>
      </c>
      <c r="Q178" s="68" t="str">
        <f t="shared" si="2"/>
        <v>HUS0000440328SO420113553900</v>
      </c>
      <c r="R178" s="66" t="s">
        <v>467</v>
      </c>
      <c r="S178" s="66" t="s">
        <v>468</v>
      </c>
      <c r="T178" s="66"/>
      <c r="U178" s="66" t="s">
        <v>182</v>
      </c>
      <c r="V178" s="69">
        <v>19152692</v>
      </c>
      <c r="W178" s="67">
        <v>45971.441180555557</v>
      </c>
      <c r="X178" s="67">
        <v>45996</v>
      </c>
      <c r="Y178" s="66">
        <v>150439</v>
      </c>
      <c r="Z178" s="67">
        <v>45996.442569444444</v>
      </c>
      <c r="AA178" s="66">
        <v>901541137</v>
      </c>
      <c r="AB178" s="66" t="s">
        <v>184</v>
      </c>
      <c r="AC178" s="69">
        <v>13553900</v>
      </c>
      <c r="AD178" s="69">
        <v>0</v>
      </c>
      <c r="AE178" s="66" t="s">
        <v>303</v>
      </c>
      <c r="AF178" s="66" t="s">
        <v>304</v>
      </c>
      <c r="AG178" s="66" t="s">
        <v>464</v>
      </c>
      <c r="AH178" s="66" t="s">
        <v>465</v>
      </c>
      <c r="AI178" s="66"/>
      <c r="AJ178" s="66" t="s">
        <v>615</v>
      </c>
      <c r="AK178" s="78" t="s">
        <v>42</v>
      </c>
    </row>
    <row r="179" spans="1:37" x14ac:dyDescent="0.25">
      <c r="A179" s="66" t="s">
        <v>179</v>
      </c>
      <c r="B179" s="66">
        <v>149291</v>
      </c>
      <c r="C179" s="67">
        <v>46007.395092592589</v>
      </c>
      <c r="D179" s="77">
        <v>2025</v>
      </c>
      <c r="E179" s="77">
        <v>12</v>
      </c>
      <c r="F179" s="66">
        <v>901541137</v>
      </c>
      <c r="G179" s="66"/>
      <c r="H179" s="66" t="s">
        <v>184</v>
      </c>
      <c r="I179" s="69">
        <v>82085</v>
      </c>
      <c r="J179" s="66" t="s">
        <v>613</v>
      </c>
      <c r="K179" s="66"/>
      <c r="L179" s="66"/>
      <c r="M179" s="66"/>
      <c r="N179" s="66"/>
      <c r="O179" s="66"/>
      <c r="P179" s="66" t="s">
        <v>139</v>
      </c>
      <c r="Q179" s="68" t="str">
        <f t="shared" si="2"/>
        <v>HUS0000441292TA02016685</v>
      </c>
      <c r="R179" s="66" t="s">
        <v>467</v>
      </c>
      <c r="S179" s="66" t="s">
        <v>468</v>
      </c>
      <c r="T179" s="66"/>
      <c r="U179" s="66" t="s">
        <v>182</v>
      </c>
      <c r="V179" s="69">
        <v>82085</v>
      </c>
      <c r="W179" s="67">
        <v>45973.443680555552</v>
      </c>
      <c r="X179" s="67">
        <v>45996</v>
      </c>
      <c r="Y179" s="66">
        <v>150440</v>
      </c>
      <c r="Z179" s="67">
        <v>45996.443298611113</v>
      </c>
      <c r="AA179" s="66">
        <v>901541137</v>
      </c>
      <c r="AB179" s="66" t="s">
        <v>184</v>
      </c>
      <c r="AC179" s="69">
        <v>6685</v>
      </c>
      <c r="AD179" s="69">
        <v>0</v>
      </c>
      <c r="AE179" s="66" t="s">
        <v>185</v>
      </c>
      <c r="AF179" s="66" t="s">
        <v>186</v>
      </c>
      <c r="AG179" s="66" t="s">
        <v>464</v>
      </c>
      <c r="AH179" s="66" t="s">
        <v>465</v>
      </c>
      <c r="AI179" s="66"/>
      <c r="AJ179" s="66" t="s">
        <v>616</v>
      </c>
      <c r="AK179" s="78" t="s">
        <v>42</v>
      </c>
    </row>
    <row r="180" spans="1:37" x14ac:dyDescent="0.25">
      <c r="A180" s="66" t="s">
        <v>179</v>
      </c>
      <c r="B180" s="66">
        <v>149296</v>
      </c>
      <c r="C180" s="67">
        <v>46007.401782407411</v>
      </c>
      <c r="D180" s="77">
        <v>2025</v>
      </c>
      <c r="E180" s="77">
        <v>12</v>
      </c>
      <c r="F180" s="66">
        <v>901541137</v>
      </c>
      <c r="G180" s="66"/>
      <c r="H180" s="66" t="s">
        <v>184</v>
      </c>
      <c r="I180" s="69">
        <v>106697</v>
      </c>
      <c r="J180" s="66" t="s">
        <v>613</v>
      </c>
      <c r="K180" s="66"/>
      <c r="L180" s="66"/>
      <c r="M180" s="66"/>
      <c r="N180" s="66"/>
      <c r="O180" s="66"/>
      <c r="P180" s="66" t="s">
        <v>140</v>
      </c>
      <c r="Q180" s="68" t="str">
        <f t="shared" si="2"/>
        <v>HUS0000442197TA020131297</v>
      </c>
      <c r="R180" s="66" t="s">
        <v>467</v>
      </c>
      <c r="S180" s="66" t="s">
        <v>468</v>
      </c>
      <c r="T180" s="66"/>
      <c r="U180" s="66" t="s">
        <v>182</v>
      </c>
      <c r="V180" s="69">
        <v>106697</v>
      </c>
      <c r="W180" s="67">
        <v>45975.332349537035</v>
      </c>
      <c r="X180" s="67">
        <v>45996</v>
      </c>
      <c r="Y180" s="66">
        <v>150442</v>
      </c>
      <c r="Z180" s="67">
        <v>45996.444305555553</v>
      </c>
      <c r="AA180" s="66">
        <v>901541137</v>
      </c>
      <c r="AB180" s="66" t="s">
        <v>184</v>
      </c>
      <c r="AC180" s="69">
        <v>31297</v>
      </c>
      <c r="AD180" s="69">
        <v>0</v>
      </c>
      <c r="AE180" s="66" t="s">
        <v>185</v>
      </c>
      <c r="AF180" s="66" t="s">
        <v>186</v>
      </c>
      <c r="AG180" s="66" t="s">
        <v>464</v>
      </c>
      <c r="AH180" s="66" t="s">
        <v>465</v>
      </c>
      <c r="AI180" s="66"/>
      <c r="AJ180" s="66" t="s">
        <v>617</v>
      </c>
      <c r="AK180" s="78" t="s">
        <v>42</v>
      </c>
    </row>
    <row r="181" spans="1:37" x14ac:dyDescent="0.25">
      <c r="A181" s="66" t="s">
        <v>179</v>
      </c>
      <c r="B181" s="66">
        <v>149302</v>
      </c>
      <c r="C181" s="67">
        <v>46007.410775462966</v>
      </c>
      <c r="D181" s="77">
        <v>2025</v>
      </c>
      <c r="E181" s="77">
        <v>12</v>
      </c>
      <c r="F181" s="66">
        <v>901541137</v>
      </c>
      <c r="G181" s="66"/>
      <c r="H181" s="66" t="s">
        <v>184</v>
      </c>
      <c r="I181" s="69">
        <v>5505766</v>
      </c>
      <c r="J181" s="66" t="s">
        <v>613</v>
      </c>
      <c r="K181" s="66"/>
      <c r="L181" s="66"/>
      <c r="M181" s="66"/>
      <c r="N181" s="66"/>
      <c r="O181" s="66"/>
      <c r="P181" s="66" t="s">
        <v>136</v>
      </c>
      <c r="Q181" s="68" t="str">
        <f t="shared" si="2"/>
        <v>HUS0000442730TA58011684944</v>
      </c>
      <c r="R181" s="66" t="s">
        <v>467</v>
      </c>
      <c r="S181" s="66" t="s">
        <v>468</v>
      </c>
      <c r="T181" s="66"/>
      <c r="U181" s="66" t="s">
        <v>182</v>
      </c>
      <c r="V181" s="69">
        <v>5505766</v>
      </c>
      <c r="W181" s="67">
        <v>45976.790706018517</v>
      </c>
      <c r="X181" s="67">
        <v>45996</v>
      </c>
      <c r="Y181" s="66">
        <v>150445</v>
      </c>
      <c r="Z181" s="67">
        <v>45996.4455787037</v>
      </c>
      <c r="AA181" s="66">
        <v>901541137</v>
      </c>
      <c r="AB181" s="66" t="s">
        <v>184</v>
      </c>
      <c r="AC181" s="69">
        <v>1684944</v>
      </c>
      <c r="AD181" s="69">
        <v>0</v>
      </c>
      <c r="AE181" s="66" t="s">
        <v>201</v>
      </c>
      <c r="AF181" s="66" t="s">
        <v>202</v>
      </c>
      <c r="AG181" s="66" t="s">
        <v>464</v>
      </c>
      <c r="AH181" s="66" t="s">
        <v>465</v>
      </c>
      <c r="AI181" s="66"/>
      <c r="AJ181" s="66" t="s">
        <v>618</v>
      </c>
      <c r="AK181" s="78" t="s">
        <v>42</v>
      </c>
    </row>
    <row r="182" spans="1:37" x14ac:dyDescent="0.25">
      <c r="A182" s="66" t="s">
        <v>179</v>
      </c>
      <c r="B182" s="66">
        <v>149309</v>
      </c>
      <c r="C182" s="67">
        <v>46007.431516203702</v>
      </c>
      <c r="D182" s="77">
        <v>2025</v>
      </c>
      <c r="E182" s="77">
        <v>12</v>
      </c>
      <c r="F182" s="66">
        <v>901541137</v>
      </c>
      <c r="G182" s="66"/>
      <c r="H182" s="66" t="s">
        <v>184</v>
      </c>
      <c r="I182" s="69">
        <v>2065650</v>
      </c>
      <c r="J182" s="66" t="s">
        <v>613</v>
      </c>
      <c r="K182" s="66"/>
      <c r="L182" s="66"/>
      <c r="M182" s="66"/>
      <c r="N182" s="66"/>
      <c r="O182" s="66"/>
      <c r="P182" s="66" t="s">
        <v>142</v>
      </c>
      <c r="Q182" s="68" t="str">
        <f t="shared" si="2"/>
        <v>HUS0000443840TA08011807950</v>
      </c>
      <c r="R182" s="66" t="s">
        <v>467</v>
      </c>
      <c r="S182" s="66" t="s">
        <v>468</v>
      </c>
      <c r="T182" s="66"/>
      <c r="U182" s="66" t="s">
        <v>182</v>
      </c>
      <c r="V182" s="69">
        <v>2065650</v>
      </c>
      <c r="W182" s="67">
        <v>45980.731736111113</v>
      </c>
      <c r="X182" s="67">
        <v>46000</v>
      </c>
      <c r="Y182" s="66">
        <v>150499</v>
      </c>
      <c r="Z182" s="67">
        <v>46000.350787037038</v>
      </c>
      <c r="AA182" s="66">
        <v>901541137</v>
      </c>
      <c r="AB182" s="66" t="s">
        <v>184</v>
      </c>
      <c r="AC182" s="69">
        <v>1807950</v>
      </c>
      <c r="AD182" s="69">
        <v>0</v>
      </c>
      <c r="AE182" s="66" t="s">
        <v>212</v>
      </c>
      <c r="AF182" s="66" t="s">
        <v>213</v>
      </c>
      <c r="AG182" s="66" t="s">
        <v>464</v>
      </c>
      <c r="AH182" s="66" t="s">
        <v>465</v>
      </c>
      <c r="AI182" s="66"/>
      <c r="AJ182" s="66" t="s">
        <v>619</v>
      </c>
      <c r="AK182" s="78" t="s">
        <v>42</v>
      </c>
    </row>
    <row r="183" spans="1:37" x14ac:dyDescent="0.25">
      <c r="A183" s="66" t="s">
        <v>179</v>
      </c>
      <c r="B183" s="66">
        <v>149337</v>
      </c>
      <c r="C183" s="67">
        <v>46007.474999999999</v>
      </c>
      <c r="D183" s="77">
        <v>2025</v>
      </c>
      <c r="E183" s="77">
        <v>12</v>
      </c>
      <c r="F183" s="66">
        <v>901541137</v>
      </c>
      <c r="G183" s="66"/>
      <c r="H183" s="66" t="s">
        <v>184</v>
      </c>
      <c r="I183" s="69">
        <v>33107207</v>
      </c>
      <c r="J183" s="66" t="s">
        <v>613</v>
      </c>
      <c r="K183" s="66"/>
      <c r="L183" s="66"/>
      <c r="M183" s="66"/>
      <c r="N183" s="66"/>
      <c r="O183" s="66"/>
      <c r="P183" s="66" t="s">
        <v>143</v>
      </c>
      <c r="Q183" s="68" t="str">
        <f t="shared" si="2"/>
        <v>HUS0000444618TA060123172817</v>
      </c>
      <c r="R183" s="66" t="s">
        <v>467</v>
      </c>
      <c r="S183" s="66" t="s">
        <v>468</v>
      </c>
      <c r="T183" s="66"/>
      <c r="U183" s="66" t="s">
        <v>182</v>
      </c>
      <c r="V183" s="69">
        <v>33107207</v>
      </c>
      <c r="W183" s="67">
        <v>45982.522858796299</v>
      </c>
      <c r="X183" s="67">
        <v>46000</v>
      </c>
      <c r="Y183" s="66">
        <v>150507</v>
      </c>
      <c r="Z183" s="67">
        <v>46000.362685185188</v>
      </c>
      <c r="AA183" s="66">
        <v>901541137</v>
      </c>
      <c r="AB183" s="66" t="s">
        <v>184</v>
      </c>
      <c r="AC183" s="69">
        <v>23172817</v>
      </c>
      <c r="AD183" s="69">
        <v>0</v>
      </c>
      <c r="AE183" s="66" t="s">
        <v>227</v>
      </c>
      <c r="AF183" s="66" t="s">
        <v>228</v>
      </c>
      <c r="AG183" s="66" t="s">
        <v>464</v>
      </c>
      <c r="AH183" s="66" t="s">
        <v>465</v>
      </c>
      <c r="AI183" s="66"/>
      <c r="AJ183" s="66" t="s">
        <v>620</v>
      </c>
      <c r="AK183" s="78" t="s">
        <v>42</v>
      </c>
    </row>
    <row r="184" spans="1:37" x14ac:dyDescent="0.25">
      <c r="A184" s="66" t="s">
        <v>179</v>
      </c>
      <c r="B184" s="66">
        <v>149337</v>
      </c>
      <c r="C184" s="67">
        <v>46007.474999999999</v>
      </c>
      <c r="D184" s="77">
        <v>2025</v>
      </c>
      <c r="E184" s="77">
        <v>12</v>
      </c>
      <c r="F184" s="66">
        <v>901541137</v>
      </c>
      <c r="G184" s="66"/>
      <c r="H184" s="66" t="s">
        <v>184</v>
      </c>
      <c r="I184" s="69">
        <v>33107207</v>
      </c>
      <c r="J184" s="66" t="s">
        <v>613</v>
      </c>
      <c r="K184" s="66"/>
      <c r="L184" s="66"/>
      <c r="M184" s="66"/>
      <c r="N184" s="66"/>
      <c r="O184" s="66"/>
      <c r="P184" s="66" t="s">
        <v>143</v>
      </c>
      <c r="Q184" s="68" t="str">
        <f t="shared" si="2"/>
        <v>HUS0000444618TA23018344690</v>
      </c>
      <c r="R184" s="66" t="s">
        <v>467</v>
      </c>
      <c r="S184" s="66" t="s">
        <v>468</v>
      </c>
      <c r="T184" s="66"/>
      <c r="U184" s="66" t="s">
        <v>182</v>
      </c>
      <c r="V184" s="69">
        <v>33107207</v>
      </c>
      <c r="W184" s="67">
        <v>45982.522858796299</v>
      </c>
      <c r="X184" s="67">
        <v>46000</v>
      </c>
      <c r="Y184" s="66">
        <v>150507</v>
      </c>
      <c r="Z184" s="67">
        <v>46000.362685185188</v>
      </c>
      <c r="AA184" s="66">
        <v>901541137</v>
      </c>
      <c r="AB184" s="66" t="s">
        <v>184</v>
      </c>
      <c r="AC184" s="69">
        <v>8344690</v>
      </c>
      <c r="AD184" s="69">
        <v>0</v>
      </c>
      <c r="AE184" s="66" t="s">
        <v>215</v>
      </c>
      <c r="AF184" s="66" t="s">
        <v>216</v>
      </c>
      <c r="AG184" s="66" t="s">
        <v>464</v>
      </c>
      <c r="AH184" s="66" t="s">
        <v>465</v>
      </c>
      <c r="AI184" s="66"/>
      <c r="AJ184" s="66" t="s">
        <v>621</v>
      </c>
      <c r="AK184" s="78" t="s">
        <v>42</v>
      </c>
    </row>
    <row r="185" spans="1:37" x14ac:dyDescent="0.25">
      <c r="A185" s="66" t="s">
        <v>179</v>
      </c>
      <c r="B185" s="66">
        <v>149339</v>
      </c>
      <c r="C185" s="67">
        <v>46007.547627314816</v>
      </c>
      <c r="D185" s="77">
        <v>2025</v>
      </c>
      <c r="E185" s="77">
        <v>12</v>
      </c>
      <c r="F185" s="66">
        <v>901541137</v>
      </c>
      <c r="G185" s="66"/>
      <c r="H185" s="66" t="s">
        <v>184</v>
      </c>
      <c r="I185" s="69">
        <v>106697</v>
      </c>
      <c r="J185" s="66" t="s">
        <v>613</v>
      </c>
      <c r="K185" s="66"/>
      <c r="L185" s="66"/>
      <c r="M185" s="66"/>
      <c r="N185" s="66"/>
      <c r="O185" s="66"/>
      <c r="P185" s="66" t="s">
        <v>144</v>
      </c>
      <c r="Q185" s="68" t="str">
        <f t="shared" si="2"/>
        <v>HUS0000444741TA020131439</v>
      </c>
      <c r="R185" s="66" t="s">
        <v>467</v>
      </c>
      <c r="S185" s="66" t="s">
        <v>468</v>
      </c>
      <c r="T185" s="66"/>
      <c r="U185" s="66" t="s">
        <v>182</v>
      </c>
      <c r="V185" s="69">
        <v>106697</v>
      </c>
      <c r="W185" s="67">
        <v>45982.718680555554</v>
      </c>
      <c r="X185" s="67">
        <v>46000</v>
      </c>
      <c r="Y185" s="66">
        <v>150510</v>
      </c>
      <c r="Z185" s="67">
        <v>46000.388657407406</v>
      </c>
      <c r="AA185" s="66">
        <v>901541137</v>
      </c>
      <c r="AB185" s="66" t="s">
        <v>184</v>
      </c>
      <c r="AC185" s="69">
        <v>31439</v>
      </c>
      <c r="AD185" s="69">
        <v>0</v>
      </c>
      <c r="AE185" s="66" t="s">
        <v>185</v>
      </c>
      <c r="AF185" s="66" t="s">
        <v>186</v>
      </c>
      <c r="AG185" s="66" t="s">
        <v>464</v>
      </c>
      <c r="AH185" s="66" t="s">
        <v>465</v>
      </c>
      <c r="AI185" s="66"/>
      <c r="AJ185" s="66" t="s">
        <v>622</v>
      </c>
      <c r="AK185" s="78" t="s">
        <v>42</v>
      </c>
    </row>
    <row r="186" spans="1:37" x14ac:dyDescent="0.25">
      <c r="A186" s="66" t="s">
        <v>179</v>
      </c>
      <c r="B186" s="66">
        <v>149355</v>
      </c>
      <c r="C186" s="67">
        <v>46007.567962962959</v>
      </c>
      <c r="D186" s="77">
        <v>2025</v>
      </c>
      <c r="E186" s="77">
        <v>12</v>
      </c>
      <c r="F186" s="66">
        <v>901541137</v>
      </c>
      <c r="G186" s="66"/>
      <c r="H186" s="66" t="s">
        <v>184</v>
      </c>
      <c r="I186" s="69">
        <v>4381023</v>
      </c>
      <c r="J186" s="66" t="s">
        <v>613</v>
      </c>
      <c r="K186" s="66"/>
      <c r="L186" s="66"/>
      <c r="M186" s="66"/>
      <c r="N186" s="66"/>
      <c r="O186" s="66"/>
      <c r="P186" s="66" t="s">
        <v>145</v>
      </c>
      <c r="Q186" s="68" t="str">
        <f t="shared" si="2"/>
        <v>HUS0000445477TA0601359500</v>
      </c>
      <c r="R186" s="66" t="s">
        <v>467</v>
      </c>
      <c r="S186" s="66" t="s">
        <v>468</v>
      </c>
      <c r="T186" s="66"/>
      <c r="U186" s="66" t="s">
        <v>182</v>
      </c>
      <c r="V186" s="69">
        <v>4381023</v>
      </c>
      <c r="W186" s="67">
        <v>45985.473368055558</v>
      </c>
      <c r="X186" s="67">
        <v>46000</v>
      </c>
      <c r="Y186" s="66">
        <v>150514</v>
      </c>
      <c r="Z186" s="67">
        <v>46000.393807870372</v>
      </c>
      <c r="AA186" s="66">
        <v>901541137</v>
      </c>
      <c r="AB186" s="66" t="s">
        <v>184</v>
      </c>
      <c r="AC186" s="69">
        <v>359500</v>
      </c>
      <c r="AD186" s="69">
        <v>0</v>
      </c>
      <c r="AE186" s="66" t="s">
        <v>227</v>
      </c>
      <c r="AF186" s="66" t="s">
        <v>228</v>
      </c>
      <c r="AG186" s="66" t="s">
        <v>464</v>
      </c>
      <c r="AH186" s="66" t="s">
        <v>465</v>
      </c>
      <c r="AI186" s="66"/>
      <c r="AJ186" s="66" t="s">
        <v>623</v>
      </c>
      <c r="AK186" s="78" t="s">
        <v>42</v>
      </c>
    </row>
    <row r="187" spans="1:37" x14ac:dyDescent="0.25">
      <c r="A187" s="66" t="s">
        <v>179</v>
      </c>
      <c r="B187" s="66">
        <v>149355</v>
      </c>
      <c r="C187" s="67">
        <v>46007.567962962959</v>
      </c>
      <c r="D187" s="77">
        <v>2025</v>
      </c>
      <c r="E187" s="77">
        <v>12</v>
      </c>
      <c r="F187" s="66">
        <v>901541137</v>
      </c>
      <c r="G187" s="66"/>
      <c r="H187" s="66" t="s">
        <v>184</v>
      </c>
      <c r="I187" s="69">
        <v>4381023</v>
      </c>
      <c r="J187" s="66" t="s">
        <v>613</v>
      </c>
      <c r="K187" s="66"/>
      <c r="L187" s="66"/>
      <c r="M187" s="66"/>
      <c r="N187" s="66"/>
      <c r="O187" s="66"/>
      <c r="P187" s="66" t="s">
        <v>145</v>
      </c>
      <c r="Q187" s="68" t="str">
        <f t="shared" si="2"/>
        <v>HUS0000445477TA0801313594</v>
      </c>
      <c r="R187" s="66" t="s">
        <v>467</v>
      </c>
      <c r="S187" s="66" t="s">
        <v>468</v>
      </c>
      <c r="T187" s="66"/>
      <c r="U187" s="66" t="s">
        <v>182</v>
      </c>
      <c r="V187" s="69">
        <v>4381023</v>
      </c>
      <c r="W187" s="67">
        <v>45985.473368055558</v>
      </c>
      <c r="X187" s="67">
        <v>46000</v>
      </c>
      <c r="Y187" s="66">
        <v>150514</v>
      </c>
      <c r="Z187" s="67">
        <v>46000.393807870372</v>
      </c>
      <c r="AA187" s="66">
        <v>901541137</v>
      </c>
      <c r="AB187" s="66" t="s">
        <v>184</v>
      </c>
      <c r="AC187" s="69">
        <v>313594</v>
      </c>
      <c r="AD187" s="69">
        <v>0</v>
      </c>
      <c r="AE187" s="66" t="s">
        <v>212</v>
      </c>
      <c r="AF187" s="66" t="s">
        <v>213</v>
      </c>
      <c r="AG187" s="66" t="s">
        <v>464</v>
      </c>
      <c r="AH187" s="66" t="s">
        <v>465</v>
      </c>
      <c r="AI187" s="66"/>
      <c r="AJ187" s="66" t="s">
        <v>624</v>
      </c>
      <c r="AK187" s="78" t="s">
        <v>42</v>
      </c>
    </row>
    <row r="188" spans="1:37" x14ac:dyDescent="0.25">
      <c r="A188" s="66" t="s">
        <v>179</v>
      </c>
      <c r="B188" s="66">
        <v>149355</v>
      </c>
      <c r="C188" s="67">
        <v>46007.567962962959</v>
      </c>
      <c r="D188" s="77">
        <v>2025</v>
      </c>
      <c r="E188" s="77">
        <v>12</v>
      </c>
      <c r="F188" s="66">
        <v>901541137</v>
      </c>
      <c r="G188" s="66"/>
      <c r="H188" s="66" t="s">
        <v>184</v>
      </c>
      <c r="I188" s="69">
        <v>4381023</v>
      </c>
      <c r="J188" s="66" t="s">
        <v>613</v>
      </c>
      <c r="K188" s="66"/>
      <c r="L188" s="66"/>
      <c r="M188" s="66"/>
      <c r="N188" s="66"/>
      <c r="O188" s="66"/>
      <c r="P188" s="66" t="s">
        <v>145</v>
      </c>
      <c r="Q188" s="68" t="str">
        <f t="shared" si="2"/>
        <v>HUS0000445477TA23011928063</v>
      </c>
      <c r="R188" s="66" t="s">
        <v>467</v>
      </c>
      <c r="S188" s="66" t="s">
        <v>468</v>
      </c>
      <c r="T188" s="66"/>
      <c r="U188" s="66" t="s">
        <v>182</v>
      </c>
      <c r="V188" s="69">
        <v>4381023</v>
      </c>
      <c r="W188" s="67">
        <v>45985.473368055558</v>
      </c>
      <c r="X188" s="67">
        <v>46000</v>
      </c>
      <c r="Y188" s="66">
        <v>150514</v>
      </c>
      <c r="Z188" s="67">
        <v>46000.393807870372</v>
      </c>
      <c r="AA188" s="66">
        <v>901541137</v>
      </c>
      <c r="AB188" s="66" t="s">
        <v>184</v>
      </c>
      <c r="AC188" s="69">
        <v>1928063</v>
      </c>
      <c r="AD188" s="69">
        <v>0</v>
      </c>
      <c r="AE188" s="66" t="s">
        <v>215</v>
      </c>
      <c r="AF188" s="66" t="s">
        <v>216</v>
      </c>
      <c r="AG188" s="66" t="s">
        <v>464</v>
      </c>
      <c r="AH188" s="66" t="s">
        <v>465</v>
      </c>
      <c r="AI188" s="66"/>
      <c r="AJ188" s="66" t="s">
        <v>625</v>
      </c>
      <c r="AK188" s="78" t="s">
        <v>42</v>
      </c>
    </row>
    <row r="189" spans="1:37" x14ac:dyDescent="0.25">
      <c r="A189" s="66" t="s">
        <v>179</v>
      </c>
      <c r="B189" s="66">
        <v>149362</v>
      </c>
      <c r="C189" s="67">
        <v>46007.57980324074</v>
      </c>
      <c r="D189" s="77">
        <v>2025</v>
      </c>
      <c r="E189" s="77">
        <v>12</v>
      </c>
      <c r="F189" s="66">
        <v>901541137</v>
      </c>
      <c r="G189" s="66"/>
      <c r="H189" s="66" t="s">
        <v>184</v>
      </c>
      <c r="I189" s="69">
        <v>34214349</v>
      </c>
      <c r="J189" s="66" t="s">
        <v>613</v>
      </c>
      <c r="K189" s="66"/>
      <c r="L189" s="66"/>
      <c r="M189" s="66"/>
      <c r="N189" s="66"/>
      <c r="O189" s="66"/>
      <c r="P189" s="66" t="s">
        <v>141</v>
      </c>
      <c r="Q189" s="68" t="str">
        <f t="shared" si="2"/>
        <v>HUS0000446260SO40015434199</v>
      </c>
      <c r="R189" s="66" t="s">
        <v>467</v>
      </c>
      <c r="S189" s="66" t="s">
        <v>468</v>
      </c>
      <c r="T189" s="66"/>
      <c r="U189" s="66" t="s">
        <v>182</v>
      </c>
      <c r="V189" s="69">
        <v>34214349</v>
      </c>
      <c r="W189" s="67">
        <v>45986.615115740744</v>
      </c>
      <c r="X189" s="67">
        <v>46000</v>
      </c>
      <c r="Y189" s="66">
        <v>150518</v>
      </c>
      <c r="Z189" s="67">
        <v>46000.408032407409</v>
      </c>
      <c r="AA189" s="66">
        <v>901541137</v>
      </c>
      <c r="AB189" s="66" t="s">
        <v>184</v>
      </c>
      <c r="AC189" s="69">
        <v>5434199</v>
      </c>
      <c r="AD189" s="69">
        <v>0</v>
      </c>
      <c r="AE189" s="66" t="s">
        <v>431</v>
      </c>
      <c r="AF189" s="66" t="s">
        <v>432</v>
      </c>
      <c r="AG189" s="66" t="s">
        <v>464</v>
      </c>
      <c r="AH189" s="66" t="s">
        <v>465</v>
      </c>
      <c r="AI189" s="66"/>
      <c r="AJ189" s="66" t="s">
        <v>626</v>
      </c>
      <c r="AK189" s="78" t="s">
        <v>42</v>
      </c>
    </row>
    <row r="190" spans="1:37" x14ac:dyDescent="0.25">
      <c r="A190" s="66" t="s">
        <v>179</v>
      </c>
      <c r="B190" s="66">
        <v>149362</v>
      </c>
      <c r="C190" s="67">
        <v>46007.57980324074</v>
      </c>
      <c r="D190" s="77">
        <v>2025</v>
      </c>
      <c r="E190" s="77">
        <v>12</v>
      </c>
      <c r="F190" s="66">
        <v>901541137</v>
      </c>
      <c r="G190" s="66"/>
      <c r="H190" s="66" t="s">
        <v>184</v>
      </c>
      <c r="I190" s="69">
        <v>34214349</v>
      </c>
      <c r="J190" s="66" t="s">
        <v>613</v>
      </c>
      <c r="K190" s="66"/>
      <c r="L190" s="66"/>
      <c r="M190" s="66"/>
      <c r="N190" s="66"/>
      <c r="O190" s="66"/>
      <c r="P190" s="66" t="s">
        <v>141</v>
      </c>
      <c r="Q190" s="68" t="str">
        <f t="shared" si="2"/>
        <v>HUS0000446260TA060128076900</v>
      </c>
      <c r="R190" s="66" t="s">
        <v>467</v>
      </c>
      <c r="S190" s="66" t="s">
        <v>468</v>
      </c>
      <c r="T190" s="66"/>
      <c r="U190" s="66" t="s">
        <v>182</v>
      </c>
      <c r="V190" s="69">
        <v>34214349</v>
      </c>
      <c r="W190" s="67">
        <v>45986.615115740744</v>
      </c>
      <c r="X190" s="67">
        <v>46000</v>
      </c>
      <c r="Y190" s="66">
        <v>150518</v>
      </c>
      <c r="Z190" s="67">
        <v>46000.408032407409</v>
      </c>
      <c r="AA190" s="66">
        <v>901541137</v>
      </c>
      <c r="AB190" s="66" t="s">
        <v>184</v>
      </c>
      <c r="AC190" s="69">
        <v>28076900</v>
      </c>
      <c r="AD190" s="69">
        <v>0</v>
      </c>
      <c r="AE190" s="66" t="s">
        <v>227</v>
      </c>
      <c r="AF190" s="66" t="s">
        <v>228</v>
      </c>
      <c r="AG190" s="66" t="s">
        <v>464</v>
      </c>
      <c r="AH190" s="66" t="s">
        <v>465</v>
      </c>
      <c r="AI190" s="66"/>
      <c r="AJ190" s="66" t="s">
        <v>627</v>
      </c>
      <c r="AK190" s="78" t="s">
        <v>42</v>
      </c>
    </row>
    <row r="191" spans="1:37" x14ac:dyDescent="0.25">
      <c r="A191" s="66" t="s">
        <v>179</v>
      </c>
      <c r="B191" s="66">
        <v>149362</v>
      </c>
      <c r="C191" s="67">
        <v>46007.57980324074</v>
      </c>
      <c r="D191" s="77">
        <v>2025</v>
      </c>
      <c r="E191" s="77">
        <v>12</v>
      </c>
      <c r="F191" s="66">
        <v>901541137</v>
      </c>
      <c r="G191" s="66"/>
      <c r="H191" s="66" t="s">
        <v>184</v>
      </c>
      <c r="I191" s="69">
        <v>34214349</v>
      </c>
      <c r="J191" s="66" t="s">
        <v>613</v>
      </c>
      <c r="K191" s="66"/>
      <c r="L191" s="66"/>
      <c r="M191" s="66"/>
      <c r="N191" s="66"/>
      <c r="O191" s="66"/>
      <c r="P191" s="66" t="s">
        <v>141</v>
      </c>
      <c r="Q191" s="68" t="str">
        <f t="shared" si="2"/>
        <v>HUS0000446260FA0602266400</v>
      </c>
      <c r="R191" s="66" t="s">
        <v>467</v>
      </c>
      <c r="S191" s="66" t="s">
        <v>468</v>
      </c>
      <c r="T191" s="66"/>
      <c r="U191" s="66" t="s">
        <v>182</v>
      </c>
      <c r="V191" s="69">
        <v>34214349</v>
      </c>
      <c r="W191" s="67">
        <v>45986.615115740744</v>
      </c>
      <c r="X191" s="67">
        <v>46000</v>
      </c>
      <c r="Y191" s="66">
        <v>150518</v>
      </c>
      <c r="Z191" s="67">
        <v>46000.408032407409</v>
      </c>
      <c r="AA191" s="66">
        <v>901541137</v>
      </c>
      <c r="AB191" s="66" t="s">
        <v>184</v>
      </c>
      <c r="AC191" s="69">
        <v>266400</v>
      </c>
      <c r="AD191" s="69">
        <v>0</v>
      </c>
      <c r="AE191" s="66" t="s">
        <v>230</v>
      </c>
      <c r="AF191" s="66" t="s">
        <v>231</v>
      </c>
      <c r="AG191" s="66" t="s">
        <v>464</v>
      </c>
      <c r="AH191" s="66" t="s">
        <v>465</v>
      </c>
      <c r="AI191" s="66"/>
      <c r="AJ191" s="66" t="s">
        <v>628</v>
      </c>
      <c r="AK191" s="78" t="s">
        <v>42</v>
      </c>
    </row>
  </sheetData>
  <conditionalFormatting sqref="Q4:Q191">
    <cfRule type="duplicateValues" dxfId="2" priority="1"/>
    <cfRule type="duplicateValues" dxfId="1" priority="2"/>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C3FA1-DFF0-42D5-8C33-14DCF222F42D}">
  <dimension ref="A2:M24"/>
  <sheetViews>
    <sheetView workbookViewId="0">
      <selection activeCell="AB3" sqref="AB3"/>
    </sheetView>
  </sheetViews>
  <sheetFormatPr baseColWidth="10" defaultRowHeight="15" x14ac:dyDescent="0.25"/>
  <cols>
    <col min="1" max="1" width="17.28515625" customWidth="1"/>
    <col min="2" max="2" width="20.42578125" customWidth="1"/>
    <col min="3" max="3" width="12.5703125" customWidth="1"/>
    <col min="4" max="4" width="18.85546875" bestFit="1" customWidth="1"/>
    <col min="5" max="5" width="18.85546875" customWidth="1"/>
    <col min="6" max="6" width="15.85546875" bestFit="1" customWidth="1"/>
    <col min="7" max="7" width="20.5703125" customWidth="1"/>
    <col min="8" max="8" width="13.140625" customWidth="1"/>
    <col min="9" max="9" width="15.85546875" customWidth="1"/>
    <col min="10" max="10" width="39.7109375" customWidth="1"/>
    <col min="11" max="11" width="14.28515625" customWidth="1"/>
    <col min="12" max="12" width="50" customWidth="1"/>
  </cols>
  <sheetData>
    <row r="2" spans="1:13" x14ac:dyDescent="0.25">
      <c r="A2" s="82" t="s">
        <v>632</v>
      </c>
      <c r="B2" s="83" t="s">
        <v>177</v>
      </c>
      <c r="C2" s="82" t="s">
        <v>633</v>
      </c>
      <c r="D2" s="84" t="s">
        <v>634</v>
      </c>
      <c r="E2" s="84"/>
      <c r="F2" s="82" t="s">
        <v>635</v>
      </c>
      <c r="G2" s="82" t="s">
        <v>636</v>
      </c>
      <c r="H2" s="85" t="s">
        <v>637</v>
      </c>
      <c r="I2" s="85" t="s">
        <v>638</v>
      </c>
      <c r="J2" s="82" t="s">
        <v>639</v>
      </c>
      <c r="K2" s="82" t="s">
        <v>455</v>
      </c>
      <c r="L2" s="82" t="s">
        <v>171</v>
      </c>
      <c r="M2" s="86"/>
    </row>
    <row r="3" spans="1:13" ht="16.5" x14ac:dyDescent="0.3">
      <c r="A3" s="91" t="s">
        <v>57</v>
      </c>
      <c r="B3" s="79" t="s">
        <v>57</v>
      </c>
      <c r="C3" s="87">
        <v>191968</v>
      </c>
      <c r="D3" s="95">
        <v>797160</v>
      </c>
      <c r="E3" s="88"/>
      <c r="F3" s="87" t="s">
        <v>640</v>
      </c>
      <c r="G3" s="89">
        <v>45958.333596527773</v>
      </c>
      <c r="H3" s="90">
        <v>2025</v>
      </c>
      <c r="I3" s="90">
        <v>10</v>
      </c>
      <c r="J3" s="87" t="s">
        <v>641</v>
      </c>
      <c r="K3" s="87">
        <v>901541137</v>
      </c>
      <c r="L3" s="87" t="s">
        <v>642</v>
      </c>
      <c r="M3" s="86"/>
    </row>
    <row r="4" spans="1:13" ht="16.5" x14ac:dyDescent="0.3">
      <c r="A4" s="91" t="s">
        <v>56</v>
      </c>
      <c r="B4" s="79" t="s">
        <v>56</v>
      </c>
      <c r="C4" s="87">
        <v>191985</v>
      </c>
      <c r="D4" s="95">
        <v>924255</v>
      </c>
      <c r="E4" s="88"/>
      <c r="F4" s="87" t="s">
        <v>640</v>
      </c>
      <c r="G4" s="89">
        <v>45961.333852199074</v>
      </c>
      <c r="H4" s="90">
        <v>2025</v>
      </c>
      <c r="I4" s="90">
        <v>10</v>
      </c>
      <c r="J4" s="87" t="s">
        <v>643</v>
      </c>
      <c r="K4" s="87">
        <v>901541137</v>
      </c>
      <c r="L4" s="87" t="s">
        <v>642</v>
      </c>
      <c r="M4" s="86"/>
    </row>
    <row r="5" spans="1:13" ht="16.5" x14ac:dyDescent="0.3">
      <c r="A5" s="91" t="s">
        <v>71</v>
      </c>
      <c r="B5" s="79" t="s">
        <v>71</v>
      </c>
      <c r="C5" s="91">
        <v>198132</v>
      </c>
      <c r="D5" s="95">
        <v>1195740</v>
      </c>
      <c r="E5" s="92"/>
      <c r="F5" s="91" t="s">
        <v>640</v>
      </c>
      <c r="G5" s="93">
        <v>45968.333451388884</v>
      </c>
      <c r="H5" s="90">
        <v>2025</v>
      </c>
      <c r="I5" s="90">
        <v>11</v>
      </c>
      <c r="J5" s="91" t="s">
        <v>644</v>
      </c>
      <c r="K5" s="91">
        <v>901541137</v>
      </c>
      <c r="L5" s="91" t="s">
        <v>642</v>
      </c>
      <c r="M5" s="86"/>
    </row>
    <row r="6" spans="1:13" ht="16.5" x14ac:dyDescent="0.3">
      <c r="A6" s="91" t="s">
        <v>67</v>
      </c>
      <c r="B6" s="79" t="s">
        <v>67</v>
      </c>
      <c r="C6" s="91">
        <v>198133</v>
      </c>
      <c r="D6" s="95">
        <v>161635</v>
      </c>
      <c r="E6" s="92"/>
      <c r="F6" s="91" t="s">
        <v>640</v>
      </c>
      <c r="G6" s="93">
        <v>45968.333336770833</v>
      </c>
      <c r="H6" s="90">
        <v>2025</v>
      </c>
      <c r="I6" s="90">
        <v>11</v>
      </c>
      <c r="J6" s="91" t="s">
        <v>645</v>
      </c>
      <c r="K6" s="91">
        <v>901541137</v>
      </c>
      <c r="L6" s="91" t="s">
        <v>642</v>
      </c>
      <c r="M6" s="86"/>
    </row>
    <row r="7" spans="1:13" ht="16.5" x14ac:dyDescent="0.3">
      <c r="A7" s="91" t="s">
        <v>72</v>
      </c>
      <c r="B7" s="79" t="s">
        <v>72</v>
      </c>
      <c r="C7" s="91">
        <v>198134</v>
      </c>
      <c r="D7" s="95">
        <v>42800</v>
      </c>
      <c r="E7" s="92"/>
      <c r="F7" s="91" t="s">
        <v>640</v>
      </c>
      <c r="G7" s="93">
        <v>45968.33339378472</v>
      </c>
      <c r="H7" s="90">
        <v>2025</v>
      </c>
      <c r="I7" s="90">
        <v>11</v>
      </c>
      <c r="J7" s="91" t="s">
        <v>646</v>
      </c>
      <c r="K7" s="91">
        <v>901541137</v>
      </c>
      <c r="L7" s="91" t="s">
        <v>642</v>
      </c>
      <c r="M7" s="86"/>
    </row>
    <row r="8" spans="1:13" ht="16.5" x14ac:dyDescent="0.3">
      <c r="A8" s="91" t="s">
        <v>69</v>
      </c>
      <c r="B8" s="79" t="s">
        <v>69</v>
      </c>
      <c r="C8" s="91">
        <v>198135</v>
      </c>
      <c r="D8" s="95">
        <v>108024</v>
      </c>
      <c r="E8" s="92"/>
      <c r="F8" s="91" t="s">
        <v>640</v>
      </c>
      <c r="G8" s="93">
        <v>45968.333755092593</v>
      </c>
      <c r="H8" s="90">
        <v>2025</v>
      </c>
      <c r="I8" s="90">
        <v>11</v>
      </c>
      <c r="J8" s="91" t="s">
        <v>647</v>
      </c>
      <c r="K8" s="91">
        <v>901541137</v>
      </c>
      <c r="L8" s="91" t="s">
        <v>642</v>
      </c>
      <c r="M8" s="86"/>
    </row>
    <row r="9" spans="1:13" ht="16.5" x14ac:dyDescent="0.3">
      <c r="A9" s="91" t="s">
        <v>64</v>
      </c>
      <c r="B9" s="79" t="s">
        <v>64</v>
      </c>
      <c r="C9" s="91">
        <v>198137</v>
      </c>
      <c r="D9" s="95">
        <v>1594320</v>
      </c>
      <c r="E9" s="92"/>
      <c r="F9" s="91" t="s">
        <v>640</v>
      </c>
      <c r="G9" s="93">
        <v>45968.333692361106</v>
      </c>
      <c r="H9" s="90">
        <v>2025</v>
      </c>
      <c r="I9" s="90">
        <v>11</v>
      </c>
      <c r="J9" s="91" t="s">
        <v>648</v>
      </c>
      <c r="K9" s="91">
        <v>901541137</v>
      </c>
      <c r="L9" s="91" t="s">
        <v>642</v>
      </c>
      <c r="M9" s="86"/>
    </row>
    <row r="10" spans="1:13" ht="16.5" x14ac:dyDescent="0.3">
      <c r="A10" s="91" t="s">
        <v>76</v>
      </c>
      <c r="B10" s="79" t="s">
        <v>76</v>
      </c>
      <c r="C10" s="91">
        <v>215673</v>
      </c>
      <c r="D10" s="95">
        <v>398580</v>
      </c>
      <c r="E10" s="92"/>
      <c r="F10" s="91" t="s">
        <v>640</v>
      </c>
      <c r="G10" s="93">
        <v>45979.29213425926</v>
      </c>
      <c r="H10" s="90">
        <v>2025</v>
      </c>
      <c r="I10" s="90">
        <v>11</v>
      </c>
      <c r="J10" s="91" t="s">
        <v>649</v>
      </c>
      <c r="K10" s="91">
        <v>901541137</v>
      </c>
      <c r="L10" s="91" t="s">
        <v>642</v>
      </c>
      <c r="M10" s="86"/>
    </row>
    <row r="11" spans="1:13" ht="16.5" x14ac:dyDescent="0.3">
      <c r="A11" s="91" t="s">
        <v>123</v>
      </c>
      <c r="B11" s="79" t="s">
        <v>123</v>
      </c>
      <c r="C11" s="91">
        <v>217143</v>
      </c>
      <c r="D11" s="95">
        <v>1269690</v>
      </c>
      <c r="E11" s="92"/>
      <c r="F11" s="91" t="s">
        <v>640</v>
      </c>
      <c r="G11" s="93">
        <v>45989.333503969909</v>
      </c>
      <c r="H11" s="90">
        <v>2025</v>
      </c>
      <c r="I11" s="90">
        <v>11</v>
      </c>
      <c r="J11" s="91" t="s">
        <v>650</v>
      </c>
      <c r="K11" s="91">
        <v>901541137</v>
      </c>
      <c r="L11" s="91" t="s">
        <v>642</v>
      </c>
      <c r="M11" s="86"/>
    </row>
    <row r="12" spans="1:13" ht="16.5" x14ac:dyDescent="0.3">
      <c r="A12" s="91" t="s">
        <v>102</v>
      </c>
      <c r="B12" s="79" t="s">
        <v>102</v>
      </c>
      <c r="C12" s="91">
        <v>217220</v>
      </c>
      <c r="D12" s="95">
        <v>3700</v>
      </c>
      <c r="E12" s="92"/>
      <c r="F12" s="91" t="s">
        <v>640</v>
      </c>
      <c r="G12" s="93">
        <v>45989.463384490737</v>
      </c>
      <c r="H12" s="90">
        <v>2025</v>
      </c>
      <c r="I12" s="90">
        <v>11</v>
      </c>
      <c r="J12" s="91" t="s">
        <v>651</v>
      </c>
      <c r="K12" s="91">
        <v>901541137</v>
      </c>
      <c r="L12" s="91" t="s">
        <v>642</v>
      </c>
      <c r="M12" s="86"/>
    </row>
    <row r="13" spans="1:13" ht="16.5" x14ac:dyDescent="0.3">
      <c r="A13" s="91" t="s">
        <v>109</v>
      </c>
      <c r="B13" s="79" t="s">
        <v>109</v>
      </c>
      <c r="C13" s="91">
        <v>218476</v>
      </c>
      <c r="D13" s="95">
        <v>238614</v>
      </c>
      <c r="E13" s="92"/>
      <c r="F13" s="91" t="s">
        <v>640</v>
      </c>
      <c r="G13" s="93">
        <v>45993.333614351846</v>
      </c>
      <c r="H13" s="90">
        <v>2025</v>
      </c>
      <c r="I13" s="90">
        <v>12</v>
      </c>
      <c r="J13" s="91" t="s">
        <v>652</v>
      </c>
      <c r="K13" s="94">
        <v>901541137</v>
      </c>
      <c r="L13" s="91" t="s">
        <v>642</v>
      </c>
      <c r="M13" s="86"/>
    </row>
    <row r="14" spans="1:13" ht="16.5" x14ac:dyDescent="0.3">
      <c r="A14" s="91" t="s">
        <v>119</v>
      </c>
      <c r="B14" s="79" t="s">
        <v>119</v>
      </c>
      <c r="C14" s="91">
        <v>218484</v>
      </c>
      <c r="D14" s="95">
        <v>68120</v>
      </c>
      <c r="E14" s="92"/>
      <c r="F14" s="91" t="s">
        <v>640</v>
      </c>
      <c r="G14" s="93">
        <v>45996.333907638887</v>
      </c>
      <c r="H14" s="90">
        <v>2025</v>
      </c>
      <c r="I14" s="90">
        <v>12</v>
      </c>
      <c r="J14" s="91" t="s">
        <v>653</v>
      </c>
      <c r="K14" s="94">
        <v>901541137</v>
      </c>
      <c r="L14" s="91" t="s">
        <v>642</v>
      </c>
      <c r="M14" s="86"/>
    </row>
    <row r="15" spans="1:13" ht="16.5" x14ac:dyDescent="0.3">
      <c r="A15" s="91" t="s">
        <v>114</v>
      </c>
      <c r="B15" s="79" t="s">
        <v>114</v>
      </c>
      <c r="C15" s="91">
        <v>218491</v>
      </c>
      <c r="D15" s="95">
        <v>1195740</v>
      </c>
      <c r="E15" s="92"/>
      <c r="F15" s="91" t="s">
        <v>640</v>
      </c>
      <c r="G15" s="93">
        <v>45996.333820057866</v>
      </c>
      <c r="H15" s="90">
        <v>2025</v>
      </c>
      <c r="I15" s="90">
        <v>12</v>
      </c>
      <c r="J15" s="91" t="s">
        <v>654</v>
      </c>
      <c r="K15" s="94">
        <v>901541137</v>
      </c>
      <c r="L15" s="91" t="s">
        <v>642</v>
      </c>
      <c r="M15" s="86"/>
    </row>
    <row r="16" spans="1:13" ht="16.5" x14ac:dyDescent="0.3">
      <c r="A16" s="91" t="s">
        <v>115</v>
      </c>
      <c r="B16" s="79" t="s">
        <v>115</v>
      </c>
      <c r="C16" s="91">
        <v>218497</v>
      </c>
      <c r="D16" s="95">
        <v>797160</v>
      </c>
      <c r="E16" s="92"/>
      <c r="F16" s="91" t="s">
        <v>640</v>
      </c>
      <c r="G16" s="93">
        <v>45996.333432870371</v>
      </c>
      <c r="H16" s="90">
        <v>2025</v>
      </c>
      <c r="I16" s="90">
        <v>12</v>
      </c>
      <c r="J16" s="91" t="s">
        <v>655</v>
      </c>
      <c r="K16" s="94">
        <v>901541137</v>
      </c>
      <c r="L16" s="91" t="s">
        <v>642</v>
      </c>
      <c r="M16" s="86"/>
    </row>
    <row r="17" spans="1:13" ht="16.5" x14ac:dyDescent="0.3">
      <c r="A17" s="91" t="s">
        <v>116</v>
      </c>
      <c r="B17" s="79" t="s">
        <v>116</v>
      </c>
      <c r="C17" s="91">
        <v>218499</v>
      </c>
      <c r="D17" s="95">
        <v>1195740</v>
      </c>
      <c r="E17" s="92"/>
      <c r="F17" s="91" t="s">
        <v>640</v>
      </c>
      <c r="G17" s="93">
        <v>45996.333858564816</v>
      </c>
      <c r="H17" s="90">
        <v>2025</v>
      </c>
      <c r="I17" s="90">
        <v>12</v>
      </c>
      <c r="J17" s="91" t="s">
        <v>656</v>
      </c>
      <c r="K17" s="94">
        <v>901541137</v>
      </c>
      <c r="L17" s="91" t="s">
        <v>642</v>
      </c>
      <c r="M17" s="86"/>
    </row>
    <row r="18" spans="1:13" ht="16.5" x14ac:dyDescent="0.3">
      <c r="A18" s="91" t="s">
        <v>118</v>
      </c>
      <c r="B18" s="79" t="s">
        <v>118</v>
      </c>
      <c r="C18" s="91">
        <v>218500</v>
      </c>
      <c r="D18" s="92">
        <v>68120</v>
      </c>
      <c r="E18" s="92"/>
      <c r="F18" s="91" t="s">
        <v>640</v>
      </c>
      <c r="G18" s="93">
        <v>45996.333652627312</v>
      </c>
      <c r="H18" s="90">
        <v>2025</v>
      </c>
      <c r="I18" s="90">
        <v>12</v>
      </c>
      <c r="J18" s="91" t="s">
        <v>657</v>
      </c>
      <c r="K18" s="94">
        <v>901541137</v>
      </c>
      <c r="L18" s="91" t="s">
        <v>642</v>
      </c>
      <c r="M18" s="86"/>
    </row>
    <row r="19" spans="1:13" ht="16.5" x14ac:dyDescent="0.3">
      <c r="A19" s="91" t="s">
        <v>92</v>
      </c>
      <c r="B19" s="79" t="s">
        <v>92</v>
      </c>
      <c r="C19" s="91">
        <v>218573</v>
      </c>
      <c r="D19" s="95">
        <v>323230</v>
      </c>
      <c r="E19" s="92"/>
      <c r="F19" s="91" t="s">
        <v>640</v>
      </c>
      <c r="G19" s="93">
        <v>46001.33395</v>
      </c>
      <c r="H19" s="90">
        <v>2025</v>
      </c>
      <c r="I19" s="90">
        <v>12</v>
      </c>
      <c r="J19" s="91" t="s">
        <v>658</v>
      </c>
      <c r="K19" s="94">
        <v>901541137</v>
      </c>
      <c r="L19" s="91" t="s">
        <v>642</v>
      </c>
      <c r="M19" s="86"/>
    </row>
    <row r="20" spans="1:13" ht="16.5" x14ac:dyDescent="0.3">
      <c r="A20" s="91" t="s">
        <v>113</v>
      </c>
      <c r="B20" s="79" t="s">
        <v>113</v>
      </c>
      <c r="C20" s="91">
        <v>218620</v>
      </c>
      <c r="D20" s="95">
        <v>929898</v>
      </c>
      <c r="E20" s="92"/>
      <c r="F20" s="91" t="s">
        <v>640</v>
      </c>
      <c r="G20" s="93">
        <v>46001.333411423606</v>
      </c>
      <c r="H20" s="90">
        <v>2025</v>
      </c>
      <c r="I20" s="90">
        <v>12</v>
      </c>
      <c r="J20" s="91" t="s">
        <v>659</v>
      </c>
      <c r="K20" s="94">
        <v>901541137</v>
      </c>
      <c r="L20" s="91" t="s">
        <v>642</v>
      </c>
      <c r="M20" s="86"/>
    </row>
    <row r="21" spans="1:13" ht="16.5" x14ac:dyDescent="0.3">
      <c r="A21" s="91" t="s">
        <v>124</v>
      </c>
      <c r="B21" s="79" t="s">
        <v>124</v>
      </c>
      <c r="C21" s="91">
        <v>218627</v>
      </c>
      <c r="D21" s="95">
        <v>672342</v>
      </c>
      <c r="E21" s="92"/>
      <c r="F21" s="91" t="s">
        <v>640</v>
      </c>
      <c r="G21" s="93">
        <v>46001.333950347223</v>
      </c>
      <c r="H21" s="90">
        <v>2025</v>
      </c>
      <c r="I21" s="90">
        <v>12</v>
      </c>
      <c r="J21" s="91" t="s">
        <v>660</v>
      </c>
      <c r="K21" s="94">
        <v>901541137</v>
      </c>
      <c r="L21" s="91" t="s">
        <v>642</v>
      </c>
      <c r="M21" s="86"/>
    </row>
    <row r="22" spans="1:13" ht="16.5" x14ac:dyDescent="0.3">
      <c r="A22" s="91" t="s">
        <v>134</v>
      </c>
      <c r="B22" s="79" t="s">
        <v>134</v>
      </c>
      <c r="C22" s="91">
        <v>218734</v>
      </c>
      <c r="D22" s="95">
        <v>2883019</v>
      </c>
      <c r="E22" s="92"/>
      <c r="F22" s="91" t="s">
        <v>640</v>
      </c>
      <c r="G22" s="93">
        <v>46004.333421099538</v>
      </c>
      <c r="H22" s="90">
        <v>2025</v>
      </c>
      <c r="I22" s="90">
        <v>12</v>
      </c>
      <c r="J22" s="91" t="s">
        <v>661</v>
      </c>
      <c r="K22" s="94">
        <v>901541137</v>
      </c>
      <c r="L22" s="91" t="s">
        <v>642</v>
      </c>
      <c r="M22" s="86"/>
    </row>
    <row r="23" spans="1:13" ht="16.5" x14ac:dyDescent="0.3">
      <c r="A23" s="91" t="s">
        <v>125</v>
      </c>
      <c r="B23" s="79" t="s">
        <v>125</v>
      </c>
      <c r="C23" s="91">
        <v>218966</v>
      </c>
      <c r="D23" s="95">
        <v>9400</v>
      </c>
      <c r="E23" s="92"/>
      <c r="F23" s="91" t="s">
        <v>640</v>
      </c>
      <c r="G23" s="93">
        <v>46004.492112268519</v>
      </c>
      <c r="H23" s="90">
        <v>2025</v>
      </c>
      <c r="I23" s="90">
        <v>12</v>
      </c>
      <c r="J23" s="91" t="s">
        <v>662</v>
      </c>
      <c r="K23" s="94">
        <v>901541137</v>
      </c>
      <c r="L23" s="91" t="s">
        <v>642</v>
      </c>
      <c r="M23" s="86"/>
    </row>
    <row r="24" spans="1:13" ht="16.5" x14ac:dyDescent="0.3">
      <c r="A24" s="91" t="s">
        <v>126</v>
      </c>
      <c r="B24" s="79" t="s">
        <v>126</v>
      </c>
      <c r="C24" s="91">
        <v>218968</v>
      </c>
      <c r="D24" s="95">
        <v>4700</v>
      </c>
      <c r="E24" s="92"/>
      <c r="F24" s="91" t="s">
        <v>640</v>
      </c>
      <c r="G24" s="93">
        <v>46004.493469675923</v>
      </c>
      <c r="H24" s="90">
        <v>2025</v>
      </c>
      <c r="I24" s="90">
        <v>12</v>
      </c>
      <c r="J24" s="91" t="s">
        <v>663</v>
      </c>
      <c r="K24" s="94">
        <v>901541137</v>
      </c>
      <c r="L24" s="91" t="s">
        <v>642</v>
      </c>
      <c r="M24" s="86"/>
    </row>
  </sheetData>
  <conditionalFormatting sqref="A1:A25 A7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ACTA</vt:lpstr>
      <vt:lpstr>Hoja1</vt:lpstr>
      <vt:lpstr>Hoja2</vt:lpstr>
      <vt:lpstr>Hoja3</vt:lpstr>
      <vt:lpstr>GLOSAS</vt:lpstr>
      <vt:lpstr>TRAMITES</vt:lpstr>
      <vt:lpstr>NOTAS</vt:lpstr>
      <vt:lpstr>ACTA!Área_de_impresión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cartera</dc:creator>
  <cp:lastModifiedBy>cartera</cp:lastModifiedBy>
  <cp:lastPrinted>2026-04-29T22:33:44Z</cp:lastPrinted>
  <dcterms:created xsi:type="dcterms:W3CDTF">2026-01-15T13:20:22Z</dcterms:created>
  <dcterms:modified xsi:type="dcterms:W3CDTF">2026-08-26T14:16:59Z</dcterms:modified>
</cp:coreProperties>
</file>